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5A8E1FFA-A4FA-7841-90CC-24CEA5B6BEF8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2" i="5" l="1"/>
  <c r="I162" i="5"/>
  <c r="J162" i="5" s="1"/>
  <c r="H163" i="5"/>
  <c r="I163" i="5"/>
  <c r="K163" i="5" s="1"/>
  <c r="H160" i="5"/>
  <c r="I160" i="5"/>
  <c r="J160" i="5" s="1"/>
  <c r="H161" i="5"/>
  <c r="I161" i="5"/>
  <c r="J161" i="5" s="1"/>
  <c r="H154" i="5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H158" i="5"/>
  <c r="I158" i="5"/>
  <c r="J158" i="5" s="1"/>
  <c r="H159" i="5"/>
  <c r="I159" i="5"/>
  <c r="J159" i="5" s="1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60" i="5" l="1"/>
  <c r="K162" i="5"/>
  <c r="J163" i="5"/>
  <c r="K161" i="5"/>
  <c r="K159" i="5"/>
  <c r="K147" i="5"/>
  <c r="K157" i="5"/>
  <c r="J155" i="5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<sst xmlns="http://schemas.openxmlformats.org/spreadsheetml/2006/main" count="1895" uniqueCount="759">
  <si>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</si>
  <si>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</si>
  <si>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</si>
  <si>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</si>
  <si>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</si>
  <si>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</si>
  <si>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</si>
  <si>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</si>
  <si>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</si>
  <si>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</si>
  <si>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</si>
  <si>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</si>
  <si>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</si>
  <si>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</si>
  <si>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</si>
  <si>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</si>
  <si>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</si>
  <si>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</si>
  <si>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</si>
  <si>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</si>
  <si>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</si>
  <si>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</si>
  <si>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</si>
  <si>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</si>
  <si>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</si>
  <si>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</si>
  <si>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</si>
  <si>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</si>
  <si>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</si>
  <si>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</si>
  <si>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</si>
  <si>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</si>
  <si>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</si>
  <si>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</si>
  <si>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</si>
  <si>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</si>
  <si>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</si>
  <si>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</si>
  <si>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</si>
  <si>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</si>
  <si>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</si>
  <si>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</si>
  <si>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</si>
  <si>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</si>
  <si>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</si>
  <si>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</si>
  <si>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</si>
  <si>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</si>
  <si>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</si>
  <si>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</si>
  <si>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</si>
  <si>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</si>
  <si>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</si>
  <si>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</si>
  <si>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</si>
  <si>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</si>
  <si>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</si>
  <si>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</si>
  <si>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</si>
  <si>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</si>
  <si>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</si>
  <si>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</si>
  <si>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</si>
  <si>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</si>
  <si>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</si>
  <si>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</si>
  <si>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</si>
  <si>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</si>
  <si>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</si>
  <si>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</si>
  <si>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</si>
  <si>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</si>
  <si>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</si>
  <si>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</si>
  <si>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</si>
  <si>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</si>
  <si>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</si>
  <si>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</si>
  <si>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</si>
  <si>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</si>
  <si>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</si>
  <si>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</si>
  <si>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</si>
  <si>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</si>
  <si>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</si>
  <si>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</si>
  <si>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</si>
  <si>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</si>
  <si>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</si>
  <si>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</si>
  <si>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</si>
  <si>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</si>
  <si>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</si>
  <si>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</si>
  <si>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</si>
  <si>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</si>
  <si>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</si>
  <si>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</si>
  <si>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</si>
  <si>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</si>
  <si>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</si>
  <si>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</si>
  <si>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</si>
  <si>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</si>
  <si>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</si>
  <si>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</si>
  <si>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</si>
  <si>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</si>
  <si>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</si>
  <si>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</si>
  <si>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</si>
  <si>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</si>
  <si>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</si>
  <si>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</si>
  <si>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</si>
  <si>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</si>
  <si>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</si>
  <si>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</si>
  <si>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</si>
  <si>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</si>
  <si>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</si>
  <si>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</si>
  <si>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</si>
  <si>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</si>
  <si>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</si>
  <si>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</si>
  <si>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</si>
  <si>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</si>
  <si>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</si>
  <si>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</si>
  <si>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</si>
  <si>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</si>
  <si>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</si>
  <si>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</si>
  <si>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</si>
  <si>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</si>
  <si>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</si>
  <si>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</si>
  <si>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</si>
  <si>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</si>
  <si>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</si>
  <si>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</si>
  <si>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</si>
  <si>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</si>
  <si>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</si>
  <si>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</si>
  <si>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</si>
  <si>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</si>
  <si>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</si>
  <si>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</si>
  <si>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</si>
  <si>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</si>
  <si>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</si>
  <si>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</si>
  <si>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</si>
  <si>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</si>
  <si>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</si>
  <si>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</si>
  <si>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</si>
  <si>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</si>
  <si>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</si>
  <si>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</si>
  <si>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</si>
  <si>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</si>
  <si>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</si>
  <si>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</si>
  <si>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</si>
  <si>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</si>
  <si>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</si>
  <si>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</si>
  <si>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</si>
  <si>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</si>
  <si>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</si>
  <si>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</si>
  <si>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</si>
  <si>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</si>
  <si>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</si>
  <si>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</si>
  <si>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</si>
  <si>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</si>
  <si>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</si>
  <si>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</si>
  <si>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</si>
  <si>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</si>
  <si>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</si>
  <si>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</si>
  <si>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</si>
  <si>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</si>
  <si>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</si>
  <si>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</si>
  <si>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</si>
  <si>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</si>
  <si>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</si>
  <si>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</si>
  <si>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</si>
  <si>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</si>
  <si>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</si>
  <si>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</si>
  <si>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</si>
  <si>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</si>
  <si>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</si>
  <si>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</si>
  <si>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</si>
  <si>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</si>
  <si>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</si>
  <si>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</si>
  <si>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</si>
  <si>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</si>
  <si>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</si>
  <si>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</si>
  <si>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</si>
  <si>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</si>
  <si>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</si>
  <si>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</si>
  <si>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</si>
  <si>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</si>
  <si>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</si>
  <si>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</si>
  <si>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</si>
  <si>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</si>
  <si>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</si>
  <si>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</si>
  <si>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</si>
  <si>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</si>
  <si>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</si>
  <si>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</si>
  <si>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</si>
  <si>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</si>
  <si>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</si>
  <si>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</si>
  <si>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</si>
  <si>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</si>
  <si>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</si>
  <si>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</si>
  <si>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</si>
  <si>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</si>
  <si>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</si>
  <si>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</si>
  <si>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</si>
  <si>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</si>
  <si>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</si>
  <si>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</si>
  <si>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</si>
  <si>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</si>
  <si>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</si>
  <si>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</si>
  <si>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</si>
  <si>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</si>
  <si>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</si>
  <si>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</si>
  <si>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</si>
  <si>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</si>
  <si>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</si>
  <si>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</si>
  <si>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</si>
  <si>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</si>
  <si>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</si>
  <si>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</si>
  <si>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</si>
  <si>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</si>
  <si>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</si>
  <si>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</si>
  <si>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</si>
  <si>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</si>
  <si>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</si>
  <si>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</si>
  <si>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</si>
  <si>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</si>
  <si>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</si>
  <si>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</si>
  <si>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</si>
  <si>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</si>
  <si>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</si>
  <si>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</si>
  <si>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</si>
  <si>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</si>
  <si>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</si>
  <si>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</si>
  <si>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</si>
  <si>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</si>
  <si>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</si>
  <si>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</si>
  <si>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</si>
  <si>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</si>
  <si>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</si>
  <si>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</si>
  <si>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</si>
  <si>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</si>
  <si>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</si>
  <si>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</si>
  <si>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</si>
  <si>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</si>
  <si>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</si>
  <si>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</si>
  <si>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</si>
  <si>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</si>
  <si>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</si>
  <si>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</si>
  <si>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</si>
  <si>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</si>
  <si>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</si>
  <si>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</si>
  <si>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</si>
  <si>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</si>
  <si>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</si>
  <si>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</si>
  <si>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</si>
  <si>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</si>
  <si>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</si>
  <si>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</si>
  <si>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</si>
  <si>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</si>
  <si>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</si>
  <si>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</si>
  <si>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</si>
  <si>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</si>
  <si>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</si>
  <si>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</si>
  <si>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</si>
  <si>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</si>
  <si>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</si>
  <si>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</si>
  <si>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</si>
  <si>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</si>
  <si>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</si>
  <si>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</si>
  <si>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</si>
  <si>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</si>
  <si>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</si>
  <si>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</si>
  <si>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</si>
  <si>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</si>
  <si>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</si>
  <si>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</si>
  <si>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</si>
  <si>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</si>
  <si>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</si>
  <si>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</si>
  <si>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</si>
  <si>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</si>
  <si>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</si>
  <si>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</si>
  <si>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</si>
  <si>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</si>
  <si>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</si>
  <si>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</si>
  <si>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</si>
  <si>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</si>
  <si>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</si>
  <si>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</si>
  <si>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</si>
  <si>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</si>
  <si>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</si>
  <si>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</si>
  <si>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</si>
  <si>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</si>
  <si>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</si>
  <si>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</si>
  <si>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</si>
  <si>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</si>
  <si>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</si>
  <si>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</si>
  <si>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</si>
  <si>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</si>
  <si>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</si>
  <si>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</si>
  <si>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</si>
  <si>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</si>
  <si>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</si>
  <si>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</si>
  <si>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</si>
  <si>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</si>
  <si>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</si>
  <si>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</si>
  <si>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</si>
  <si>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</si>
  <si>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</si>
  <si>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</si>
  <si>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</si>
  <si>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</si>
  <si>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</si>
  <si>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</si>
  <si>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</si>
  <si>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</si>
  <si>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</si>
  <si>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</si>
  <si>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</si>
  <si>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</si>
  <si>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</si>
  <si>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</si>
  <si>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</si>
  <si>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</si>
  <si>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</si>
  <si>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</si>
  <si>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</si>
  <si>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</si>
  <si>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</si>
  <si>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</si>
  <si>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</si>
  <si>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</si>
  <si>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</si>
  <si>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</si>
  <si>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</si>
  <si>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</si>
  <si>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</si>
  <si>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</si>
  <si>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</si>
  <si>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</si>
  <si>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</si>
  <si>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</si>
  <si>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</si>
  <si>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</si>
  <si>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</si>
  <si>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</si>
  <si>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</si>
  <si>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</si>
  <si>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</si>
  <si>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</si>
  <si>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</si>
  <si>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</si>
  <si>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</si>
  <si>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</si>
  <si>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</si>
  <si>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</si>
  <si>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</si>
  <si>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</si>
  <si>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</si>
  <si>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</si>
  <si>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</si>
  <si>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</si>
  <si>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</si>
  <si>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</si>
  <si>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</si>
  <si>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</si>
  <si>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</si>
  <si>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</si>
  <si>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</si>
  <si>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</si>
  <si>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</si>
  <si>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</si>
  <si>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</si>
  <si>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</si>
  <si>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</si>
  <si>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</si>
  <si>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</si>
  <si>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</si>
  <si>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</si>
  <si>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</si>
  <si>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</si>
  <si>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</si>
  <si>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</si>
  <si>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</si>
  <si>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</si>
  <si>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</si>
  <si>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</si>
  <si>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</si>
  <si>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</si>
  <si>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</si>
  <si>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</si>
  <si>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</si>
  <si>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</si>
  <si>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</si>
  <si>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</si>
  <si>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</si>
  <si>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</si>
  <si>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</si>
  <si>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</si>
  <si>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</si>
  <si>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</si>
  <si>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</si>
  <si>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</si>
  <si>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</si>
  <si>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</si>
  <si>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</si>
  <si>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</si>
  <si>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</si>
  <si>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</si>
  <si>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</si>
  <si>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</si>
  <si>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</si>
  <si>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</si>
  <si>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</si>
  <si>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</si>
  <si>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</si>
  <si>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</si>
  <si>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</si>
  <si>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</si>
  <si>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</si>
  <si>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</si>
  <si>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</si>
  <si>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</si>
  <si>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</si>
  <si>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</si>
  <si>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</si>
  <si>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</si>
  <si>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</si>
  <si>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</si>
  <si>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</si>
  <si>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</si>
  <si>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</si>
  <si>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</si>
  <si>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</si>
  <si>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</si>
  <si>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</si>
  <si>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</si>
  <si>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</si>
  <si>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</si>
  <si>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</si>
  <si>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</si>
  <si>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</si>
  <si>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</si>
  <si>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</si>
  <si>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</si>
  <si>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</si>
  <si>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</si>
  <si>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</si>
  <si>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</si>
  <si>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</si>
  <si>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</si>
  <si>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</si>
  <si>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</si>
  <si>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</si>
  <si>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</si>
  <si>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</si>
  <si>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</si>
  <si>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</si>
  <si>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</si>
  <si>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</si>
  <si>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</si>
  <si>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</si>
  <si>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</si>
  <si>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</si>
  <si>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</si>
  <si>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</si>
  <si>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</si>
  <si>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</si>
  <si>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</si>
  <si>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</si>
  <si>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</si>
  <si>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</si>
  <si>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</si>
  <si>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</si>
  <si>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</si>
  <si>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</si>
  <si>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</si>
  <si>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</si>
  <si>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</si>
  <si>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</si>
  <si>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</si>
  <si>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</si>
  <si>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</si>
  <si>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</si>
  <si>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</si>
  <si>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</si>
  <si>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</si>
  <si>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</si>
  <si>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</si>
  <si>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</si>
  <si>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</si>
  <si>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</si>
  <si>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</si>
  <si>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</si>
  <si>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</si>
  <si>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</si>
  <si>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</si>
  <si>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</si>
  <si>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</si>
  <si>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</si>
  <si>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</si>
  <si>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</si>
  <si>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</si>
  <si>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</si>
  <si>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</si>
  <si>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</si>
  <si>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</si>
  <si>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</si>
  <si>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</si>
  <si>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</si>
  <si>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</si>
  <si>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</si>
  <si>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</si>
  <si>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</si>
  <si>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</si>
  <si>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</si>
  <si>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</si>
  <si>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</si>
  <si>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</si>
  <si>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</si>
  <si>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</si>
  <si>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</si>
  <si>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</si>
  <si>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</si>
  <si>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</si>
  <si>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</si>
  <si>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</si>
  <si>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</si>
  <si>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</si>
  <si>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</si>
  <si>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</si>
  <si>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</si>
  <si>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</si>
  <si>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</si>
  <si>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</si>
  <si>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</si>
  <si>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</si>
  <si>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</si>
  <si>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</si>
  <si>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</si>
  <si>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</si>
  <si>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</si>
  <si>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</si>
  <si>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</si>
  <si>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</si>
  <si>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</si>
  <si>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</si>
  <si>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</si>
  <si>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</si>
  <si>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</si>
  <si>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</si>
  <si>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</si>
  <si>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</si>
  <si>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</si>
  <si>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</si>
  <si>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</si>
  <si>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</si>
  <si>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</si>
  <si>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</si>
  <si>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</si>
  <si>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</si>
  <si>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</si>
  <si>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</si>
  <si>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</si>
  <si>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</si>
  <si>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</si>
  <si>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</si>
  <si>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</si>
  <si>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</si>
  <si>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</si>
  <si>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</si>
  <si>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</si>
  <si>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</si>
  <si>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</si>
  <si>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</si>
  <si>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</si>
  <si>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</si>
  <si>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</si>
  <si>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</si>
  <si>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</si>
  <si>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</si>
  <si>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</si>
  <si>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</si>
  <si>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Jisha (XL), Rameez Relative(L): 900</t>
  </si>
  <si>
    <t>black/purple -1, black/yellow-1, maroon -1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</si>
  <si>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</si>
  <si>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</si>
  <si>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</si>
  <si>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</si>
  <si>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</si>
  <si>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</si>
  <si>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</si>
  <si>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</si>
  <si>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</si>
  <si>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</si>
  <si>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</si>
  <si>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</si>
  <si>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</si>
  <si>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</si>
  <si>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</si>
  <si>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</si>
  <si>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</si>
  <si>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</si>
  <si>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</si>
  <si>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</si>
  <si>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</si>
  <si>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</si>
  <si>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</si>
  <si>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</si>
  <si>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</si>
  <si>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</si>
  <si>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</si>
  <si>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</si>
  <si>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</si>
  <si>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</si>
  <si>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</si>
  <si>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</si>
  <si>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</si>
  <si>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</si>
  <si>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</si>
  <si>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</si>
  <si>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</si>
  <si>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</si>
  <si>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</si>
  <si>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</si>
  <si>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</si>
  <si>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</si>
  <si>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</si>
  <si>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</si>
  <si>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</si>
  <si>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</si>
  <si>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</si>
  <si>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</si>
  <si>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Praneetha (Kochi)</t>
  </si>
  <si>
    <t>Chikkankari(L)</t>
  </si>
  <si>
    <t>Matka silk - Blue (500 transferred)</t>
  </si>
  <si>
    <t>Rameez Cousin</t>
  </si>
  <si>
    <t>Chikkankari(M)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</si>
  <si>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</si>
  <si>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</si>
  <si>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</si>
  <si>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</si>
  <si>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</si>
  <si>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</si>
  <si>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</si>
  <si>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</si>
  <si>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</si>
  <si>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</si>
  <si>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</si>
  <si>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</si>
  <si>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</si>
  <si>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</si>
  <si>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</si>
  <si>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</si>
  <si>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</si>
  <si>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</si>
  <si>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</si>
  <si>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</si>
  <si>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Violet, navy blue, rani pink</t>
  </si>
  <si>
    <t>yellow green &amp; orange green</t>
  </si>
  <si>
    <t>Rayon Mutli colored salwar</t>
  </si>
  <si>
    <t>CHR-158</t>
  </si>
  <si>
    <t>Rust orange - 1</t>
  </si>
  <si>
    <t>Matka Silk Saree</t>
  </si>
  <si>
    <t>Blue - Sarany Hyd (Adv-500), Yellow Sudhisha ordered</t>
  </si>
  <si>
    <t xml:space="preserve">⁠​Maheswari cotton Silk saree </t>
  </si>
  <si>
    <t>Vineet (External)</t>
  </si>
  <si>
    <t>Georgette maroon</t>
  </si>
  <si>
    <t>Amalu(black/maroon), Lethy(Thiruvalla):1550, Vineet(Maroon): 1550</t>
  </si>
  <si>
    <t>Latha(Yellow), Sari(Peach)</t>
  </si>
  <si>
    <t>Rainbow saree &amp; Golden yellow with Butterfly on pallu</t>
  </si>
  <si>
    <t>Sari</t>
  </si>
  <si>
    <t>Soft Cotton Peach with butterfly design</t>
  </si>
  <si>
    <t>Coral Pink Salwar (XXL)</t>
  </si>
  <si>
    <t>Off-white cotton 2-piece set with blue floral prints (XXL)</t>
  </si>
  <si>
    <t>M/XL</t>
  </si>
  <si>
    <t>Deepthi - Mustard for Hokoba return</t>
  </si>
  <si>
    <t>Violet(M&amp;XL), Pink</t>
  </si>
  <si>
    <t>Khadee and Cotton Silk Sarees</t>
  </si>
  <si>
    <t>CHR-159</t>
  </si>
  <si>
    <t>CHR-160</t>
  </si>
  <si>
    <t>CHR-161</t>
  </si>
  <si>
    <t>CHR-162</t>
  </si>
  <si>
    <t>Black &amp; Beige Leaf Print Cotton Silk Saree</t>
  </si>
  <si>
    <t>Teal &amp; Coral Abstract Print Cotton Silk Saree</t>
  </si>
  <si>
    <t>Khadee Saree - Navy Blue and Olive Green</t>
  </si>
  <si>
    <t>Khadee Saree - Brown &amp; Black</t>
  </si>
  <si>
    <t>Neethu</t>
  </si>
  <si>
    <t>Sushitha (XXL-1600)</t>
  </si>
  <si>
    <t>Aanchal Maroon XXXL Salwar</t>
  </si>
  <si>
    <t>Malu (1800)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</si>
</sst>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14248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-7924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193</c:v>
                </c:pt>
                <c:pt idx="1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114</c:v>
                </c:pt>
                <c:pt idx="1">
                  <c:v>77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48</c:v>
                </c:pt>
                <c:pt idx="1">
                  <c:v>67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68970</c:v>
                </c:pt>
                <c:pt idx="1">
                  <c:v>39825.919999999998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workbookViewId="0">
      <pane ySplit="9" topLeftCell="A10" activePane="bottomLeft" state="frozen"/>
      <selection activeCell="B91" sqref="B91"/>
      <selection pane="bottomLeft" activeCell="F31" sqref="F31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279291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241562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244812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-37729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1108.6599999999999</v>
      </c>
      <c r="C10" s="6"/>
    </row>
    <row r="11" spans="1:6">
      <c r="A11" s="7" t="s">
        <v>47</v>
      </c>
      <c r="B11" s="53">
        <f>PartnerShares!H9</f>
        <v>-554.33000000000175</v>
      </c>
      <c r="C11" s="7"/>
    </row>
    <row r="12" spans="1:6">
      <c r="A12" s="6" t="s">
        <v>48</v>
      </c>
      <c r="B12" s="52">
        <f>PartnerShares!H10</f>
        <v>-554.33000000000175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112509</v>
      </c>
      <c r="C18" s="6">
        <f>PartnerShares!C8</f>
        <v>93097</v>
      </c>
      <c r="D18" s="6">
        <f>PartnerShares!D8</f>
        <v>19412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1108.6599999999999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93097</v>
      </c>
      <c r="D19" s="7">
        <f>PartnerShares!D9</f>
        <v>41085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-554.33000000000175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93097</v>
      </c>
      <c r="D20" s="6">
        <f>PartnerShares!D10</f>
        <v>-60497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-554.33000000000175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220613</v>
      </c>
      <c r="C26" s="6">
        <f>'Cash Pool'!D4</f>
        <v>80536.770799999998</v>
      </c>
      <c r="D26" s="6">
        <f>'Cash Pool'!E4</f>
        <v>140076.2292</v>
      </c>
      <c r="E26" s="6">
        <f>'Cash Pool'!F4</f>
        <v>-137310.02600000001</v>
      </c>
      <c r="F26" s="8">
        <f>'Cash Pool'!G4</f>
        <v>2766.203199999989</v>
      </c>
      <c r="G26" s="71"/>
    </row>
    <row r="27" spans="1:7">
      <c r="A27" s="7" t="str">
        <f>'Cash Pool'!A5</f>
        <v>Anoop</v>
      </c>
      <c r="B27" s="7">
        <f>'Cash Pool'!B5</f>
        <v>8419</v>
      </c>
      <c r="C27" s="7">
        <f>'Cash Pool'!D5</f>
        <v>80488.458400000003</v>
      </c>
      <c r="D27" s="7">
        <f>'Cash Pool'!E5</f>
        <v>-72069.458400000003</v>
      </c>
      <c r="E27" s="7">
        <f>'Cash Pool'!F5</f>
        <v>71587.042000000001</v>
      </c>
      <c r="F27" s="9">
        <f>'Cash Pool'!G5</f>
        <v>-482.41640000000189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80536.770799999998</v>
      </c>
      <c r="D28" s="6">
        <f>'Cash Pool'!E6</f>
        <v>-68006.770799999998</v>
      </c>
      <c r="E28" s="6">
        <f>'Cash Pool'!F6</f>
        <v>65722.984000000011</v>
      </c>
      <c r="F28" s="8">
        <f>'Cash Pool'!G6</f>
        <v>-2283.7867999999871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17" sqref="B17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46103</v>
      </c>
    </row>
    <row r="5" spans="1:8">
      <c r="A5" s="14" t="s">
        <v>38</v>
      </c>
      <c r="B5" s="15">
        <f>Summary!B3</f>
        <v>279291</v>
      </c>
      <c r="D5" s="14" t="s">
        <v>60</v>
      </c>
      <c r="E5" s="15">
        <f>Summary!B4</f>
        <v>241562</v>
      </c>
    </row>
    <row r="6" spans="1:8">
      <c r="A6" s="14" t="s">
        <v>61</v>
      </c>
      <c r="B6" s="15">
        <f>Summary!B6</f>
        <v>-37729</v>
      </c>
      <c r="D6" s="14" t="s">
        <v>62</v>
      </c>
      <c r="E6" s="15">
        <f>SUMIFS(INVENTORY!K:K, INVENTORY!N:N, "&lt;&gt;Sold Out")</f>
        <v>109544.92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193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120</v>
      </c>
    </row>
    <row r="12" spans="1:8">
      <c r="A12" s="17" t="s">
        <v>73</v>
      </c>
      <c r="B12" s="15">
        <f>IFERROR(SUMPRODUCT((TEXT(Purchases!$A$2:$A$998,"MMM")=$A12)*Purchases!$C$2:$C$998),0)</f>
        <v>22172</v>
      </c>
      <c r="C12" s="15">
        <f>IFERROR(SUMPRODUCT((TEXT(Sales!$A$2:$A$998,"MMM")=$A12)*Sales!$C$2:$C$998),0)</f>
        <v>14248</v>
      </c>
      <c r="D12" s="15">
        <f t="shared" si="0"/>
        <v>-7924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114</v>
      </c>
      <c r="H47" s="76">
        <f>SUMIF(INVENTORY!C:C, F47, INVENTORY!G:G)</f>
        <v>48</v>
      </c>
      <c r="J47" s="76" t="s">
        <v>135</v>
      </c>
      <c r="K47" s="77" cm="1">
        <f t="array" ref="K47">SUMPRODUCT((INVENTORY!$C$2:$C$478=J47)*(INVENTORY!$D$2:$D$478)*(INVENTORY!$G$2:$G$478))</f>
        <v>68970</v>
      </c>
    </row>
    <row r="48" spans="6:11">
      <c r="F48" s="75" t="s">
        <v>135</v>
      </c>
      <c r="G48" s="76">
        <f>SUMIF(INVENTORY!C:C, F48, INVENTORY!F:F)</f>
        <v>77</v>
      </c>
      <c r="H48" s="76">
        <f>SUMIF(INVENTORY!C:C, F48, INVENTORY!G:G)</f>
        <v>67</v>
      </c>
      <c r="J48" s="76" t="s">
        <v>120</v>
      </c>
      <c r="K48" s="77" cm="1">
        <f t="array" ref="K48">SUMPRODUCT((INVENTORY!$C$2:$C$478=J48)*(INVENTORY!$D$2:$D$478)*(INVENTORY!$G$2:$G$478))</f>
        <v>39825.919999999998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607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655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682</v>
      </c>
    </row>
    <row r="50" spans="1:4">
      <c r="A50" s="41">
        <v>46087</v>
      </c>
      <c r="B50" s="39" t="s">
        <v>46</v>
      </c>
      <c r="C50" s="40">
        <v>6328</v>
      </c>
      <c r="D50" s="39" t="s">
        <v>688</v>
      </c>
    </row>
    <row r="51" spans="1:4">
      <c r="A51" s="36">
        <v>46087</v>
      </c>
      <c r="B51" s="37" t="s">
        <v>48</v>
      </c>
      <c r="C51" s="38">
        <v>3164</v>
      </c>
      <c r="D51" s="37" t="s">
        <v>688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607</v>
      </c>
    </row>
    <row r="54" spans="1:4">
      <c r="A54" s="41">
        <v>46091</v>
      </c>
      <c r="B54" s="39" t="s">
        <v>48</v>
      </c>
      <c r="C54" s="40">
        <v>700</v>
      </c>
      <c r="D54" s="39" t="s">
        <v>607</v>
      </c>
    </row>
    <row r="55" spans="1:4">
      <c r="A55" s="36">
        <v>46092</v>
      </c>
      <c r="B55" s="37" t="s">
        <v>46</v>
      </c>
      <c r="C55" s="38">
        <v>5594</v>
      </c>
      <c r="D55" s="37" t="s">
        <v>688</v>
      </c>
    </row>
    <row r="56" spans="1:4">
      <c r="A56" s="41">
        <v>46092</v>
      </c>
      <c r="B56" s="39" t="s">
        <v>48</v>
      </c>
      <c r="C56" s="40">
        <v>2796</v>
      </c>
      <c r="D56" s="39" t="s">
        <v>688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>
        <v>46100</v>
      </c>
      <c r="B58" s="39" t="s">
        <v>46</v>
      </c>
      <c r="C58" s="40">
        <v>1663</v>
      </c>
      <c r="D58" s="39" t="s">
        <v>746</v>
      </c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9" sqref="J139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591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584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585</v>
      </c>
      <c r="I97" s="47" t="s">
        <v>276</v>
      </c>
    </row>
    <row r="98" spans="1:9">
      <c r="A98" s="43">
        <v>46040</v>
      </c>
      <c r="B98" s="50" t="s">
        <v>589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590</v>
      </c>
      <c r="I98" s="50" t="s">
        <v>276</v>
      </c>
    </row>
    <row r="99" spans="1:9" ht="16">
      <c r="A99" s="46">
        <v>46041</v>
      </c>
      <c r="B99" s="47" t="s">
        <v>598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600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601</v>
      </c>
      <c r="I100" s="50" t="s">
        <v>276</v>
      </c>
    </row>
    <row r="101" spans="1:9" ht="16">
      <c r="A101" s="46">
        <v>46043</v>
      </c>
      <c r="B101" s="47" t="s">
        <v>603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604</v>
      </c>
      <c r="I101" s="47" t="s">
        <v>276</v>
      </c>
    </row>
    <row r="102" spans="1:9">
      <c r="A102" s="43">
        <v>46046</v>
      </c>
      <c r="B102" s="50" t="s">
        <v>625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626</v>
      </c>
      <c r="I102" s="50" t="s">
        <v>276</v>
      </c>
    </row>
    <row r="103" spans="1:9">
      <c r="A103" s="46">
        <v>46048</v>
      </c>
      <c r="B103" s="47" t="s">
        <v>628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632</v>
      </c>
      <c r="I104" s="50" t="s">
        <v>276</v>
      </c>
    </row>
    <row r="105" spans="1:9" ht="16">
      <c r="A105" s="46">
        <v>46049</v>
      </c>
      <c r="B105" s="47" t="s">
        <v>635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638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636</v>
      </c>
      <c r="I106" s="50" t="s">
        <v>276</v>
      </c>
    </row>
    <row r="107" spans="1:9" ht="16">
      <c r="A107" s="46">
        <v>46049</v>
      </c>
      <c r="B107" s="47" t="s">
        <v>637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639</v>
      </c>
      <c r="I107" s="47" t="s">
        <v>276</v>
      </c>
    </row>
    <row r="108" spans="1:9">
      <c r="A108" s="43">
        <v>46050</v>
      </c>
      <c r="B108" s="50" t="s">
        <v>643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644</v>
      </c>
      <c r="I108" s="50" t="s">
        <v>276</v>
      </c>
    </row>
    <row r="109" spans="1:9" ht="16">
      <c r="A109" s="46">
        <v>46051</v>
      </c>
      <c r="B109" s="47" t="s">
        <v>665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664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584</v>
      </c>
      <c r="C111" s="48">
        <v>580</v>
      </c>
      <c r="D111" s="47" t="s">
        <v>649</v>
      </c>
      <c r="E111" s="47" t="s">
        <v>48</v>
      </c>
      <c r="F111" s="49"/>
      <c r="G111" s="49"/>
      <c r="H111" s="68" t="s">
        <v>650</v>
      </c>
      <c r="I111" s="47" t="s">
        <v>276</v>
      </c>
    </row>
    <row r="112" spans="1:9">
      <c r="A112" s="43">
        <v>46054</v>
      </c>
      <c r="B112" s="50" t="s">
        <v>653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673</v>
      </c>
      <c r="I112" s="50" t="s">
        <v>276</v>
      </c>
    </row>
    <row r="113" spans="1:9" ht="16">
      <c r="A113" s="46">
        <v>46054</v>
      </c>
      <c r="B113" s="47" t="s">
        <v>654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656</v>
      </c>
      <c r="I115" s="47" t="s">
        <v>276</v>
      </c>
    </row>
    <row r="116" spans="1:9">
      <c r="A116" s="43">
        <v>46060</v>
      </c>
      <c r="B116" s="50" t="s">
        <v>658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659</v>
      </c>
      <c r="I116" s="50" t="s">
        <v>276</v>
      </c>
    </row>
    <row r="117" spans="1:9" ht="16">
      <c r="A117" s="46">
        <v>46062</v>
      </c>
      <c r="B117" s="47" t="s">
        <v>663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666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667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671</v>
      </c>
      <c r="C120" s="51">
        <v>1450</v>
      </c>
      <c r="D120" s="50" t="s">
        <v>672</v>
      </c>
      <c r="E120" s="50" t="s">
        <v>46</v>
      </c>
      <c r="F120" s="50"/>
      <c r="G120" s="50"/>
      <c r="H120" s="69" t="s">
        <v>597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674</v>
      </c>
      <c r="I121" s="47" t="s">
        <v>276</v>
      </c>
    </row>
    <row r="122" spans="1:9">
      <c r="A122" s="43">
        <v>46074</v>
      </c>
      <c r="B122" s="50" t="s">
        <v>675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676</v>
      </c>
      <c r="I122" s="50" t="s">
        <v>276</v>
      </c>
    </row>
    <row r="123" spans="1:9" ht="16">
      <c r="A123" s="46">
        <v>46075</v>
      </c>
      <c r="B123" s="47" t="s">
        <v>677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692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678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738</v>
      </c>
      <c r="I125" s="47" t="s">
        <v>276</v>
      </c>
    </row>
    <row r="126" spans="1:9">
      <c r="A126" s="43">
        <v>46079</v>
      </c>
      <c r="B126" s="50" t="s">
        <v>684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686</v>
      </c>
      <c r="I126" s="50" t="s">
        <v>276</v>
      </c>
    </row>
    <row r="127" spans="1:9">
      <c r="A127" s="46">
        <v>46090</v>
      </c>
      <c r="B127" s="47" t="s">
        <v>691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689</v>
      </c>
      <c r="I127" s="47" t="s">
        <v>276</v>
      </c>
    </row>
    <row r="128" spans="1:9">
      <c r="A128" s="43">
        <v>46090</v>
      </c>
      <c r="B128" s="50" t="s">
        <v>693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690</v>
      </c>
      <c r="I128" s="50" t="s">
        <v>276</v>
      </c>
    </row>
    <row r="129" spans="1:9" ht="16">
      <c r="A129" s="46">
        <v>46090</v>
      </c>
      <c r="B129" s="47" t="s">
        <v>694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699</v>
      </c>
      <c r="I129" s="47" t="s">
        <v>191</v>
      </c>
    </row>
    <row r="130" spans="1:9">
      <c r="A130" s="43">
        <v>46090</v>
      </c>
      <c r="B130" s="50" t="s">
        <v>695</v>
      </c>
      <c r="C130" s="51">
        <v>800</v>
      </c>
      <c r="D130" s="50" t="s">
        <v>281</v>
      </c>
      <c r="E130" s="50" t="s">
        <v>46</v>
      </c>
      <c r="F130" s="50"/>
      <c r="G130" s="50"/>
      <c r="H130" s="69" t="s">
        <v>741</v>
      </c>
      <c r="I130" s="50" t="s">
        <v>276</v>
      </c>
    </row>
    <row r="131" spans="1:9" ht="16">
      <c r="A131" s="46">
        <v>46091</v>
      </c>
      <c r="B131" s="47" t="s">
        <v>701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702</v>
      </c>
      <c r="I131" s="47" t="s">
        <v>276</v>
      </c>
    </row>
    <row r="132" spans="1:9">
      <c r="A132" s="43">
        <v>46092</v>
      </c>
      <c r="B132" s="50" t="s">
        <v>692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703</v>
      </c>
      <c r="I132" s="50" t="s">
        <v>191</v>
      </c>
    </row>
    <row r="133" spans="1:9" ht="16">
      <c r="A133" s="46">
        <v>46092</v>
      </c>
      <c r="B133" s="47" t="s">
        <v>704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705</v>
      </c>
      <c r="I133" s="47" t="s">
        <v>276</v>
      </c>
    </row>
    <row r="134" spans="1:9">
      <c r="A134" s="43">
        <v>46093</v>
      </c>
      <c r="B134" s="50" t="s">
        <v>508</v>
      </c>
      <c r="C134" s="51">
        <v>850</v>
      </c>
      <c r="D134" s="50" t="s">
        <v>281</v>
      </c>
      <c r="E134" s="50" t="s">
        <v>46</v>
      </c>
      <c r="F134" s="50"/>
      <c r="G134" s="50"/>
      <c r="H134" s="69" t="s">
        <v>742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728</v>
      </c>
      <c r="I135" s="47" t="s">
        <v>276</v>
      </c>
    </row>
    <row r="136" spans="1:9">
      <c r="A136" s="43">
        <v>46097</v>
      </c>
      <c r="B136" s="50" t="s">
        <v>734</v>
      </c>
      <c r="C136" s="51">
        <v>1550</v>
      </c>
      <c r="D136" s="50" t="s">
        <v>281</v>
      </c>
      <c r="E136" s="50" t="s">
        <v>46</v>
      </c>
      <c r="F136" s="50"/>
      <c r="G136" s="50"/>
      <c r="H136" s="69" t="s">
        <v>735</v>
      </c>
      <c r="I136" s="50" t="s">
        <v>276</v>
      </c>
    </row>
    <row r="137" spans="1:9" ht="16">
      <c r="A137" s="46">
        <v>46097</v>
      </c>
      <c r="B137" s="47" t="s">
        <v>739</v>
      </c>
      <c r="C137" s="48">
        <v>850</v>
      </c>
      <c r="D137" s="47" t="s">
        <v>281</v>
      </c>
      <c r="E137" s="47" t="s">
        <v>46</v>
      </c>
      <c r="F137" s="49"/>
      <c r="G137" s="49"/>
      <c r="H137" s="68" t="s">
        <v>740</v>
      </c>
      <c r="I137" s="47" t="s">
        <v>276</v>
      </c>
    </row>
    <row r="138" spans="1:9">
      <c r="A138" s="43">
        <v>46100</v>
      </c>
      <c r="B138" s="50" t="s">
        <v>755</v>
      </c>
      <c r="C138" s="51">
        <v>1200</v>
      </c>
      <c r="D138" s="50" t="s">
        <v>281</v>
      </c>
      <c r="E138" s="50" t="s">
        <v>46</v>
      </c>
      <c r="F138" s="50"/>
      <c r="G138" s="50"/>
      <c r="H138" s="69" t="s">
        <v>99</v>
      </c>
      <c r="I138" s="50" t="s">
        <v>276</v>
      </c>
    </row>
    <row r="139" spans="1:9" ht="16">
      <c r="A139" s="46">
        <v>46104</v>
      </c>
      <c r="B139" s="47" t="s">
        <v>485</v>
      </c>
      <c r="C139" s="48">
        <v>1800</v>
      </c>
      <c r="D139" s="47" t="s">
        <v>277</v>
      </c>
      <c r="E139" s="47" t="s">
        <v>47</v>
      </c>
      <c r="F139" s="49"/>
      <c r="G139" s="49"/>
      <c r="H139" s="68" t="s">
        <v>757</v>
      </c>
      <c r="I139" s="47" t="s">
        <v>276</v>
      </c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topLeftCell="D1" workbookViewId="0">
      <pane ySplit="1" topLeftCell="A117" activePane="bottomLeft" state="frozen"/>
      <selection pane="bottomLeft" activeCell="O126" sqref="O126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59" style="2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666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662</v>
      </c>
      <c r="M53" s="28"/>
      <c r="N53" s="28" t="s">
        <v>191</v>
      </c>
      <c r="O53" s="28" t="s">
        <v>195</v>
      </c>
      <c r="P53" s="28" t="s">
        <v>661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660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718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651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744</v>
      </c>
      <c r="M61" s="28"/>
      <c r="N61" s="28" t="s">
        <v>180</v>
      </c>
      <c r="O61" s="28" t="s">
        <v>743</v>
      </c>
      <c r="P61" s="28" t="s">
        <v>745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668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15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586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588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681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719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15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698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669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670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587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584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683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685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700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3</v>
      </c>
      <c r="G115" s="29">
        <v>2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3764.2799999999997</v>
      </c>
      <c r="K115" s="28">
        <f t="shared" si="11"/>
        <v>2509.52</v>
      </c>
      <c r="L115" s="28" t="s">
        <v>736</v>
      </c>
      <c r="M115" s="28"/>
      <c r="N115" s="28" t="s">
        <v>180</v>
      </c>
      <c r="O115" s="28"/>
      <c r="P115" s="89" t="s">
        <v>652</v>
      </c>
      <c r="Q115" s="28"/>
      <c r="R115" s="28"/>
      <c r="S115" s="28"/>
      <c r="T115" s="28"/>
    </row>
    <row r="116" spans="1:20" ht="135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679</v>
      </c>
      <c r="M116" s="30"/>
      <c r="N116" s="30" t="s">
        <v>180</v>
      </c>
      <c r="O116" s="30"/>
      <c r="P116" s="30" t="s">
        <v>730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726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727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756</v>
      </c>
      <c r="M122" s="30"/>
      <c r="N122" s="30" t="s">
        <v>180</v>
      </c>
      <c r="O122" s="30" t="s">
        <v>712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657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30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599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2</v>
      </c>
      <c r="G125" s="82">
        <v>0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1816.5</v>
      </c>
      <c r="K125" s="81">
        <f t="shared" si="11"/>
        <v>0</v>
      </c>
      <c r="L125" s="81" t="s">
        <v>602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1800</v>
      </c>
      <c r="F126" s="85">
        <v>1</v>
      </c>
      <c r="G126" s="85">
        <v>0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1760</v>
      </c>
      <c r="K126" s="84">
        <f t="shared" ref="K126:K127" si="14">IF(LEN(G126)=0,0,G126)*I126</f>
        <v>0</v>
      </c>
      <c r="L126" s="30" t="s">
        <v>758</v>
      </c>
      <c r="M126" s="30"/>
      <c r="N126" s="30" t="s">
        <v>122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606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687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622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697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609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645</v>
      </c>
      <c r="M136" s="30"/>
      <c r="N136" s="30" t="s">
        <v>180</v>
      </c>
      <c r="O136" s="30"/>
      <c r="P136" s="30" t="s">
        <v>646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658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733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696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15">
      <c r="A142" s="30" t="s">
        <v>592</v>
      </c>
      <c r="B142" s="30" t="s">
        <v>605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680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593</v>
      </c>
      <c r="B143" s="28" t="s">
        <v>594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595</v>
      </c>
      <c r="B144" s="30" t="s">
        <v>621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596</v>
      </c>
      <c r="B145" s="28" t="s">
        <v>597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671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610</v>
      </c>
      <c r="B146" s="30" t="s">
        <v>634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611</v>
      </c>
      <c r="B147" s="28" t="s">
        <v>731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 t="s">
        <v>732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612</v>
      </c>
      <c r="B148" s="30" t="s">
        <v>633</v>
      </c>
      <c r="C148" s="30" t="s">
        <v>120</v>
      </c>
      <c r="D148" s="31">
        <v>502</v>
      </c>
      <c r="E148" s="31">
        <v>850</v>
      </c>
      <c r="F148" s="85">
        <v>2</v>
      </c>
      <c r="G148" s="85">
        <v>1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1004</v>
      </c>
      <c r="K148" s="84">
        <f t="shared" si="29"/>
        <v>502</v>
      </c>
      <c r="L148" s="30" t="s">
        <v>737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613</v>
      </c>
      <c r="B149" s="28" t="s">
        <v>630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614</v>
      </c>
      <c r="B150" s="30" t="s">
        <v>629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615</v>
      </c>
      <c r="B151" s="28" t="s">
        <v>616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706</v>
      </c>
      <c r="M151" s="28"/>
      <c r="N151" s="28" t="s">
        <v>180</v>
      </c>
      <c r="O151" s="28" t="s">
        <v>715</v>
      </c>
      <c r="P151" s="28" t="s">
        <v>617</v>
      </c>
      <c r="Q151" s="28"/>
      <c r="R151" s="28"/>
      <c r="S151" s="28"/>
      <c r="T151" s="28"/>
    </row>
    <row r="152" spans="1:20" ht="15">
      <c r="A152" s="30" t="s">
        <v>618</v>
      </c>
      <c r="B152" s="30" t="s">
        <v>619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647</v>
      </c>
      <c r="M152" s="30"/>
      <c r="N152" s="30" t="s">
        <v>180</v>
      </c>
      <c r="O152" s="30" t="s">
        <v>648</v>
      </c>
      <c r="P152" s="30" t="s">
        <v>620</v>
      </c>
      <c r="Q152" s="30"/>
      <c r="R152" s="30"/>
      <c r="S152" s="30"/>
      <c r="T152" s="30"/>
    </row>
    <row r="153" spans="1:20" ht="15">
      <c r="A153" s="28" t="s">
        <v>640</v>
      </c>
      <c r="B153" s="28" t="s">
        <v>641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642</v>
      </c>
      <c r="Q153" s="28"/>
      <c r="R153" s="28"/>
      <c r="S153" s="28"/>
      <c r="T153" s="28"/>
    </row>
    <row r="154" spans="1:20" ht="15">
      <c r="A154" s="30" t="s">
        <v>707</v>
      </c>
      <c r="B154" s="30" t="s">
        <v>720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717</v>
      </c>
      <c r="P154" s="30"/>
      <c r="Q154" s="30"/>
      <c r="R154" s="30"/>
      <c r="S154" s="30"/>
      <c r="T154" s="30"/>
    </row>
    <row r="155" spans="1:20" ht="15">
      <c r="A155" s="28" t="s">
        <v>708</v>
      </c>
      <c r="B155" s="28" t="s">
        <v>721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717</v>
      </c>
      <c r="P155" s="28"/>
      <c r="Q155" s="28"/>
      <c r="R155" s="28"/>
      <c r="S155" s="28"/>
      <c r="T155" s="28"/>
    </row>
    <row r="156" spans="1:20" ht="15">
      <c r="A156" s="30" t="s">
        <v>709</v>
      </c>
      <c r="B156" s="30" t="s">
        <v>722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713</v>
      </c>
      <c r="P156" s="30"/>
      <c r="Q156" s="30"/>
      <c r="R156" s="30"/>
      <c r="S156" s="30"/>
      <c r="T156" s="30"/>
    </row>
    <row r="157" spans="1:20" ht="15">
      <c r="A157" s="28" t="s">
        <v>710</v>
      </c>
      <c r="B157" s="28" t="s">
        <v>723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716</v>
      </c>
      <c r="M157" s="28"/>
      <c r="N157" s="28" t="s">
        <v>180</v>
      </c>
      <c r="O157" s="28" t="s">
        <v>712</v>
      </c>
      <c r="P157" s="28"/>
      <c r="Q157" s="28"/>
      <c r="R157" s="28"/>
      <c r="S157" s="28"/>
      <c r="T157" s="28"/>
    </row>
    <row r="158" spans="1:20" ht="15">
      <c r="A158" s="30" t="s">
        <v>711</v>
      </c>
      <c r="B158" s="30" t="s">
        <v>724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714</v>
      </c>
      <c r="P158" s="30"/>
      <c r="Q158" s="30"/>
      <c r="R158" s="30"/>
      <c r="S158" s="30"/>
      <c r="T158" s="30"/>
    </row>
    <row r="159" spans="1:20" ht="15">
      <c r="A159" s="28" t="s">
        <v>729</v>
      </c>
      <c r="B159" s="28" t="s">
        <v>725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714</v>
      </c>
      <c r="P159" s="28"/>
      <c r="Q159" s="28"/>
      <c r="R159" s="28"/>
      <c r="S159" s="28"/>
      <c r="T159" s="28"/>
    </row>
    <row r="160" spans="1:20" ht="15">
      <c r="A160" s="30" t="s">
        <v>747</v>
      </c>
      <c r="B160" s="30" t="s">
        <v>753</v>
      </c>
      <c r="C160" s="30" t="s">
        <v>120</v>
      </c>
      <c r="D160" s="31">
        <v>336</v>
      </c>
      <c r="E160" s="31">
        <v>600</v>
      </c>
      <c r="F160" s="85">
        <v>1</v>
      </c>
      <c r="G160" s="85">
        <v>0</v>
      </c>
      <c r="H160" s="86">
        <f t="shared" ref="H160:H161" si="39">F160+IF(LEN(G160)=0,0,G160)</f>
        <v>1</v>
      </c>
      <c r="I160" s="84">
        <f>IF(D160&lt;&gt;"",D160,IFERROR(E160/(IFERROR(SUM([1]Sales!C:C),0))*(IFERROR(SUM([1]Purchases!C:C),0)),0))</f>
        <v>336</v>
      </c>
      <c r="J160" s="84">
        <f t="shared" ref="J160:J161" si="40">F160*I160</f>
        <v>336</v>
      </c>
      <c r="K160" s="84">
        <f t="shared" ref="K160:K161" si="41">IF(LEN(G160)=0,0,G160)*I160</f>
        <v>0</v>
      </c>
      <c r="L160" s="30" t="s">
        <v>755</v>
      </c>
      <c r="M160" s="30"/>
      <c r="N160" s="30" t="s">
        <v>122</v>
      </c>
      <c r="O160" s="30"/>
      <c r="P160" s="30"/>
      <c r="Q160" s="30"/>
      <c r="R160" s="30"/>
      <c r="S160" s="30"/>
      <c r="T160" s="30"/>
    </row>
    <row r="161" spans="1:20" ht="15">
      <c r="A161" s="28" t="s">
        <v>748</v>
      </c>
      <c r="B161" s="28" t="s">
        <v>754</v>
      </c>
      <c r="C161" s="28" t="s">
        <v>120</v>
      </c>
      <c r="D161" s="29">
        <v>353</v>
      </c>
      <c r="E161" s="29">
        <v>600</v>
      </c>
      <c r="F161" s="90">
        <v>1</v>
      </c>
      <c r="G161" s="90">
        <v>0</v>
      </c>
      <c r="H161" s="81">
        <f t="shared" si="39"/>
        <v>1</v>
      </c>
      <c r="I161" s="80">
        <f>IF(D161&lt;&gt;"",D161,IFERROR(E161/(IFERROR(SUM([1]Sales!C:C),0))*(IFERROR(SUM([1]Purchases!C:C),0)),0))</f>
        <v>353</v>
      </c>
      <c r="J161" s="80">
        <f t="shared" si="40"/>
        <v>353</v>
      </c>
      <c r="K161" s="80">
        <f t="shared" si="41"/>
        <v>0</v>
      </c>
      <c r="L161" s="28" t="s">
        <v>755</v>
      </c>
      <c r="M161" s="28"/>
      <c r="N161" s="28" t="s">
        <v>122</v>
      </c>
      <c r="O161" s="28"/>
      <c r="P161" s="28"/>
      <c r="Q161" s="28"/>
      <c r="R161" s="28"/>
      <c r="S161" s="28"/>
      <c r="T161" s="28"/>
    </row>
    <row r="162" spans="1:20" ht="15">
      <c r="A162" s="30" t="s">
        <v>749</v>
      </c>
      <c r="B162" s="30" t="s">
        <v>751</v>
      </c>
      <c r="C162" s="30" t="s">
        <v>120</v>
      </c>
      <c r="D162" s="31">
        <v>533</v>
      </c>
      <c r="E162" s="31">
        <v>750</v>
      </c>
      <c r="F162" s="85">
        <v>0</v>
      </c>
      <c r="G162" s="85">
        <v>1</v>
      </c>
      <c r="H162" s="86">
        <f t="shared" ref="H162:H163" si="42">F162+IF(LEN(G162)=0,0,G162)</f>
        <v>1</v>
      </c>
      <c r="I162" s="84">
        <f>IF(D162&lt;&gt;"",D162,IFERROR(E162/(IFERROR(SUM([1]Sales!C:C),0))*(IFERROR(SUM([1]Purchases!C:C),0)),0))</f>
        <v>533</v>
      </c>
      <c r="J162" s="84">
        <f t="shared" ref="J162:J163" si="43">F162*I162</f>
        <v>0</v>
      </c>
      <c r="K162" s="84">
        <f t="shared" ref="K162:K163" si="44">IF(LEN(G162)=0,0,G162)*I162</f>
        <v>533</v>
      </c>
      <c r="L162" s="30"/>
      <c r="M162" s="30"/>
      <c r="N162" s="30" t="s">
        <v>222</v>
      </c>
      <c r="O162" s="30"/>
      <c r="P162" s="30"/>
      <c r="Q162" s="30"/>
      <c r="R162" s="30"/>
      <c r="S162" s="30"/>
      <c r="T162" s="30"/>
    </row>
    <row r="163" spans="1:20" ht="15">
      <c r="A163" s="28" t="s">
        <v>750</v>
      </c>
      <c r="B163" s="28" t="s">
        <v>752</v>
      </c>
      <c r="C163" s="28" t="s">
        <v>120</v>
      </c>
      <c r="D163" s="29">
        <v>441</v>
      </c>
      <c r="E163" s="29">
        <v>750</v>
      </c>
      <c r="F163" s="90">
        <v>0</v>
      </c>
      <c r="G163" s="90">
        <v>1</v>
      </c>
      <c r="H163" s="81">
        <f t="shared" si="42"/>
        <v>1</v>
      </c>
      <c r="I163" s="80">
        <f>IF(D163&lt;&gt;"",D163,IFERROR(E163/(IFERROR(SUM([1]Sales!C:C),0))*(IFERROR(SUM([1]Purchases!C:C),0)),0))</f>
        <v>441</v>
      </c>
      <c r="J163" s="80">
        <f t="shared" si="43"/>
        <v>0</v>
      </c>
      <c r="K163" s="80">
        <f t="shared" si="44"/>
        <v>441</v>
      </c>
      <c r="L163" s="28"/>
      <c r="M163" s="28"/>
      <c r="N163" s="28" t="s">
        <v>222</v>
      </c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112509</v>
      </c>
      <c r="C8" s="6">
        <f>SUM($B$8:$B$10)/3</f>
        <v>93097</v>
      </c>
      <c r="D8" s="6">
        <f>B8-C8</f>
        <v>19412</v>
      </c>
      <c r="E8" s="6">
        <f>IF(Summary!$B$6&gt;0, Summary!$B$6*VLOOKUP($A8,$A$3:$B$5,2,FALSE),0)</f>
        <v>0</v>
      </c>
      <c r="F8" s="6">
        <f>D8+E8</f>
        <v>19412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1108.6599999999999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93097</v>
      </c>
      <c r="D9" s="7">
        <f>B9-C9</f>
        <v>41085</v>
      </c>
      <c r="E9" s="7">
        <f>IF(Summary!$B$6&gt;0, Summary!$B$6*VLOOKUP($A9,$A$3:$B$5,2,FALSE),0)</f>
        <v>0</v>
      </c>
      <c r="F9" s="7">
        <f>D9+E9</f>
        <v>41085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-554.33000000000175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93097</v>
      </c>
      <c r="D10" s="6">
        <f>B10-C10</f>
        <v>-60497</v>
      </c>
      <c r="E10" s="6">
        <f>IF(Summary!$B$6&gt;0, Summary!$B$6*VLOOKUP($A10,$A$3:$B$5,2,FALSE),0)</f>
        <v>0</v>
      </c>
      <c r="F10" s="6">
        <f>D10+E10</f>
        <v>-60497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-554.33000000000175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6630.46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6626.09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220613</v>
      </c>
      <c r="C4" s="6">
        <f>VLOOKUP($A4,PartnerShares!$A$3:$B$5,2,FALSE)</f>
        <v>0.33339999999999997</v>
      </c>
      <c r="D4" s="6">
        <f>Summary!$B$4*C4</f>
        <v>80536.770799999998</v>
      </c>
      <c r="E4" s="6">
        <f>B4-D4</f>
        <v>140076.2292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">
        <f>E4+F4</f>
        <v>2766.203199999989</v>
      </c>
    </row>
    <row r="5" spans="1:7">
      <c r="A5" s="7" t="s">
        <v>47</v>
      </c>
      <c r="B5" s="7">
        <f>IFERROR(SUMIFS(Sales!$C:$C,Sales!$E:$E,$A5,Sales!$I:$I,"Completed"),0)</f>
        <v>8419</v>
      </c>
      <c r="C5" s="7">
        <f>VLOOKUP($A5,PartnerShares!$A$3:$B$5,2,FALSE)</f>
        <v>0.3332</v>
      </c>
      <c r="D5" s="7">
        <f>Summary!$B$4*C5</f>
        <v>80488.458400000003</v>
      </c>
      <c r="E5" s="7">
        <f>B5-D5</f>
        <v>-72069.458400000003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">
        <f>E5+F5</f>
        <v>-482.41640000000189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80536.770799999998</v>
      </c>
      <c r="E6" s="6">
        <f>B6-D6</f>
        <v>-68006.770799999998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">
        <f>E6+F6</f>
        <v>-2283.7867999999871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2026-03-23T01:55:24Z</dcterms:modified>
</cp:coreProperties>
</file>