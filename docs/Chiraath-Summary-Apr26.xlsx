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D01CAACD-1866-8748-85A9-2665401445E5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5" r:id="rId5"/>
    <sheet name="INVENTORY" sheetId="6" r:id="rId6"/>
    <sheet name="PartnerShares" sheetId="7" r:id="rId7"/>
    <sheet name="Cash Pool" sheetId="8" r:id="rId8"/>
  </sheets>
  <definedNames>
    <definedName name="_xlnm._FilterDatabase" localSheetId="3" hidden="1">Purchases!$A$1:$D$32</definedName>
    <definedName name="_xlnm._FilterDatabase" localSheetId="4" hidden="1">Sales!$A$1:$I$140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5" i="6" l="1"/>
  <c r="I165" i="6"/>
  <c r="J165" i="6" s="1"/>
  <c r="H166" i="6"/>
  <c r="I166" i="6"/>
  <c r="J166" i="6" s="1"/>
  <c r="H167" i="6"/>
  <c r="I167" i="6"/>
  <c r="K167" i="6" s="1"/>
  <c r="H168" i="6"/>
  <c r="I168" i="6"/>
  <c r="J168" i="6" s="1"/>
  <c r="H169" i="6"/>
  <c r="I169" i="6"/>
  <c r="J169" i="6" s="1"/>
  <c r="H164" i="6"/>
  <c r="I164" i="6"/>
  <c r="J164" i="6" s="1"/>
  <c r="F6" i="8"/>
  <c r="C6" i="8"/>
  <c r="B6" i="8"/>
  <c r="B28" i="2" s="1"/>
  <c r="F5" i="8"/>
  <c r="C5" i="8"/>
  <c r="B5" i="8"/>
  <c r="B27" i="2" s="1"/>
  <c r="F4" i="8"/>
  <c r="C4" i="8"/>
  <c r="B4" i="8"/>
  <c r="B26" i="2" s="1"/>
  <c r="G10" i="7"/>
  <c r="B10" i="7"/>
  <c r="B20" i="2" s="1"/>
  <c r="G9" i="7"/>
  <c r="B9" i="7"/>
  <c r="B19" i="2" s="1"/>
  <c r="G8" i="7"/>
  <c r="B8" i="7"/>
  <c r="I163" i="6"/>
  <c r="K163" i="6" s="1"/>
  <c r="H163" i="6"/>
  <c r="I162" i="6"/>
  <c r="K162" i="6" s="1"/>
  <c r="H162" i="6"/>
  <c r="I161" i="6"/>
  <c r="K161" i="6" s="1"/>
  <c r="H161" i="6"/>
  <c r="I160" i="6"/>
  <c r="K160" i="6" s="1"/>
  <c r="H160" i="6"/>
  <c r="I159" i="6"/>
  <c r="K159" i="6" s="1"/>
  <c r="H159" i="6"/>
  <c r="I158" i="6"/>
  <c r="K158" i="6" s="1"/>
  <c r="H158" i="6"/>
  <c r="I157" i="6"/>
  <c r="K157" i="6" s="1"/>
  <c r="H157" i="6"/>
  <c r="I156" i="6"/>
  <c r="K156" i="6" s="1"/>
  <c r="H156" i="6"/>
  <c r="I155" i="6"/>
  <c r="K155" i="6" s="1"/>
  <c r="H155" i="6"/>
  <c r="I154" i="6"/>
  <c r="K154" i="6" s="1"/>
  <c r="H154" i="6"/>
  <c r="I153" i="6"/>
  <c r="K153" i="6" s="1"/>
  <c r="H153" i="6"/>
  <c r="I152" i="6"/>
  <c r="K152" i="6" s="1"/>
  <c r="H152" i="6"/>
  <c r="I151" i="6"/>
  <c r="K151" i="6" s="1"/>
  <c r="H151" i="6"/>
  <c r="I150" i="6"/>
  <c r="K150" i="6" s="1"/>
  <c r="H150" i="6"/>
  <c r="I149" i="6"/>
  <c r="K149" i="6" s="1"/>
  <c r="H149" i="6"/>
  <c r="I148" i="6"/>
  <c r="K148" i="6" s="1"/>
  <c r="H148" i="6"/>
  <c r="I147" i="6"/>
  <c r="K147" i="6" s="1"/>
  <c r="H147" i="6"/>
  <c r="I146" i="6"/>
  <c r="K146" i="6" s="1"/>
  <c r="H146" i="6"/>
  <c r="I145" i="6"/>
  <c r="K145" i="6" s="1"/>
  <c r="H145" i="6"/>
  <c r="I144" i="6"/>
  <c r="K144" i="6" s="1"/>
  <c r="H144" i="6"/>
  <c r="I143" i="6"/>
  <c r="K143" i="6" s="1"/>
  <c r="H143" i="6"/>
  <c r="I142" i="6"/>
  <c r="K142" i="6" s="1"/>
  <c r="H142" i="6"/>
  <c r="I141" i="6"/>
  <c r="K141" i="6" s="1"/>
  <c r="H141" i="6"/>
  <c r="I140" i="6"/>
  <c r="K140" i="6" s="1"/>
  <c r="H140" i="6"/>
  <c r="I139" i="6"/>
  <c r="K139" i="6" s="1"/>
  <c r="H139" i="6"/>
  <c r="I138" i="6"/>
  <c r="K138" i="6" s="1"/>
  <c r="H138" i="6"/>
  <c r="I137" i="6"/>
  <c r="K137" i="6" s="1"/>
  <c r="H137" i="6"/>
  <c r="I136" i="6"/>
  <c r="K136" i="6" s="1"/>
  <c r="H136" i="6"/>
  <c r="I135" i="6"/>
  <c r="K135" i="6" s="1"/>
  <c r="H135" i="6"/>
  <c r="I134" i="6"/>
  <c r="K134" i="6" s="1"/>
  <c r="H134" i="6"/>
  <c r="I133" i="6"/>
  <c r="K133" i="6" s="1"/>
  <c r="H133" i="6"/>
  <c r="I132" i="6"/>
  <c r="K132" i="6" s="1"/>
  <c r="H132" i="6"/>
  <c r="I131" i="6"/>
  <c r="K131" i="6" s="1"/>
  <c r="H131" i="6"/>
  <c r="I130" i="6"/>
  <c r="K130" i="6" s="1"/>
  <c r="H130" i="6"/>
  <c r="I129" i="6"/>
  <c r="K129" i="6" s="1"/>
  <c r="H129" i="6"/>
  <c r="I128" i="6"/>
  <c r="K128" i="6" s="1"/>
  <c r="H128" i="6"/>
  <c r="I127" i="6"/>
  <c r="K127" i="6" s="1"/>
  <c r="H127" i="6"/>
  <c r="I126" i="6"/>
  <c r="K126" i="6" s="1"/>
  <c r="H126" i="6"/>
  <c r="I125" i="6"/>
  <c r="K125" i="6" s="1"/>
  <c r="H125" i="6"/>
  <c r="I124" i="6"/>
  <c r="K124" i="6" s="1"/>
  <c r="H124" i="6"/>
  <c r="I123" i="6"/>
  <c r="K123" i="6" s="1"/>
  <c r="H123" i="6"/>
  <c r="I122" i="6"/>
  <c r="K122" i="6" s="1"/>
  <c r="H122" i="6"/>
  <c r="I121" i="6"/>
  <c r="K121" i="6" s="1"/>
  <c r="H121" i="6"/>
  <c r="I120" i="6"/>
  <c r="K120" i="6" s="1"/>
  <c r="H120" i="6"/>
  <c r="I119" i="6"/>
  <c r="K119" i="6" s="1"/>
  <c r="H119" i="6"/>
  <c r="I118" i="6"/>
  <c r="K118" i="6" s="1"/>
  <c r="H118" i="6"/>
  <c r="I117" i="6"/>
  <c r="K117" i="6" s="1"/>
  <c r="H117" i="6"/>
  <c r="I116" i="6"/>
  <c r="K116" i="6" s="1"/>
  <c r="H116" i="6"/>
  <c r="I115" i="6"/>
  <c r="K115" i="6" s="1"/>
  <c r="H115" i="6"/>
  <c r="I114" i="6"/>
  <c r="K114" i="6" s="1"/>
  <c r="H114" i="6"/>
  <c r="I113" i="6"/>
  <c r="K113" i="6" s="1"/>
  <c r="H113" i="6"/>
  <c r="I112" i="6"/>
  <c r="K112" i="6" s="1"/>
  <c r="H112" i="6"/>
  <c r="I111" i="6"/>
  <c r="K111" i="6" s="1"/>
  <c r="H111" i="6"/>
  <c r="I110" i="6"/>
  <c r="K110" i="6" s="1"/>
  <c r="H110" i="6"/>
  <c r="I109" i="6"/>
  <c r="K109" i="6" s="1"/>
  <c r="H109" i="6"/>
  <c r="I108" i="6"/>
  <c r="K108" i="6" s="1"/>
  <c r="H108" i="6"/>
  <c r="I107" i="6"/>
  <c r="K107" i="6" s="1"/>
  <c r="H107" i="6"/>
  <c r="I106" i="6"/>
  <c r="K106" i="6" s="1"/>
  <c r="H106" i="6"/>
  <c r="I105" i="6"/>
  <c r="K105" i="6" s="1"/>
  <c r="H105" i="6"/>
  <c r="I104" i="6"/>
  <c r="K104" i="6" s="1"/>
  <c r="H104" i="6"/>
  <c r="I103" i="6"/>
  <c r="K103" i="6" s="1"/>
  <c r="H103" i="6"/>
  <c r="I102" i="6"/>
  <c r="K102" i="6" s="1"/>
  <c r="H102" i="6"/>
  <c r="I101" i="6"/>
  <c r="K101" i="6" s="1"/>
  <c r="H101" i="6"/>
  <c r="I100" i="6"/>
  <c r="K100" i="6" s="1"/>
  <c r="H100" i="6"/>
  <c r="I99" i="6"/>
  <c r="K99" i="6" s="1"/>
  <c r="H99" i="6"/>
  <c r="I98" i="6"/>
  <c r="K98" i="6" s="1"/>
  <c r="H98" i="6"/>
  <c r="I97" i="6"/>
  <c r="K97" i="6" s="1"/>
  <c r="H97" i="6"/>
  <c r="I96" i="6"/>
  <c r="K96" i="6" s="1"/>
  <c r="H96" i="6"/>
  <c r="I95" i="6"/>
  <c r="K95" i="6" s="1"/>
  <c r="H95" i="6"/>
  <c r="I94" i="6"/>
  <c r="K94" i="6" s="1"/>
  <c r="H94" i="6"/>
  <c r="I93" i="6"/>
  <c r="K93" i="6" s="1"/>
  <c r="H93" i="6"/>
  <c r="I92" i="6"/>
  <c r="K92" i="6" s="1"/>
  <c r="H92" i="6"/>
  <c r="I91" i="6"/>
  <c r="K91" i="6" s="1"/>
  <c r="H91" i="6"/>
  <c r="I90" i="6"/>
  <c r="K90" i="6" s="1"/>
  <c r="H90" i="6"/>
  <c r="I89" i="6"/>
  <c r="K89" i="6" s="1"/>
  <c r="H89" i="6"/>
  <c r="I88" i="6"/>
  <c r="K88" i="6" s="1"/>
  <c r="H88" i="6"/>
  <c r="I87" i="6"/>
  <c r="K87" i="6" s="1"/>
  <c r="H87" i="6"/>
  <c r="I86" i="6"/>
  <c r="K86" i="6" s="1"/>
  <c r="H86" i="6"/>
  <c r="I85" i="6"/>
  <c r="K85" i="6" s="1"/>
  <c r="H85" i="6"/>
  <c r="I84" i="6"/>
  <c r="K84" i="6" s="1"/>
  <c r="H84" i="6"/>
  <c r="I83" i="6"/>
  <c r="K83" i="6" s="1"/>
  <c r="H83" i="6"/>
  <c r="I82" i="6"/>
  <c r="K82" i="6" s="1"/>
  <c r="H82" i="6"/>
  <c r="I81" i="6"/>
  <c r="K81" i="6" s="1"/>
  <c r="H81" i="6"/>
  <c r="I80" i="6"/>
  <c r="K80" i="6" s="1"/>
  <c r="H80" i="6"/>
  <c r="I79" i="6"/>
  <c r="K79" i="6" s="1"/>
  <c r="H79" i="6"/>
  <c r="I78" i="6"/>
  <c r="K78" i="6" s="1"/>
  <c r="H78" i="6"/>
  <c r="I77" i="6"/>
  <c r="K77" i="6" s="1"/>
  <c r="H77" i="6"/>
  <c r="I76" i="6"/>
  <c r="K76" i="6" s="1"/>
  <c r="H76" i="6"/>
  <c r="I75" i="6"/>
  <c r="K75" i="6" s="1"/>
  <c r="H75" i="6"/>
  <c r="I74" i="6"/>
  <c r="K74" i="6" s="1"/>
  <c r="H74" i="6"/>
  <c r="I73" i="6"/>
  <c r="K73" i="6" s="1"/>
  <c r="H73" i="6"/>
  <c r="I72" i="6"/>
  <c r="K72" i="6" s="1"/>
  <c r="H72" i="6"/>
  <c r="I71" i="6"/>
  <c r="K71" i="6" s="1"/>
  <c r="H71" i="6"/>
  <c r="I70" i="6"/>
  <c r="K70" i="6" s="1"/>
  <c r="H70" i="6"/>
  <c r="I69" i="6"/>
  <c r="K69" i="6" s="1"/>
  <c r="H69" i="6"/>
  <c r="I68" i="6"/>
  <c r="K68" i="6" s="1"/>
  <c r="H68" i="6"/>
  <c r="I67" i="6"/>
  <c r="K67" i="6" s="1"/>
  <c r="H67" i="6"/>
  <c r="I66" i="6"/>
  <c r="K66" i="6" s="1"/>
  <c r="H66" i="6"/>
  <c r="I65" i="6"/>
  <c r="K65" i="6" s="1"/>
  <c r="H65" i="6"/>
  <c r="I64" i="6"/>
  <c r="K64" i="6" s="1"/>
  <c r="H64" i="6"/>
  <c r="I63" i="6"/>
  <c r="K63" i="6" s="1"/>
  <c r="H63" i="6"/>
  <c r="I62" i="6"/>
  <c r="K62" i="6" s="1"/>
  <c r="H62" i="6"/>
  <c r="I61" i="6"/>
  <c r="K61" i="6" s="1"/>
  <c r="H61" i="6"/>
  <c r="I60" i="6"/>
  <c r="K60" i="6" s="1"/>
  <c r="H60" i="6"/>
  <c r="I59" i="6"/>
  <c r="K59" i="6" s="1"/>
  <c r="H59" i="6"/>
  <c r="I58" i="6"/>
  <c r="K58" i="6" s="1"/>
  <c r="H58" i="6"/>
  <c r="I57" i="6"/>
  <c r="K57" i="6" s="1"/>
  <c r="H57" i="6"/>
  <c r="I56" i="6"/>
  <c r="K56" i="6" s="1"/>
  <c r="H56" i="6"/>
  <c r="I55" i="6"/>
  <c r="K55" i="6" s="1"/>
  <c r="H55" i="6"/>
  <c r="I54" i="6"/>
  <c r="K54" i="6" s="1"/>
  <c r="H54" i="6"/>
  <c r="I53" i="6"/>
  <c r="K53" i="6" s="1"/>
  <c r="H53" i="6"/>
  <c r="I52" i="6"/>
  <c r="K52" i="6" s="1"/>
  <c r="H52" i="6"/>
  <c r="I51" i="6"/>
  <c r="K51" i="6" s="1"/>
  <c r="H51" i="6"/>
  <c r="I50" i="6"/>
  <c r="K50" i="6" s="1"/>
  <c r="H50" i="6"/>
  <c r="I49" i="6"/>
  <c r="K49" i="6" s="1"/>
  <c r="H49" i="6"/>
  <c r="I48" i="6"/>
  <c r="K48" i="6" s="1"/>
  <c r="H48" i="6"/>
  <c r="I47" i="6"/>
  <c r="K47" i="6" s="1"/>
  <c r="H47" i="6"/>
  <c r="I46" i="6"/>
  <c r="K46" i="6" s="1"/>
  <c r="H46" i="6"/>
  <c r="I45" i="6"/>
  <c r="K45" i="6" s="1"/>
  <c r="H45" i="6"/>
  <c r="I44" i="6"/>
  <c r="K44" i="6" s="1"/>
  <c r="H44" i="6"/>
  <c r="I43" i="6"/>
  <c r="K43" i="6" s="1"/>
  <c r="H43" i="6"/>
  <c r="I42" i="6"/>
  <c r="K42" i="6" s="1"/>
  <c r="H42" i="6"/>
  <c r="I41" i="6"/>
  <c r="K41" i="6" s="1"/>
  <c r="H41" i="6"/>
  <c r="I40" i="6"/>
  <c r="K40" i="6" s="1"/>
  <c r="H40" i="6"/>
  <c r="I39" i="6"/>
  <c r="K39" i="6" s="1"/>
  <c r="H39" i="6"/>
  <c r="I38" i="6"/>
  <c r="K38" i="6" s="1"/>
  <c r="H38" i="6"/>
  <c r="I37" i="6"/>
  <c r="K37" i="6" s="1"/>
  <c r="H37" i="6"/>
  <c r="I36" i="6"/>
  <c r="K36" i="6" s="1"/>
  <c r="H36" i="6"/>
  <c r="I35" i="6"/>
  <c r="K35" i="6" s="1"/>
  <c r="H35" i="6"/>
  <c r="I34" i="6"/>
  <c r="K34" i="6" s="1"/>
  <c r="H34" i="6"/>
  <c r="I33" i="6"/>
  <c r="K33" i="6" s="1"/>
  <c r="H33" i="6"/>
  <c r="I32" i="6"/>
  <c r="K32" i="6" s="1"/>
  <c r="H32" i="6"/>
  <c r="I31" i="6"/>
  <c r="K31" i="6" s="1"/>
  <c r="H31" i="6"/>
  <c r="I30" i="6"/>
  <c r="K30" i="6" s="1"/>
  <c r="H30" i="6"/>
  <c r="I29" i="6"/>
  <c r="K29" i="6" s="1"/>
  <c r="H29" i="6"/>
  <c r="I28" i="6"/>
  <c r="K28" i="6" s="1"/>
  <c r="H28" i="6"/>
  <c r="I27" i="6"/>
  <c r="K27" i="6" s="1"/>
  <c r="H27" i="6"/>
  <c r="I26" i="6"/>
  <c r="K26" i="6" s="1"/>
  <c r="H26" i="6"/>
  <c r="I25" i="6"/>
  <c r="K25" i="6" s="1"/>
  <c r="H25" i="6"/>
  <c r="I24" i="6"/>
  <c r="K24" i="6" s="1"/>
  <c r="H24" i="6"/>
  <c r="I23" i="6"/>
  <c r="K23" i="6" s="1"/>
  <c r="H23" i="6"/>
  <c r="I22" i="6"/>
  <c r="K22" i="6" s="1"/>
  <c r="H22" i="6"/>
  <c r="I21" i="6"/>
  <c r="K21" i="6" s="1"/>
  <c r="H21" i="6"/>
  <c r="I20" i="6"/>
  <c r="K20" i="6" s="1"/>
  <c r="H20" i="6"/>
  <c r="I19" i="6"/>
  <c r="K19" i="6" s="1"/>
  <c r="H19" i="6"/>
  <c r="I18" i="6"/>
  <c r="K18" i="6" s="1"/>
  <c r="H18" i="6"/>
  <c r="I17" i="6"/>
  <c r="K17" i="6" s="1"/>
  <c r="H17" i="6"/>
  <c r="I16" i="6"/>
  <c r="K16" i="6" s="1"/>
  <c r="H16" i="6"/>
  <c r="I15" i="6"/>
  <c r="K15" i="6" s="1"/>
  <c r="H15" i="6"/>
  <c r="I14" i="6"/>
  <c r="K14" i="6" s="1"/>
  <c r="H14" i="6"/>
  <c r="I13" i="6"/>
  <c r="K13" i="6" s="1"/>
  <c r="H13" i="6"/>
  <c r="I12" i="6"/>
  <c r="K12" i="6" s="1"/>
  <c r="H12" i="6"/>
  <c r="I11" i="6"/>
  <c r="K11" i="6" s="1"/>
  <c r="H11" i="6"/>
  <c r="I10" i="6"/>
  <c r="K10" i="6" s="1"/>
  <c r="H10" i="6"/>
  <c r="I9" i="6"/>
  <c r="K9" i="6" s="1"/>
  <c r="H9" i="6"/>
  <c r="I8" i="6"/>
  <c r="K8" i="6" s="1"/>
  <c r="H8" i="6"/>
  <c r="I7" i="6"/>
  <c r="K7" i="6" s="1"/>
  <c r="H7" i="6"/>
  <c r="I6" i="6"/>
  <c r="K6" i="6" s="1"/>
  <c r="H6" i="6"/>
  <c r="I5" i="6"/>
  <c r="K5" i="6" s="1"/>
  <c r="H5" i="6"/>
  <c r="I4" i="6"/>
  <c r="K4" i="6" s="1"/>
  <c r="H4" i="6"/>
  <c r="I3" i="6"/>
  <c r="K3" i="6" s="1"/>
  <c r="H3" i="6"/>
  <c r="I2" i="6"/>
  <c r="K2" i="6" s="1"/>
  <c r="H2" i="6"/>
  <c r="K49" i="3" a="1"/>
  <c r="K49" i="3" s="1"/>
  <c r="H49" i="3"/>
  <c r="G49" i="3"/>
  <c r="K48" i="3" a="1"/>
  <c r="K48" i="3" s="1"/>
  <c r="H48" i="3"/>
  <c r="G48" i="3"/>
  <c r="K47" i="3" a="1"/>
  <c r="K47" i="3" s="1"/>
  <c r="H47" i="3"/>
  <c r="G47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G11" i="3"/>
  <c r="C11" i="3"/>
  <c r="B11" i="3"/>
  <c r="G10" i="3"/>
  <c r="C10" i="3"/>
  <c r="B10" i="3"/>
  <c r="B3" i="3"/>
  <c r="A36" i="2"/>
  <c r="A35" i="2"/>
  <c r="A34" i="2"/>
  <c r="E28" i="2"/>
  <c r="A28" i="2"/>
  <c r="E27" i="2"/>
  <c r="A27" i="2"/>
  <c r="E26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E5" i="3" s="1"/>
  <c r="B3" i="2"/>
  <c r="B5" i="3" s="1"/>
  <c r="K169" i="6" l="1"/>
  <c r="C8" i="7"/>
  <c r="D8" i="7" s="1"/>
  <c r="D18" i="2" s="1"/>
  <c r="K164" i="6"/>
  <c r="J160" i="6"/>
  <c r="F18" i="2"/>
  <c r="G18" i="2" s="1"/>
  <c r="B18" i="2"/>
  <c r="C18" i="2"/>
  <c r="D15" i="3"/>
  <c r="D11" i="3"/>
  <c r="D12" i="3"/>
  <c r="D16" i="3"/>
  <c r="D20" i="3"/>
  <c r="D10" i="3"/>
  <c r="D13" i="3"/>
  <c r="D17" i="3"/>
  <c r="D21" i="3"/>
  <c r="D14" i="3"/>
  <c r="D18" i="3"/>
  <c r="J167" i="6"/>
  <c r="K165" i="6"/>
  <c r="J73" i="6"/>
  <c r="K168" i="6"/>
  <c r="K166" i="6"/>
  <c r="J159" i="6"/>
  <c r="J104" i="6"/>
  <c r="J74" i="6"/>
  <c r="J128" i="6"/>
  <c r="J33" i="6"/>
  <c r="J57" i="6"/>
  <c r="J121" i="6"/>
  <c r="J144" i="6"/>
  <c r="J58" i="6"/>
  <c r="J96" i="6"/>
  <c r="J17" i="6"/>
  <c r="J90" i="6"/>
  <c r="J97" i="6"/>
  <c r="J89" i="6"/>
  <c r="J26" i="6"/>
  <c r="J41" i="6"/>
  <c r="J81" i="6"/>
  <c r="J114" i="6"/>
  <c r="J9" i="6"/>
  <c r="J49" i="6"/>
  <c r="J42" i="6"/>
  <c r="J10" i="6"/>
  <c r="J25" i="6"/>
  <c r="J65" i="6"/>
  <c r="J15" i="6"/>
  <c r="J31" i="6"/>
  <c r="J47" i="6"/>
  <c r="J63" i="6"/>
  <c r="J79" i="6"/>
  <c r="J98" i="6"/>
  <c r="J105" i="6"/>
  <c r="J112" i="6"/>
  <c r="J142" i="6"/>
  <c r="J145" i="6"/>
  <c r="J158" i="6"/>
  <c r="J8" i="6"/>
  <c r="J24" i="6"/>
  <c r="J40" i="6"/>
  <c r="J56" i="6"/>
  <c r="J72" i="6"/>
  <c r="J88" i="6"/>
  <c r="J138" i="6"/>
  <c r="J154" i="6"/>
  <c r="J2" i="6"/>
  <c r="J18" i="6"/>
  <c r="J34" i="6"/>
  <c r="J50" i="6"/>
  <c r="J66" i="6"/>
  <c r="J82" i="6"/>
  <c r="J122" i="6"/>
  <c r="J129" i="6"/>
  <c r="J136" i="6"/>
  <c r="J152" i="6"/>
  <c r="J161" i="6"/>
  <c r="J16" i="6"/>
  <c r="J32" i="6"/>
  <c r="J48" i="6"/>
  <c r="J64" i="6"/>
  <c r="J80" i="6"/>
  <c r="J106" i="6"/>
  <c r="J113" i="6"/>
  <c r="J120" i="6"/>
  <c r="J146" i="6"/>
  <c r="J7" i="6"/>
  <c r="J23" i="6"/>
  <c r="J39" i="6"/>
  <c r="J55" i="6"/>
  <c r="J71" i="6"/>
  <c r="J87" i="6"/>
  <c r="J130" i="6"/>
  <c r="J137" i="6"/>
  <c r="J150" i="6"/>
  <c r="J153" i="6"/>
  <c r="J162" i="6"/>
  <c r="J3" i="6"/>
  <c r="J11" i="6"/>
  <c r="J19" i="6"/>
  <c r="J27" i="6"/>
  <c r="J35" i="6"/>
  <c r="J43" i="6"/>
  <c r="J51" i="6"/>
  <c r="J59" i="6"/>
  <c r="J67" i="6"/>
  <c r="J75" i="6"/>
  <c r="J83" i="6"/>
  <c r="J91" i="6"/>
  <c r="J99" i="6"/>
  <c r="J107" i="6"/>
  <c r="J115" i="6"/>
  <c r="J123" i="6"/>
  <c r="J131" i="6"/>
  <c r="J139" i="6"/>
  <c r="J147" i="6"/>
  <c r="J155" i="6"/>
  <c r="J163" i="6"/>
  <c r="J6" i="6"/>
  <c r="J14" i="6"/>
  <c r="J22" i="6"/>
  <c r="J30" i="6"/>
  <c r="J38" i="6"/>
  <c r="J46" i="6"/>
  <c r="J54" i="6"/>
  <c r="J62" i="6"/>
  <c r="J70" i="6"/>
  <c r="J78" i="6"/>
  <c r="J86" i="6"/>
  <c r="J94" i="6"/>
  <c r="J102" i="6"/>
  <c r="J110" i="6"/>
  <c r="J118" i="6"/>
  <c r="J126" i="6"/>
  <c r="J134" i="6"/>
  <c r="J4" i="6"/>
  <c r="J12" i="6"/>
  <c r="J20" i="6"/>
  <c r="J28" i="6"/>
  <c r="J36" i="6"/>
  <c r="J44" i="6"/>
  <c r="J52" i="6"/>
  <c r="J60" i="6"/>
  <c r="J68" i="6"/>
  <c r="J76" i="6"/>
  <c r="J84" i="6"/>
  <c r="J92" i="6"/>
  <c r="J100" i="6"/>
  <c r="J108" i="6"/>
  <c r="J116" i="6"/>
  <c r="J124" i="6"/>
  <c r="J132" i="6"/>
  <c r="J140" i="6"/>
  <c r="J148" i="6"/>
  <c r="J156" i="6"/>
  <c r="B6" i="2"/>
  <c r="B6" i="3" s="1"/>
  <c r="J95" i="6"/>
  <c r="J103" i="6"/>
  <c r="J111" i="6"/>
  <c r="J119" i="6"/>
  <c r="J127" i="6"/>
  <c r="J135" i="6"/>
  <c r="J143" i="6"/>
  <c r="J151" i="6"/>
  <c r="J5" i="6"/>
  <c r="J13" i="6"/>
  <c r="J21" i="6"/>
  <c r="J29" i="6"/>
  <c r="J37" i="6"/>
  <c r="J45" i="6"/>
  <c r="J53" i="6"/>
  <c r="J61" i="6"/>
  <c r="J69" i="6"/>
  <c r="J77" i="6"/>
  <c r="J85" i="6"/>
  <c r="J93" i="6"/>
  <c r="J101" i="6"/>
  <c r="J109" i="6"/>
  <c r="J117" i="6"/>
  <c r="J125" i="6"/>
  <c r="J133" i="6"/>
  <c r="J141" i="6"/>
  <c r="J149" i="6"/>
  <c r="J157" i="6"/>
  <c r="D19" i="3"/>
  <c r="D5" i="8"/>
  <c r="C27" i="2" s="1"/>
  <c r="D6" i="8"/>
  <c r="C28" i="2" s="1"/>
  <c r="D4" i="8"/>
  <c r="C26" i="2" s="1"/>
  <c r="C10" i="7"/>
  <c r="C20" i="2" s="1"/>
  <c r="C9" i="7"/>
  <c r="C19" i="2" s="1"/>
  <c r="D9" i="7" l="1"/>
  <c r="D19" i="2" s="1"/>
  <c r="F19" i="2" s="1"/>
  <c r="G19" i="2" s="1"/>
  <c r="E6" i="3"/>
  <c r="E10" i="7"/>
  <c r="B36" i="2" s="1"/>
  <c r="E9" i="7"/>
  <c r="B35" i="2" s="1"/>
  <c r="E8" i="7"/>
  <c r="B34" i="2" s="1"/>
  <c r="B7" i="2"/>
  <c r="E6" i="8"/>
  <c r="D28" i="2" s="1"/>
  <c r="E4" i="8"/>
  <c r="E5" i="8"/>
  <c r="D10" i="7"/>
  <c r="F9" i="7" l="1"/>
  <c r="H9" i="7" s="1"/>
  <c r="B11" i="2" s="1"/>
  <c r="F8" i="7"/>
  <c r="H8" i="7" s="1"/>
  <c r="B10" i="2" s="1"/>
  <c r="G6" i="8"/>
  <c r="F28" i="2" s="1"/>
  <c r="G28" i="2" s="1"/>
  <c r="G5" i="8"/>
  <c r="F27" i="2" s="1"/>
  <c r="G27" i="2" s="1"/>
  <c r="D27" i="2"/>
  <c r="F10" i="7"/>
  <c r="H10" i="7" s="1"/>
  <c r="B12" i="2" s="1"/>
  <c r="D20" i="2"/>
  <c r="F20" i="2" s="1"/>
  <c r="G20" i="2" s="1"/>
  <c r="G4" i="8"/>
  <c r="F26" i="2" s="1"/>
  <c r="G26" i="2" s="1"/>
  <c r="D26" i="2"/>
</calcChain>
</file>

<file path=xl/sharedStrings.xml><?xml version="1.0" encoding="utf-8"?>
<sst xmlns="http://schemas.openxmlformats.org/spreadsheetml/2006/main" count="1988" uniqueCount="800">
  <si>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</si>
  <si>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</si>
  <si>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</si>
  <si>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</si>
  <si>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</si>
  <si>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</si>
  <si>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</si>
  <si>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</si>
  <si>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</si>
  <si>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</si>
  <si>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</si>
  <si>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</si>
  <si>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Pay | Negative = To Pnegative to receive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</si>
  <si>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</si>
  <si>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</si>
  <si>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</si>
  <si>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 xml:space="preserve">   - Positive = To Receive | Negative = To Pay.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</si>
  <si>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</si>
  <si>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</si>
  <si>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</si>
  <si>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</si>
  <si>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</si>
  <si>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</si>
  <si>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</si>
  <si>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</si>
  <si>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</si>
  <si>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</si>
  <si>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</si>
  <si>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</si>
  <si>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</si>
  <si>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</si>
  <si>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</si>
  <si>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</si>
  <si>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</si>
  <si>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</si>
  <si>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</si>
  <si>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</si>
  <si>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</si>
  <si>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</si>
  <si>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</si>
  <si>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</si>
  <si>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</si>
  <si>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</si>
  <si>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</si>
  <si>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</si>
  <si>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</si>
  <si>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</si>
  <si>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</si>
  <si>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</si>
  <si>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</si>
  <si>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</si>
  <si>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</si>
  <si>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</si>
  <si>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</si>
  <si>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</si>
  <si>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 xml:space="preserve"> Excess Paid (Refund Due)(₹)</t>
  </si>
  <si>
    <t>Settled So Far</t>
  </si>
  <si>
    <t>Pending Balance (+ Receive / - Pay)</t>
  </si>
  <si>
    <t>Action</t>
  </si>
  <si>
    <t>Cash Pool Summary</t>
  </si>
  <si>
    <t>Cash Collected (₹)</t>
  </si>
  <si>
    <t>Target Cash (₹)</t>
  </si>
  <si>
    <t>Excess Cash Held (Debt to Pool)(₹)</t>
  </si>
  <si>
    <t>Cash Transferred So Far</t>
  </si>
  <si>
    <t>Pending Balance (+ Pay / - Receive)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</si>
  <si>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</si>
  <si>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</si>
  <si>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</si>
  <si>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</si>
  <si>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</si>
  <si>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</si>
  <si>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</si>
  <si>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Filter Year:</t>
  </si>
  <si>
    <t>Month</t>
  </si>
  <si>
    <t>Purchases (₹)</t>
  </si>
  <si>
    <t>Sales (₹)</t>
  </si>
  <si>
    <t>Net Cash Flow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</si>
  <si>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</si>
  <si>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</si>
  <si>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</si>
  <si>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</si>
  <si>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</si>
  <si>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</si>
  <si>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</si>
  <si>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</si>
  <si>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</si>
  <si>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</si>
  <si>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</si>
  <si>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</si>
  <si>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</si>
  <si>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</si>
  <si>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</si>
  <si>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</si>
  <si>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</si>
  <si>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Pending Value (₹)</t>
  </si>
  <si>
    <t>Saree</t>
  </si>
  <si>
    <t>Salwar</t>
  </si>
  <si>
    <t>Kurti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</si>
  <si>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</si>
  <si>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</si>
  <si>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</si>
  <si>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</si>
  <si>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</si>
  <si>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</si>
  <si>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</si>
  <si>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</si>
  <si>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</si>
  <si>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</si>
  <si>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</si>
  <si>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</si>
  <si>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</si>
  <si>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</si>
  <si>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</si>
  <si>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</si>
  <si>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</si>
  <si>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</si>
  <si>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</si>
  <si>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Kannur Salwars</t>
  </si>
  <si>
    <t>Komappas</t>
  </si>
  <si>
    <t>Postal charges</t>
  </si>
  <si>
    <t>Domain Registration (3 years)</t>
  </si>
  <si>
    <t>Aanchal (Shidhin)</t>
  </si>
  <si>
    <t>Aanchal (Seeniya)</t>
  </si>
  <si>
    <t>Pothys</t>
  </si>
  <si>
    <t>Zinfab</t>
  </si>
  <si>
    <t>speed post</t>
  </si>
  <si>
    <t>Misc expenses - cover, speed post, sticker</t>
  </si>
  <si>
    <t>Dec, Jan &amp; Feb boosting</t>
  </si>
  <si>
    <t>Aanchal cotton salwars</t>
  </si>
  <si>
    <t>Khadee and Cotton Silk Sarees</t>
  </si>
  <si>
    <t>Customer</t>
  </si>
  <si>
    <t>Payment Method</t>
  </si>
  <si>
    <t>Partner Received</t>
  </si>
  <si>
    <t>Size</t>
  </si>
  <si>
    <t>Color</t>
  </si>
  <si>
    <t>Comments</t>
  </si>
  <si>
    <t>Status</t>
  </si>
  <si>
    <t>Chris</t>
  </si>
  <si>
    <t>GPay</t>
  </si>
  <si>
    <t>Completed</t>
  </si>
  <si>
    <t>Susmitha</t>
  </si>
  <si>
    <t>Cash</t>
  </si>
  <si>
    <t>Jisha</t>
  </si>
  <si>
    <t>Sreejesh</t>
  </si>
  <si>
    <t>Latha</t>
  </si>
  <si>
    <t>Beena (Knr)</t>
  </si>
  <si>
    <t>Binoy</t>
  </si>
  <si>
    <t>Suresh (PVB)</t>
  </si>
  <si>
    <t>Raji</t>
  </si>
  <si>
    <t>Divya</t>
  </si>
  <si>
    <t>Karassery Bank</t>
  </si>
  <si>
    <t>Munni</t>
  </si>
  <si>
    <t>Indu</t>
  </si>
  <si>
    <t>Gpay</t>
  </si>
  <si>
    <t>Bhaskaran</t>
  </si>
  <si>
    <t>Leena</t>
  </si>
  <si>
    <t>Sindhu</t>
  </si>
  <si>
    <t>Sudisha</t>
  </si>
  <si>
    <t>Denny</t>
  </si>
  <si>
    <t>Amina</t>
  </si>
  <si>
    <t>Lulu</t>
  </si>
  <si>
    <t>Deepthi</t>
  </si>
  <si>
    <t>Jasin</t>
  </si>
  <si>
    <t>Salmath</t>
  </si>
  <si>
    <t>Malini</t>
  </si>
  <si>
    <t>Priya</t>
  </si>
  <si>
    <t>Saida</t>
  </si>
  <si>
    <t>Arun Sir</t>
  </si>
  <si>
    <t>Dona</t>
  </si>
  <si>
    <t>Yassar</t>
  </si>
  <si>
    <t>Anju</t>
  </si>
  <si>
    <t>Karassery Account</t>
  </si>
  <si>
    <t>Nishitha</t>
  </si>
  <si>
    <t>Asha Rose</t>
  </si>
  <si>
    <t>Susmi</t>
  </si>
  <si>
    <t>Dilna</t>
  </si>
  <si>
    <t>Binija</t>
  </si>
  <si>
    <t>Baby Khadeeja</t>
  </si>
  <si>
    <t>Athulya</t>
  </si>
  <si>
    <t>Shinoob friend</t>
  </si>
  <si>
    <t>Silpa</t>
  </si>
  <si>
    <t>Sreelakshmi</t>
  </si>
  <si>
    <t>Aasa</t>
  </si>
  <si>
    <t>Haseena</t>
  </si>
  <si>
    <t>Pramitha</t>
  </si>
  <si>
    <t>Shimna</t>
  </si>
  <si>
    <t>Anchal 3 salwars</t>
  </si>
  <si>
    <t>Yaaser</t>
  </si>
  <si>
    <t>Shanu</t>
  </si>
  <si>
    <t>Chanderi silk salwar</t>
  </si>
  <si>
    <t>Ranju</t>
  </si>
  <si>
    <t>Black Salwar (XXL)</t>
  </si>
  <si>
    <t>Aruna</t>
  </si>
  <si>
    <t>Silk Saree, Kalyani yellow saree, Banarasi biscuit, Banarasi blue, Pashmina saree, Chanderi violet saree</t>
  </si>
  <si>
    <t>Banarasi Chikku</t>
  </si>
  <si>
    <t>Resmi</t>
  </si>
  <si>
    <t>Net banking</t>
  </si>
  <si>
    <t>Chanderi blue saree</t>
  </si>
  <si>
    <t>L</t>
  </si>
  <si>
    <t>Maroon - Silk Blend Salwar set</t>
  </si>
  <si>
    <t>Rishma</t>
  </si>
  <si>
    <t>Yellow Banarasi</t>
  </si>
  <si>
    <t>Yellow/Green Banarasi</t>
  </si>
  <si>
    <t>Chanderi rani pink saree</t>
  </si>
  <si>
    <t>Aanchal green floral &amp; Silk Saree</t>
  </si>
  <si>
    <t>Jyothi mol</t>
  </si>
  <si>
    <t>Prema</t>
  </si>
  <si>
    <t>XXL</t>
  </si>
  <si>
    <t>Brick Red Salwar Elephant print</t>
  </si>
  <si>
    <t>Sruthi</t>
  </si>
  <si>
    <t>Anchal Off white/blue dupatta salwar, red wine salwar, Anchal black salwar</t>
  </si>
  <si>
    <t>Nalini</t>
  </si>
  <si>
    <t>Tie &amp; Dye Rani Pink</t>
  </si>
  <si>
    <t>gift(Khadi/Salwars) - White violet salwar, Khadi</t>
  </si>
  <si>
    <t>gift(Khadi/Salwars) - Khadi</t>
  </si>
  <si>
    <t>Girija</t>
  </si>
  <si>
    <t>Viscose Rayan Saree, Banarasi Chikku green, Khadi, Rayon multi colored Salwar(XL)</t>
  </si>
  <si>
    <t>Malu</t>
  </si>
  <si>
    <t>Golden Banarasi, Cotton Silk (contrast colors), Kalyani Cotton Orange</t>
  </si>
  <si>
    <t>Sourabhya</t>
  </si>
  <si>
    <t>XL</t>
  </si>
  <si>
    <t>Jute Kurti</t>
  </si>
  <si>
    <t>Shajeena (TVM)</t>
  </si>
  <si>
    <t>Vijina (Kannur)</t>
  </si>
  <si>
    <t>Banarasi Golden Yellow</t>
  </si>
  <si>
    <t>Nisha Nair (Alappuzha)</t>
  </si>
  <si>
    <t>Parrot Green Banarasi</t>
  </si>
  <si>
    <t xml:space="preserve">Banarasi Saree - Biscuit </t>
  </si>
  <si>
    <t>Aanchal Salwars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</si>
  <si>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</si>
  <si>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</si>
  <si>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</si>
  <si>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</si>
  <si>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</si>
  <si>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</si>
  <si>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</si>
  <si>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</t>
  </si>
  <si>
    <t>Plus size white salwar - XXXL</t>
  </si>
  <si>
    <t>Aswathy (TVM)</t>
  </si>
  <si>
    <t>Biscuit Banarasi</t>
  </si>
  <si>
    <t>Priya Reji (Alappuzha)</t>
  </si>
  <si>
    <t>Divya (Kollam)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</si>
  <si>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</si>
  <si>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</si>
  <si>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</si>
  <si>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</si>
  <si>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</si>
  <si>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</si>
  <si>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Neethu(Palakkad)</t>
  </si>
  <si>
    <t>Viscose Chokda(blue)</t>
  </si>
  <si>
    <t>Amalu(Kottayam)</t>
  </si>
  <si>
    <t>Viscose Georgette</t>
  </si>
  <si>
    <t>Linu (Kottayam)</t>
  </si>
  <si>
    <t>Seeniya</t>
  </si>
  <si>
    <t>Aanchal maroon salwar</t>
  </si>
  <si>
    <t>Rinsha</t>
  </si>
  <si>
    <t>Banarasi Black, Black mul mul cotton saree</t>
  </si>
  <si>
    <t>Simi (TVM)</t>
  </si>
  <si>
    <t>Dusty mauve</t>
  </si>
  <si>
    <t>Anu (kottayam)</t>
  </si>
  <si>
    <t>Remya (Palakkad)</t>
  </si>
  <si>
    <t>Viscose Chokda(green)</t>
  </si>
  <si>
    <t>Asha(Navaikulam)</t>
  </si>
  <si>
    <t>Banarasi Chikku maroon</t>
  </si>
  <si>
    <t>Susheela (Kannur)</t>
  </si>
  <si>
    <t>Indigo Ajrakh Salwar</t>
  </si>
  <si>
    <t>Anitha (Pathanamthitta)</t>
  </si>
  <si>
    <t>Ambika (Pazhanji)</t>
  </si>
  <si>
    <t>Biscuit Banarasi, Pink Banarasi</t>
  </si>
  <si>
    <t>Nisha Sajith (Chengannur)</t>
  </si>
  <si>
    <t>Preethy Thomas (Chingavanam)</t>
  </si>
  <si>
    <t>Golden yellow Banarasi</t>
  </si>
  <si>
    <t>Annu</t>
  </si>
  <si>
    <t>Light Violet Semi Silk</t>
  </si>
  <si>
    <t>Sreeja (TVM)</t>
  </si>
  <si>
    <t>Chokda Green</t>
  </si>
  <si>
    <t>Vinod(kottayam)</t>
  </si>
  <si>
    <t>Salini(kottayam)</t>
  </si>
  <si>
    <t>cash</t>
  </si>
  <si>
    <t>Short Kurta - M</t>
  </si>
  <si>
    <t>Rameez Relative</t>
  </si>
  <si>
    <t>Lavender Ajrakh Print Salwar(XXL):900, Violet Salwar:900</t>
  </si>
  <si>
    <t>Lethy Manoj(Thiruvalla)</t>
  </si>
  <si>
    <t>Lavender Banarasi</t>
  </si>
  <si>
    <t>Shylaja</t>
  </si>
  <si>
    <t>Black Linen Saree</t>
  </si>
  <si>
    <t>Rinsha friend</t>
  </si>
  <si>
    <t>Chanderi Soft Silk Salwar Set</t>
  </si>
  <si>
    <t>Jiji</t>
  </si>
  <si>
    <t>Mull Cotton Floral print with lace detailing</t>
  </si>
  <si>
    <t>Resmi (Tvm)</t>
  </si>
  <si>
    <t>Basheer</t>
  </si>
  <si>
    <t xml:space="preserve">Gpay </t>
  </si>
  <si>
    <t>Kota Doria (Natural off-white - Aqua blues-green design)</t>
  </si>
  <si>
    <t>Coffee brown semi silk</t>
  </si>
  <si>
    <t>Navya</t>
  </si>
  <si>
    <t>Mustard semi silk</t>
  </si>
  <si>
    <t>Laks Pillai</t>
  </si>
  <si>
    <t>Saranya Gopalakrishnan(Hyd)</t>
  </si>
  <si>
    <t>Semi Silk Black and Cotton Silk Green</t>
  </si>
  <si>
    <t>Rainbow saree &amp; Golden yellow with Butterfly on pallu</t>
  </si>
  <si>
    <t>Rajitha</t>
  </si>
  <si>
    <t>Tissue silk floral</t>
  </si>
  <si>
    <t>Priya (Hosur)</t>
  </si>
  <si>
    <t>Net kota saree - turquoise blue</t>
  </si>
  <si>
    <t>Haris (EKM)</t>
  </si>
  <si>
    <t>Maheswari Cotton Sil Red/Black</t>
  </si>
  <si>
    <t>Sheeja mol</t>
  </si>
  <si>
    <t>Coral Pink Salwar (XXL)</t>
  </si>
  <si>
    <t>Praneetha (Kochi)</t>
  </si>
  <si>
    <t>Chikkankari(L)</t>
  </si>
  <si>
    <t>Pending</t>
  </si>
  <si>
    <t>Rameez Cousin</t>
  </si>
  <si>
    <t>Chikkankari(M)</t>
  </si>
  <si>
    <t>Off-white cotton 2-piece set with blue floral prints (XXL)</t>
  </si>
  <si>
    <t>Rayon Mutli colored salwar</t>
  </si>
  <si>
    <t>Vineet (External)</t>
  </si>
  <si>
    <t>Georgette maroon</t>
  </si>
  <si>
    <t>Sari</t>
  </si>
  <si>
    <t>Soft Cotton Peach with butterfly design</t>
  </si>
  <si>
    <t>Neethu</t>
  </si>
  <si>
    <t>Aanchal Maroon XXXL Salwar</t>
  </si>
  <si>
    <t>Viscose Georgette(Black Yellow), Net Kota Arrow, Linen Green with Golden Checks</t>
  </si>
  <si>
    <t>SKU</t>
  </si>
  <si>
    <t>Item Name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</si>
  <si>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</si>
  <si>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</si>
  <si>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</si>
  <si>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</si>
  <si>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</si>
  <si>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</si>
  <si>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</si>
  <si>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Brand</t>
  </si>
  <si>
    <t>Material</t>
  </si>
  <si>
    <t>Discount</t>
  </si>
  <si>
    <t>CHR-1</t>
  </si>
  <si>
    <t>Black Saree</t>
  </si>
  <si>
    <t>Sold Out</t>
  </si>
  <si>
    <t>CHR-2</t>
  </si>
  <si>
    <t>Imported Rayon Salwar Black</t>
  </si>
  <si>
    <t>CHR-3</t>
  </si>
  <si>
    <t>Cotton Silk</t>
  </si>
  <si>
    <t>CHR-4</t>
  </si>
  <si>
    <t>Silk Saree</t>
  </si>
  <si>
    <t>CHR-5</t>
  </si>
  <si>
    <t>Light weight cotton</t>
  </si>
  <si>
    <t>Beena (Knr), Sudhisha</t>
  </si>
  <si>
    <t>CHR-6</t>
  </si>
  <si>
    <t>Saree USA print (step photo)</t>
  </si>
  <si>
    <t>CHR-7</t>
  </si>
  <si>
    <t>Saree 95 1</t>
  </si>
  <si>
    <t>CHR-8</t>
  </si>
  <si>
    <t>Linen Block Print Salwar Set</t>
  </si>
  <si>
    <t>CHR-9</t>
  </si>
  <si>
    <t>CHR-10</t>
  </si>
  <si>
    <t>Black red banarasi</t>
  </si>
  <si>
    <t>Raji, Jisha</t>
  </si>
  <si>
    <t>CHR-11</t>
  </si>
  <si>
    <t>Black Imported Rayon Set</t>
  </si>
  <si>
    <t>CHR-12</t>
  </si>
  <si>
    <t>Imported Rayon Salwar Set Red</t>
  </si>
  <si>
    <t>CHR-13</t>
  </si>
  <si>
    <t>Silk Blend Salwar set - Blue</t>
  </si>
  <si>
    <t>CHR-14</t>
  </si>
  <si>
    <t>Linen Block Print Salwar Set (sunflower)</t>
  </si>
  <si>
    <t>CHR-15</t>
  </si>
  <si>
    <t>Linen Salwar Set (Christmas tree)</t>
  </si>
  <si>
    <t>CHR-16</t>
  </si>
  <si>
    <t>Mul mul cotton</t>
  </si>
  <si>
    <t>CHR-17</t>
  </si>
  <si>
    <t>CHR-18</t>
  </si>
  <si>
    <t>Silk Blend Salwar set - gray</t>
  </si>
  <si>
    <t>CHR-19</t>
  </si>
  <si>
    <t>CHR-20</t>
  </si>
  <si>
    <t>CHR-21</t>
  </si>
  <si>
    <t>violet sil saree</t>
  </si>
  <si>
    <t>CHR-22</t>
  </si>
  <si>
    <t>Bhaskaran, Divya, Amina</t>
  </si>
  <si>
    <t>CHR-23</t>
  </si>
  <si>
    <t>CHR-24</t>
  </si>
  <si>
    <t>CHR-25</t>
  </si>
  <si>
    <t>Kota Linen Saree - biege &amp; maroon</t>
  </si>
  <si>
    <t>CHR-26</t>
  </si>
  <si>
    <t>CHR-27</t>
  </si>
  <si>
    <t>Kota Linen Saree - green silver</t>
  </si>
  <si>
    <t>CHR-28</t>
  </si>
  <si>
    <t>Linen Floral Salwar Set</t>
  </si>
  <si>
    <t>CHR-29</t>
  </si>
  <si>
    <t>Hakoba Cotton Chridar - brown</t>
  </si>
  <si>
    <t>CHR-30</t>
  </si>
  <si>
    <t>Black 2 piece rayon</t>
  </si>
  <si>
    <t>CHR-31</t>
  </si>
  <si>
    <t>Linen Block Print Salwar Set (violet)</t>
  </si>
  <si>
    <t>CHR-32</t>
  </si>
  <si>
    <t>CHR-33</t>
  </si>
  <si>
    <t>CHR-34</t>
  </si>
  <si>
    <t>Black Soft Cotton Flared Salwar Set</t>
  </si>
  <si>
    <t>CHR-35</t>
  </si>
  <si>
    <t>Davani</t>
  </si>
  <si>
    <t>CHR-36</t>
  </si>
  <si>
    <t>Chanderi soft silk</t>
  </si>
  <si>
    <t>CHR-37</t>
  </si>
  <si>
    <t>Tussar Embroidary saree</t>
  </si>
  <si>
    <t>CHR-38</t>
  </si>
  <si>
    <t>CHR-39</t>
  </si>
  <si>
    <t>Imported Rayon Salwar Set peacock blue</t>
  </si>
  <si>
    <t>CHR-40</t>
  </si>
  <si>
    <t>CHR-41</t>
  </si>
  <si>
    <t>Imported Rayon Salwar Set</t>
  </si>
  <si>
    <t>CHR-42</t>
  </si>
  <si>
    <t>Linen Floral Salwar Set (sunflower)</t>
  </si>
  <si>
    <t>CHR-43</t>
  </si>
  <si>
    <t>Anju, Ranju</t>
  </si>
  <si>
    <t>XXL pending</t>
  </si>
  <si>
    <t>CHR-44</t>
  </si>
  <si>
    <t>Green &amp; black cotton silk</t>
  </si>
  <si>
    <t>CHR-45</t>
  </si>
  <si>
    <t>Cotton Peach</t>
  </si>
  <si>
    <t>CHR-46</t>
  </si>
  <si>
    <t>Tusser embroidary saress</t>
  </si>
  <si>
    <t>Anju, Annie(2-blue/green)</t>
  </si>
  <si>
    <t>Rajna/Rameez</t>
  </si>
  <si>
    <t>Partially Sold</t>
  </si>
  <si>
    <t>CHR-47</t>
  </si>
  <si>
    <t>Mal Chanderi</t>
  </si>
  <si>
    <t>CHR-48</t>
  </si>
  <si>
    <t>Pink Tussar Emb</t>
  </si>
  <si>
    <t>Pink</t>
  </si>
  <si>
    <t>CHR-49</t>
  </si>
  <si>
    <t>Soft Cotton Salwar set - wine red</t>
  </si>
  <si>
    <t>CHR-50</t>
  </si>
  <si>
    <t>CHR-51</t>
  </si>
  <si>
    <t>M, L, XXL</t>
  </si>
  <si>
    <t>Red</t>
  </si>
  <si>
    <t>CHR-52</t>
  </si>
  <si>
    <t>Shanu - 1800, Rinsha friend - 1000</t>
  </si>
  <si>
    <t>Ocean Blue</t>
  </si>
  <si>
    <t>CHR-53</t>
  </si>
  <si>
    <t>Hakoba Cotton Chridar</t>
  </si>
  <si>
    <t>Blue, Black</t>
  </si>
  <si>
    <t>Returned</t>
  </si>
  <si>
    <t>CHR-54</t>
  </si>
  <si>
    <t>Linen Floral Print Salwar Set</t>
  </si>
  <si>
    <t>Sruthi(M)</t>
  </si>
  <si>
    <t>CHR-55</t>
  </si>
  <si>
    <t>XL-XXL</t>
  </si>
  <si>
    <t>CHR-56</t>
  </si>
  <si>
    <t>Pakistani Semi Silk Blend</t>
  </si>
  <si>
    <t>M-XL</t>
  </si>
  <si>
    <t>CHR-57</t>
  </si>
  <si>
    <t>Linen Floral Salwar Set (yellow)</t>
  </si>
  <si>
    <t>L, XL</t>
  </si>
  <si>
    <t>CHR-58</t>
  </si>
  <si>
    <t>Sruthi (1300) - L</t>
  </si>
  <si>
    <t>M, XL</t>
  </si>
  <si>
    <t>Wine red</t>
  </si>
  <si>
    <t>CHR-59</t>
  </si>
  <si>
    <t>Silk Blend Salwar Set</t>
  </si>
  <si>
    <t>Jisha (XL), Rameez Relative(L): 900</t>
  </si>
  <si>
    <t>Maroon, Violet</t>
  </si>
  <si>
    <t>CHR-60</t>
  </si>
  <si>
    <t>Deepthi - Mustard for Hokoba return</t>
  </si>
  <si>
    <t>M/XL</t>
  </si>
  <si>
    <t>Violet(M&amp;XL), Pink</t>
  </si>
  <si>
    <t>Peacock blue sold, grey returned</t>
  </si>
  <si>
    <t>CHR-61</t>
  </si>
  <si>
    <t>Resmi(Tvm) - 500</t>
  </si>
  <si>
    <t>CHR-62</t>
  </si>
  <si>
    <t>CHR-63</t>
  </si>
  <si>
    <t>CHR-64</t>
  </si>
  <si>
    <t>Kota Linen Saree</t>
  </si>
  <si>
    <t>CHR-65</t>
  </si>
  <si>
    <t>Mulmul Cotton Collection</t>
  </si>
  <si>
    <t>Athulya (blued and white), Rinsha (violet &amp; pink -850)</t>
  </si>
  <si>
    <t>CHR-66</t>
  </si>
  <si>
    <t>Mul Chanderi Saree with Ajrakh Palu</t>
  </si>
  <si>
    <t>CHR-67</t>
  </si>
  <si>
    <t>Cotton Blend Saree</t>
  </si>
  <si>
    <t>Green/Yellow available</t>
  </si>
  <si>
    <t>CHR-68</t>
  </si>
  <si>
    <t>Soft Muslin Cotton Chridar</t>
  </si>
  <si>
    <t>M-XXL</t>
  </si>
  <si>
    <t>CHR-69</t>
  </si>
  <si>
    <t>Cotton Silk (Green &amp; dusty mauve)</t>
  </si>
  <si>
    <t>Simi (TVM), Saranya Gopalakrishanan (pending-1250)</t>
  </si>
  <si>
    <t>CHR-70</t>
  </si>
  <si>
    <t>Tussar Silk</t>
  </si>
  <si>
    <t>CHR-71</t>
  </si>
  <si>
    <t>Cotton Silk (contrast colors)</t>
  </si>
  <si>
    <t>CHR-72</t>
  </si>
  <si>
    <t>Black 2 pice Rayon</t>
  </si>
  <si>
    <t>CHR-73</t>
  </si>
  <si>
    <t>Linen Blend Saree</t>
  </si>
  <si>
    <t>CHR-74</t>
  </si>
  <si>
    <t>CHR-75</t>
  </si>
  <si>
    <t>Linen Buti</t>
  </si>
  <si>
    <t>CHR-76</t>
  </si>
  <si>
    <t>Soft cotton white and blue printed salwar suit set (plus size)</t>
  </si>
  <si>
    <t>Shidhin (XXXL-1250)</t>
  </si>
  <si>
    <t>Size: XL, XXL</t>
  </si>
  <si>
    <t>CHR-77</t>
  </si>
  <si>
    <t>Chanderi silk soft dusty rose/pink kurta suit set with delicate floral prints and light embroiderysalwar 3 piece set</t>
  </si>
  <si>
    <t>Saida (1400), Binija (1560)</t>
  </si>
  <si>
    <t>Size: M, L</t>
  </si>
  <si>
    <t>CHR-78</t>
  </si>
  <si>
    <t>Linen blend deep wine/maroon kurta suit with elegant embroidery and a contrasting dupatta</t>
  </si>
  <si>
    <t>New</t>
  </si>
  <si>
    <t>Size: M</t>
  </si>
  <si>
    <t>CHR-79</t>
  </si>
  <si>
    <t>Silk blend 3 piece salwar set(indigo blue)</t>
  </si>
  <si>
    <t>Saida (1600), Lathika (L-1400)</t>
  </si>
  <si>
    <t>Size: M, XXL</t>
  </si>
  <si>
    <t>CHR-80</t>
  </si>
  <si>
    <t>Rayon multicolored printed kurta set with a bold and artistic patchwork-style</t>
  </si>
  <si>
    <t>Dilna (XL)
Girija (L), Amma (XXL)</t>
  </si>
  <si>
    <t>CHR-81</t>
  </si>
  <si>
    <t>Soft cotton salwar 3 piece set - coral pink</t>
  </si>
  <si>
    <t>Jisha (1545-XL), Shiji(1370-L), Sheejamol(XXL)-850</t>
  </si>
  <si>
    <t>CHR-82</t>
  </si>
  <si>
    <t>Soft cotton with white embroidery/sequence work incl shall (3 piece, beige)</t>
  </si>
  <si>
    <t>Jisha (XL - 1455), Shinoob friend (L) (1400), Divya ordered - XXL (1400)</t>
  </si>
  <si>
    <t>Size: L, XL, XXL</t>
  </si>
  <si>
    <t>CHR-83</t>
  </si>
  <si>
    <t>Co-ord set short (2 piece) linen blend</t>
  </si>
  <si>
    <t>Silpa (600) - M</t>
  </si>
  <si>
    <t>Size: L, XL</t>
  </si>
  <si>
    <t>CHR-84</t>
  </si>
  <si>
    <t>Soft cotton salwar 3 piece set (Indigo/royal blue) Ajrakh print</t>
  </si>
  <si>
    <t>Susmi (M), Susheela(Kannur)XL-950</t>
  </si>
  <si>
    <t>CHR-85</t>
  </si>
  <si>
    <t>Linen Blend cotton Salwar Set- 3 piece (lavender with ajrakh print)</t>
  </si>
  <si>
    <t>Baby Khadeeja - 1400, Rameez Relative(XXL): 900</t>
  </si>
  <si>
    <t>CHR-86</t>
  </si>
  <si>
    <t>Soft cotton buble work salwar - 3 piece set (mustard)</t>
  </si>
  <si>
    <t xml:space="preserve">Size: M, L,XL </t>
  </si>
  <si>
    <t>CHR-87</t>
  </si>
  <si>
    <t>Cotton printed Salwar Set - 3 piece (brick red with black elephant)</t>
  </si>
  <si>
    <t>Susmi (1200) - L
Sreelakshmi (1000) - XL, Prema (1000) - XXL</t>
  </si>
  <si>
    <t>Size - M,XXL</t>
  </si>
  <si>
    <t>CHR-88</t>
  </si>
  <si>
    <t>Cotton silk saree in green and black</t>
  </si>
  <si>
    <t>CHR-89</t>
  </si>
  <si>
    <t>Banarasi Silk black &amp; pink</t>
  </si>
  <si>
    <t>CHR-90</t>
  </si>
  <si>
    <t>Rainbow saree</t>
  </si>
  <si>
    <t>saree</t>
  </si>
  <si>
    <t>Latha (500)</t>
  </si>
  <si>
    <t>CHR-91</t>
  </si>
  <si>
    <t>Tissue Silk</t>
  </si>
  <si>
    <t>Athulya (brick red)-789, Annie-600(Yellow), Rajitha (Peach)-500</t>
  </si>
  <si>
    <t>CHR-92</t>
  </si>
  <si>
    <t>Kurti blue Jute</t>
  </si>
  <si>
    <t>Sourabhya (XL - 580)</t>
  </si>
  <si>
    <t>L, XXL</t>
  </si>
  <si>
    <t>CHR-93</t>
  </si>
  <si>
    <t>banarasi silk saree</t>
  </si>
  <si>
    <t>CHR-94</t>
  </si>
  <si>
    <t>Khadi stripe saree</t>
  </si>
  <si>
    <t>Nalini, Latha, Girija</t>
  </si>
  <si>
    <t>CHR-95</t>
  </si>
  <si>
    <t>Chinon silk saree</t>
  </si>
  <si>
    <t>CHR-96</t>
  </si>
  <si>
    <t>Pashmina silk saree</t>
  </si>
  <si>
    <t>CHR-97</t>
  </si>
  <si>
    <t>Aanchal - Black and whit salawar</t>
  </si>
  <si>
    <t>CHR-98</t>
  </si>
  <si>
    <t>Aanchal - Red Salwar with black flowers</t>
  </si>
  <si>
    <t>CHR-99</t>
  </si>
  <si>
    <t>Aanchal - Red salwar with white flower</t>
  </si>
  <si>
    <t>CHR-100</t>
  </si>
  <si>
    <t>Aanchal yellow salwar</t>
  </si>
  <si>
    <t>CHR-101</t>
  </si>
  <si>
    <t>Aanchal blue Salwar with white lining (bagru hand printed)</t>
  </si>
  <si>
    <t>CHR-102</t>
  </si>
  <si>
    <t>Aanchal black &amp; white floral print salwar</t>
  </si>
  <si>
    <t>CHR-103</t>
  </si>
  <si>
    <t>Aanchal navy blue cotton kurta with red  embriodered detailing</t>
  </si>
  <si>
    <t>CHR-104</t>
  </si>
  <si>
    <t>Aanchal black Salwar with white printex work</t>
  </si>
  <si>
    <t>CHR-105</t>
  </si>
  <si>
    <t>Aanchal navy blue embroidered Pakistani Aghanoor cotton 3-piece set</t>
  </si>
  <si>
    <t>CHR-106</t>
  </si>
  <si>
    <t>Aanchal green floral print cotton salwar set</t>
  </si>
  <si>
    <t>CHR-107</t>
  </si>
  <si>
    <t>Aanchal black ajrakh hand block printed salwar set</t>
  </si>
  <si>
    <t>CHR-108</t>
  </si>
  <si>
    <t>Aanchal Rani cotton salwar</t>
  </si>
  <si>
    <t>CHR-109</t>
  </si>
  <si>
    <t>Aanchal Blue &amp; red cotton Azrakh print</t>
  </si>
  <si>
    <t>CHR-110</t>
  </si>
  <si>
    <t>Aanchal white Anarkali Salwar</t>
  </si>
  <si>
    <t>CHR-111</t>
  </si>
  <si>
    <t>Aanchal Cotton white salwar set</t>
  </si>
  <si>
    <t>CHR-112</t>
  </si>
  <si>
    <t>Aanchal beige cotton salwar with navy blue block-print dupatta</t>
  </si>
  <si>
    <t>CHR-113</t>
  </si>
  <si>
    <t>Viscose Rayon Silk Saree (Cocoa brown)</t>
  </si>
  <si>
    <t>CHR-114</t>
  </si>
  <si>
    <t>Viscose Georgette Saree</t>
  </si>
  <si>
    <t>CHR-115</t>
  </si>
  <si>
    <t>Banarasi Silk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</si>
  <si>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</t>
  </si>
  <si>
    <t>Rust orange - 1</t>
  </si>
  <si>
    <t>CHR-116</t>
  </si>
  <si>
    <t>Banarasi Silk (Yellow design)</t>
  </si>
  <si>
    <t>CHR-117</t>
  </si>
  <si>
    <t>Chanderi Silk Tie &amp; Dye collection</t>
  </si>
  <si>
    <t>Nalini - Pink (1400)</t>
  </si>
  <si>
    <t>Blue - 1</t>
  </si>
  <si>
    <t>CHR-118</t>
  </si>
  <si>
    <t>Off-white block-printed silk saree</t>
  </si>
  <si>
    <t>CHR-119</t>
  </si>
  <si>
    <t>Chanderi Printed Silk Saree</t>
  </si>
  <si>
    <t>Aruna - violet, Resmi - navy blue, Malini - Rani Pink</t>
  </si>
  <si>
    <t>Violet, navy blue, rani pink</t>
  </si>
  <si>
    <t>CHR-120</t>
  </si>
  <si>
    <t>Kalyani cotton silk</t>
  </si>
  <si>
    <t>Aruna - Yellow, Malu - Orange (Pending)</t>
  </si>
  <si>
    <t>yellow green &amp; orange green</t>
  </si>
  <si>
    <t>CHR-121</t>
  </si>
  <si>
    <t>Roman Silk Salwar Set</t>
  </si>
  <si>
    <t>Sushitha (XXL-1600)</t>
  </si>
  <si>
    <t>M, L, XL</t>
  </si>
  <si>
    <t>CHR-122</t>
  </si>
  <si>
    <t>Banarasi Silk (Parrot Green)</t>
  </si>
  <si>
    <t>Nisha Nair
Shiji
Priya Reji
Raji
Nisha Sajitha</t>
  </si>
  <si>
    <t>CHR-123</t>
  </si>
  <si>
    <t>Kalyani cotton silk (red)</t>
  </si>
  <si>
    <t>Divya (Kollam), Ananya (TVM), Liji (Vadakara), Archana(Devagiri)-Ordered, Anu(Kottayam), Linu(Kottayam)</t>
  </si>
  <si>
    <t>CHR-124</t>
  </si>
  <si>
    <t>Viscose Chokda</t>
  </si>
  <si>
    <t>Neethu(Pkd)-1450, Remya(Pkd)-1250</t>
  </si>
  <si>
    <t>Blue, Green</t>
  </si>
  <si>
    <t>CHR-125</t>
  </si>
  <si>
    <t>Aanchal Maroon Salwar</t>
  </si>
  <si>
    <t>Malu (1800)</t>
  </si>
  <si>
    <t>XXXL</t>
  </si>
  <si>
    <t>CHR-126</t>
  </si>
  <si>
    <t>Aanchal maroon palzo kurta</t>
  </si>
  <si>
    <t>CHR-127</t>
  </si>
  <si>
    <t>⁠Rustic Geo Kota (Stairs) - Net Kota</t>
  </si>
  <si>
    <t>CHR-128</t>
  </si>
  <si>
    <t>⁠Grey Arrow Kota (Arrow) - Net kota</t>
  </si>
  <si>
    <t>Chris (1250)</t>
  </si>
  <si>
    <t>CHR-129</t>
  </si>
  <si>
    <t>Dolla silk Olive Green</t>
  </si>
  <si>
    <t>CHR-130</t>
  </si>
  <si>
    <t>Chanderi Cotton (Golden Yellow)</t>
  </si>
  <si>
    <t>CHR-131</t>
  </si>
  <si>
    <t>⁠​Regal Black semi silk Brocade type</t>
  </si>
  <si>
    <t>Saranya Gopalakrishnan(1300)</t>
  </si>
  <si>
    <t>CHR-132</t>
  </si>
  <si>
    <t>Kota Doria (Green with silver floral work)</t>
  </si>
  <si>
    <t>CHR-133</t>
  </si>
  <si>
    <t>Semi Silk (Peach)</t>
  </si>
  <si>
    <t>CHR-134</t>
  </si>
  <si>
    <t>Net kota saree - turquoise blue with floral design and maroon border</t>
  </si>
  <si>
    <t>priya(hosur)</t>
  </si>
  <si>
    <t>CHR-135</t>
  </si>
  <si>
    <t>⁠Viscose Chokda</t>
  </si>
  <si>
    <t>Sreeja -Green:1250</t>
  </si>
  <si>
    <t>Rust orange, burned orange (lotus)</t>
  </si>
  <si>
    <t>CHR-136</t>
  </si>
  <si>
    <t>Banarasi silk (lavender)</t>
  </si>
  <si>
    <t>CHR-137</t>
  </si>
  <si>
    <t>⁠​Blue manipuri silk saree</t>
  </si>
  <si>
    <t>CHR-138</t>
  </si>
  <si>
    <t>⁠​Linen black saree</t>
  </si>
  <si>
    <t>CHR-139</t>
  </si>
  <si>
    <t xml:space="preserve">⁠​Maheswari cotton Silk saree </t>
  </si>
  <si>
    <t>haris(ekm)</t>
  </si>
  <si>
    <t>CHR-140</t>
  </si>
  <si>
    <t>⁠​Ganga Jamuna kalyani Cotton Saree</t>
  </si>
  <si>
    <t>CHR-141</t>
  </si>
  <si>
    <t>Semi Silk</t>
  </si>
  <si>
    <t>Annu (Light Violet Semi Silk), Susmi - Coffee, Navya - mustard</t>
  </si>
  <si>
    <t>CHR-142</t>
  </si>
  <si>
    <t>Semi Silk (Rose Pink)</t>
  </si>
  <si>
    <t>CHR-143</t>
  </si>
  <si>
    <t>Synthetic Net Kota Doria (Soft ivory/off-white - Muted Coral Pink &amp; Olive green floral motifs)</t>
  </si>
  <si>
    <t>CHR-144</t>
  </si>
  <si>
    <t>CHR-145</t>
  </si>
  <si>
    <t>Linen Saree with Check (Maroon with golden checks, Rust Orange with golden checks)</t>
  </si>
  <si>
    <t>Chris (1000 - Green)</t>
  </si>
  <si>
    <t>CHR-146</t>
  </si>
  <si>
    <t>Matka Silk Saree</t>
  </si>
  <si>
    <t>CHR-147</t>
  </si>
  <si>
    <t>Soft Cotton Saree (with butterfly design on Pallu)</t>
  </si>
  <si>
    <t>Latha(Yellow), Sari(Peach)</t>
  </si>
  <si>
    <t>CHR-148</t>
  </si>
  <si>
    <t>SAREES 5619 (Tissue Silk Saree Golden Color)</t>
  </si>
  <si>
    <t>CHR-149</t>
  </si>
  <si>
    <t>SAREE TISSUE EMB (Lavender (light &amp; dark), Red)</t>
  </si>
  <si>
    <t>CHR-150</t>
  </si>
  <si>
    <t>CHIKKANKARI SALWAR</t>
  </si>
  <si>
    <t>Praneetha (L), Rameez Cousin (M)</t>
  </si>
  <si>
    <t>XL, XXL</t>
  </si>
  <si>
    <t>Purple</t>
  </si>
  <si>
    <t>CHR-151</t>
  </si>
  <si>
    <t>Short Kurta</t>
  </si>
  <si>
    <t>Rinsha(M)</t>
  </si>
  <si>
    <t>L,XL,XXL</t>
  </si>
  <si>
    <t>Light Brown colr</t>
  </si>
  <si>
    <t>CHR-152</t>
  </si>
  <si>
    <t>Banarasi (Yellow/Green)</t>
  </si>
  <si>
    <t>Yellow Green</t>
  </si>
  <si>
    <t>CHR-153</t>
  </si>
  <si>
    <t>Ivory &amp; black printed cotton 3-piece salwar set</t>
  </si>
  <si>
    <t>M, XL, XXL</t>
  </si>
  <si>
    <t>CHR-154</t>
  </si>
  <si>
    <t>Dark brown embroidered cotton 3-piece salwar set</t>
  </si>
  <si>
    <t>CHR-155</t>
  </si>
  <si>
    <t>Black cotton 3-piece salwar set with printed dupatta</t>
  </si>
  <si>
    <t>M, L, XL, XXL</t>
  </si>
  <si>
    <t>CHR-156</t>
  </si>
  <si>
    <t>Off-white cotton 2-piece set with blue floral prints</t>
  </si>
  <si>
    <t>Prema(XXL)</t>
  </si>
  <si>
    <t>CHR-157</t>
  </si>
  <si>
    <t>Off-white printed 2-piece kurti set with multicolor pattern</t>
  </si>
  <si>
    <t>M, L, XL, XXL, XXXL</t>
  </si>
  <si>
    <t>CHR-158</t>
  </si>
  <si>
    <t>Olive green cotton 2-piece kurti set with floral prints</t>
  </si>
  <si>
    <t>CHR-159</t>
  </si>
  <si>
    <t>Khadee Saree - Navy Blue and Olive Green</t>
  </si>
  <si>
    <t>CHR-160</t>
  </si>
  <si>
    <t>Khadee Saree - Brown &amp; Black</t>
  </si>
  <si>
    <t>CHR-161</t>
  </si>
  <si>
    <t>Black &amp; Beige Leaf Print Cotton Silk Saree</t>
  </si>
  <si>
    <t>CHR-162</t>
  </si>
  <si>
    <t>Teal &amp; Coral Abstract Print Cotton Silk Saree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</si>
  <si>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</si>
  <si>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</si>
  <si>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</si>
  <si>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</si>
  <si>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</si>
  <si>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</si>
  <si>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</si>
  <si>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</si>
  <si>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</si>
  <si>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</si>
  <si>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</si>
  <si>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</si>
  <si>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</si>
  <si>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</si>
  <si>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</si>
  <si>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</si>
  <si>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</si>
  <si>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</si>
  <si>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</si>
  <si>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</si>
  <si>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</si>
  <si>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</si>
  <si>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</si>
  <si>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</si>
  <si>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</si>
  <si>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</si>
  <si>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Shinoob</t>
  </si>
  <si>
    <t>Banarasi Yello &amp; Green, Tussar Silk Teal Blue, Green Cotton Silk</t>
  </si>
  <si>
    <t>Shinoob - 1100</t>
  </si>
  <si>
    <t>Green</t>
  </si>
  <si>
    <t>Shinoob (1200)</t>
  </si>
  <si>
    <t>Chris (Goldern with flowers)</t>
  </si>
  <si>
    <t>Matka silk - Blue/Green</t>
  </si>
  <si>
    <t>Golden color tissue with flowers</t>
  </si>
  <si>
    <t>Jothika(Pkd)</t>
  </si>
  <si>
    <t>Matka silk - Blue/red</t>
  </si>
  <si>
    <t>Blue/bottle green - Saranya Hyd, Blue/red - Jothika, Mustard - Vineetha</t>
  </si>
  <si>
    <t>Vineetha(Kottayam)</t>
  </si>
  <si>
    <t>Matka Silk - mustard</t>
  </si>
  <si>
    <t>Amalu(black/maroon), Lethy(Thiruvalla):1550, Vineet(Maroon): 1550, Chris(Yellow) - 1250, Geemol (Black/Violet) - 1500</t>
  </si>
  <si>
    <t>Geemol Mathew (Kottayam)</t>
  </si>
  <si>
    <t>Viscose georgette - Black/Violet</t>
  </si>
  <si>
    <t xml:space="preserve">Narayanpett (Ganga Jamuna Alpha) </t>
  </si>
  <si>
    <t xml:space="preserve">Grey-Black/Red, Maroon-Yellow/Bottle Green, Purple-Yellow/Bottle Green, Bottle Green-Yellow/Red, Peacock Blue-Purple/Golden Yellow  </t>
  </si>
  <si>
    <t>CHR-163</t>
  </si>
  <si>
    <t>Sungudi  (Alice Christy inspired)</t>
  </si>
  <si>
    <t>CHR-164</t>
  </si>
  <si>
    <t xml:space="preserve">Red &amp; Navy Blue </t>
  </si>
  <si>
    <t xml:space="preserve">Jute Silk Checked </t>
  </si>
  <si>
    <t>CHR-165</t>
  </si>
  <si>
    <t xml:space="preserve">Violet, Chocolate Brown, Bottle Green  </t>
  </si>
  <si>
    <t>Tant Mix (Bank)</t>
  </si>
  <si>
    <t>CHR-166</t>
  </si>
  <si>
    <t>Rajna - 740</t>
  </si>
  <si>
    <t>Tant mix bank - peacock blue</t>
  </si>
  <si>
    <t>Peacock blue with rany pink</t>
  </si>
  <si>
    <t xml:space="preserve">Khadi Cotton (Jar Border)  </t>
  </si>
  <si>
    <t xml:space="preserve">Yellow, Dark Green, Violet  </t>
  </si>
  <si>
    <t>CHR-167</t>
  </si>
  <si>
    <t>CHR-168</t>
  </si>
  <si>
    <t xml:space="preserve">Bengal Cotton (Light Orange Floral)  </t>
  </si>
  <si>
    <t>Orange floral</t>
  </si>
  <si>
    <t>March boosting</t>
  </si>
  <si>
    <t>Susmi. Shinoob (Teal blue), Sarany Hyd -980</t>
  </si>
  <si>
    <t>Tussar silk Green(CHR-70) - 500 advance, Tissue silk non floral(CHR-148)</t>
  </si>
  <si>
    <t>Cotton blend saree yellow - CHR-67</t>
  </si>
  <si>
    <t>Jitha Joy</t>
  </si>
  <si>
    <t>Jitha Joy - 650</t>
  </si>
  <si>
    <t>Mulmul cotton black - CHR-65</t>
  </si>
  <si>
    <t>Deepa 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</si>
</sst>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\-mm\-dd;@"/>
    <numFmt numFmtId="166" formatCode="m/d/yyyy"/>
  </numFmts>
  <fonts count="29">
    <font>
      <sz val="11"/>
      <color theme="1"/>
      <name val="Calibri"/>
      <family val="2"/>
      <charset val="1"/>
    </font>
    <font>
      <sz val="14"/>
      <color theme="1"/>
      <name val="Calibri (Body)"/>
      <charset val="1"/>
    </font>
    <font>
      <sz val="14"/>
      <name val="Calibri (Body)"/>
      <charset val="1"/>
    </font>
    <font>
      <b/>
      <sz val="14"/>
      <color rgb="FFFFFFFF"/>
      <name val="Calibri (Body)"/>
      <charset val="1"/>
    </font>
    <font>
      <sz val="11"/>
      <color theme="1"/>
      <name val="Trebuchet MS"/>
      <family val="2"/>
      <charset val="1"/>
    </font>
    <font>
      <b/>
      <sz val="16"/>
      <color theme="1"/>
      <name val="Trebuchet MS"/>
      <family val="2"/>
      <charset val="1"/>
    </font>
    <font>
      <b/>
      <sz val="11"/>
      <name val="Trebuchet MS"/>
      <family val="2"/>
      <charset val="1"/>
    </font>
    <font>
      <b/>
      <sz val="14"/>
      <color rgb="FF002060"/>
      <name val="Trebuchet MS"/>
      <family val="2"/>
      <charset val="1"/>
    </font>
    <font>
      <b/>
      <sz val="11"/>
      <color rgb="FF00B050"/>
      <name val="Trebuchet MS"/>
      <family val="2"/>
      <charset val="1"/>
    </font>
    <font>
      <b/>
      <sz val="11"/>
      <color rgb="FFFF0000"/>
      <name val="Trebuchet MS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mbria"/>
      <family val="1"/>
      <charset val="1"/>
    </font>
    <font>
      <b/>
      <sz val="12"/>
      <color rgb="FF0070C0"/>
      <name val="Cambria"/>
      <family val="1"/>
      <charset val="1"/>
    </font>
    <font>
      <b/>
      <sz val="11"/>
      <color rgb="FF444746"/>
      <name val="Arial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/>
      <sz val="11"/>
      <color rgb="FF1F1F1F"/>
      <name val="Arial"/>
      <family val="2"/>
      <charset val="1"/>
    </font>
    <font>
      <sz val="10"/>
      <color rgb="FF444746"/>
      <name val="Google Sans Text"/>
      <family val="2"/>
      <charset val="1"/>
    </font>
    <font>
      <b/>
      <sz val="9"/>
      <name val="Trebuchet MS"/>
      <family val="2"/>
      <charset val="1"/>
    </font>
    <font>
      <sz val="9"/>
      <color theme="1"/>
      <name val="Trebuchet MS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Trebuchet MS"/>
      <family val="2"/>
      <charset val="1"/>
    </font>
    <font>
      <b/>
      <sz val="12"/>
      <name val="Trebuchet MS"/>
      <family val="2"/>
      <charset val="1"/>
    </font>
    <font>
      <sz val="12"/>
      <color theme="1"/>
      <name val="Trebuchet MS"/>
      <family val="2"/>
      <charset val="1"/>
    </font>
    <font>
      <strike/>
      <sz val="11"/>
      <color theme="1"/>
      <name val="Trebuchet MS"/>
      <family val="2"/>
      <charset val="1"/>
    </font>
    <font>
      <sz val="12"/>
      <color theme="1"/>
      <name val="Arial"/>
      <family val="2"/>
      <charset val="1"/>
    </font>
    <font>
      <b/>
      <sz val="11"/>
      <color theme="1"/>
      <name val="Trebuchet MS"/>
      <family val="2"/>
      <charset val="1"/>
    </font>
    <font>
      <b/>
      <sz val="12"/>
      <color theme="1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A7EBB"/>
      </patternFill>
    </fill>
    <fill>
      <patternFill patternType="solid">
        <fgColor rgb="FFBDD7EE"/>
        <bgColor rgb="FFD0D0D0"/>
      </patternFill>
    </fill>
    <fill>
      <patternFill patternType="solid">
        <fgColor rgb="FFE9F2FB"/>
        <bgColor rgb="FFF2F2F2"/>
      </patternFill>
    </fill>
    <fill>
      <patternFill patternType="solid">
        <fgColor rgb="FF9DC3E6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79857783745845"/>
        <bgColor rgb="FFE9F2FB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 indent="2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1" fillId="0" borderId="0" xfId="0" applyFont="1"/>
    <xf numFmtId="164" fontId="0" fillId="0" borderId="0" xfId="0" applyNumberFormat="1"/>
    <xf numFmtId="0" fontId="0" fillId="4" borderId="1" xfId="0" applyFill="1" applyBorder="1" applyAlignment="1">
      <alignment horizontal="right" vertic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right" vertical="center"/>
    </xf>
    <xf numFmtId="165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right" vertical="center"/>
    </xf>
    <xf numFmtId="0" fontId="21" fillId="0" borderId="0" xfId="0" applyFont="1"/>
    <xf numFmtId="0" fontId="0" fillId="0" borderId="0" xfId="0" applyAlignment="1">
      <alignment wrapText="1"/>
    </xf>
    <xf numFmtId="165" fontId="6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22" fillId="4" borderId="2" xfId="0" applyNumberFormat="1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right" vertical="center"/>
    </xf>
    <xf numFmtId="0" fontId="22" fillId="4" borderId="2" xfId="0" applyFont="1" applyFill="1" applyBorder="1" applyAlignment="1">
      <alignment horizontal="left" vertical="center" wrapText="1"/>
    </xf>
    <xf numFmtId="165" fontId="22" fillId="0" borderId="2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165" fontId="22" fillId="0" borderId="3" xfId="0" applyNumberFormat="1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23" fillId="3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wrapText="1"/>
    </xf>
    <xf numFmtId="0" fontId="4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wrapText="1"/>
    </xf>
    <xf numFmtId="0" fontId="25" fillId="4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right" vertical="center" wrapText="1"/>
    </xf>
    <xf numFmtId="0" fontId="25" fillId="0" borderId="2" xfId="0" applyFont="1" applyBorder="1" applyAlignment="1">
      <alignment wrapText="1"/>
    </xf>
    <xf numFmtId="0" fontId="26" fillId="0" borderId="0" xfId="0" applyFont="1"/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wrapText="1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8" fillId="0" borderId="0" xfId="0" applyFont="1"/>
    <xf numFmtId="166" fontId="4" fillId="0" borderId="1" xfId="0" applyNumberFormat="1" applyFont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left" vertical="center"/>
    </xf>
    <xf numFmtId="0" fontId="27" fillId="0" borderId="0" xfId="0" applyFont="1"/>
    <xf numFmtId="0" fontId="4" fillId="0" borderId="2" xfId="0" applyFont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F99"/>
      <rgbColor rgb="FFD0D0D0"/>
      <rgbColor rgb="FF878787"/>
      <rgbColor rgb="FF9DC3E6"/>
      <rgbColor rgb="FFBE4B48"/>
      <rgbColor rgb="FFFFF2CC"/>
      <rgbColor rgb="FFE9F2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DCE6F2"/>
      <rgbColor rgb="FFC6EFCE"/>
      <rgbColor rgb="FFF2F2F2"/>
      <rgbColor rgb="FF99CCFF"/>
      <rgbColor rgb="FFFF99CC"/>
      <rgbColor rgb="FFD9D9D9"/>
      <rgbColor rgb="FFFFC7CE"/>
      <rgbColor rgb="FF397BCA"/>
      <rgbColor rgb="FF4F81BD"/>
      <rgbColor rgb="FF9BBB59"/>
      <rgbColor rgb="FFFFCC00"/>
      <rgbColor rgb="FFFF9900"/>
      <rgbColor rgb="FFFF6600"/>
      <rgbColor rgb="FF595959"/>
      <rgbColor rgb="FF888888"/>
      <rgbColor rgb="FF002060"/>
      <rgbColor rgb="FF00B050"/>
      <rgbColor rgb="FF1F1F1F"/>
      <rgbColor rgb="FF262626"/>
      <rgbColor rgb="FF444746"/>
      <rgbColor rgb="FFC0504D"/>
      <rgbColor rgb="FF404040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595959"/>
                </a:solidFill>
                <a:uFillTx/>
                <a:latin typeface="Calibri"/>
              </a:rPr>
              <a:t> </a:t>
            </a:r>
            <a:r>
              <a:rPr lang="en-US" sz="1800" b="1" u="none" strike="noStrike">
                <a:solidFill>
                  <a:srgbClr val="3A3A3A"/>
                </a:solidFill>
                <a:uFillTx/>
                <a:latin typeface="Calibri"/>
              </a:rPr>
              <a:t>Sold vs Pending by Category </a:t>
            </a:r>
          </a:p>
        </c:rich>
      </c:tx>
      <c:layout>
        <c:manualLayout>
          <c:xMode val="edge"/>
          <c:yMode val="edge"/>
          <c:x val="0.14780942426617899"/>
          <c:y val="2.6160889470241999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984670324884599E-2"/>
          <c:y val="0.16245912361020301"/>
          <c:w val="0.90262172284644204"/>
          <c:h val="0.61491170699803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129</c:v>
                </c:pt>
                <c:pt idx="1">
                  <c:v>76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0-6E41-BD72-9548E2EDDF2D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54</c:v>
                </c:pt>
                <c:pt idx="1">
                  <c:v>68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0-6E41-BD72-9548E2EDD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99087"/>
        <c:axId val="98104134"/>
      </c:barChart>
      <c:catAx>
        <c:axId val="984990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8104134"/>
        <c:crosses val="autoZero"/>
        <c:auto val="1"/>
        <c:lblAlgn val="ctr"/>
        <c:lblOffset val="100"/>
        <c:noMultiLvlLbl val="0"/>
      </c:catAx>
      <c:valAx>
        <c:axId val="981041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84990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layout>
        <c:manualLayout>
          <c:xMode val="edge"/>
          <c:yMode val="edge"/>
          <c:x val="0.612759770803045"/>
          <c:y val="3.9380414807036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33609852048204E-2"/>
          <c:y val="0.201496455762667"/>
          <c:w val="0.86461985803472197"/>
          <c:h val="0.70937253872407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D9D9D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69946</c:v>
                </c:pt>
                <c:pt idx="1">
                  <c:v>41509.066666666666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2-A947-8B94-864EE6BCB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01503"/>
        <c:axId val="21474302"/>
      </c:barChart>
      <c:catAx>
        <c:axId val="82015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21474302"/>
        <c:crosses val="autoZero"/>
        <c:auto val="1"/>
        <c:lblAlgn val="ctr"/>
        <c:lblOffset val="100"/>
        <c:noMultiLvlLbl val="0"/>
      </c:catAx>
      <c:valAx>
        <c:axId val="2147430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82015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Purchases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4790</c:v>
                </c:pt>
                <c:pt idx="2">
                  <c:v>22172</c:v>
                </c:pt>
                <c:pt idx="3">
                  <c:v>15145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C-8D4A-9BD1-1BF8A2D034FC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16548</c:v>
                </c:pt>
                <c:pt idx="3">
                  <c:v>13910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C-8D4A-9BD1-1BF8A2D03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817454"/>
        <c:axId val="51229002"/>
      </c:lineChart>
      <c:catAx>
        <c:axId val="76817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229002"/>
        <c:crosses val="autoZero"/>
        <c:auto val="1"/>
        <c:lblAlgn val="ctr"/>
        <c:lblOffset val="100"/>
        <c:noMultiLvlLbl val="0"/>
      </c:catAx>
      <c:valAx>
        <c:axId val="51229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8174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Net Cash Flow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14299</c:v>
                </c:pt>
                <c:pt idx="2">
                  <c:v>-5624</c:v>
                </c:pt>
                <c:pt idx="3">
                  <c:v>-1235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F-F14A-AFA6-AF291F201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237029"/>
        <c:axId val="10965197"/>
      </c:lineChart>
      <c:catAx>
        <c:axId val="592370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0965197"/>
        <c:crosses val="autoZero"/>
        <c:auto val="1"/>
        <c:lblAlgn val="ctr"/>
        <c:lblOffset val="100"/>
        <c:noMultiLvlLbl val="0"/>
      </c:catAx>
      <c:valAx>
        <c:axId val="10965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237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Qty Sold vs 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946157692949"/>
          <c:y val="0.203175793948487"/>
          <c:w val="0.70361726954492398"/>
          <c:h val="0.61027756939234801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C3B-4C48-B9AB-E7FC2E4C1A1F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C3B-4C48-B9AB-E7FC2E4C1A1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3B-4C48-B9AB-E7FC2E4C1A1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3B-4C48-B9AB-E7FC2E4C1A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207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3B-4C48-B9AB-E7FC2E4C1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8888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330120</xdr:colOff>
      <xdr:row>4</xdr:row>
      <xdr:rowOff>184320</xdr:rowOff>
    </xdr:from>
    <xdr:to>
      <xdr:col>12</xdr:col>
      <xdr:colOff>11520</xdr:colOff>
      <xdr:row>19</xdr:row>
      <xdr:rowOff>69120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343080</xdr:colOff>
      <xdr:row>23</xdr:row>
      <xdr:rowOff>76320</xdr:rowOff>
    </xdr:from>
    <xdr:to>
      <xdr:col>12</xdr:col>
      <xdr:colOff>100800</xdr:colOff>
      <xdr:row>37</xdr:row>
      <xdr:rowOff>151560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135360</xdr:colOff>
      <xdr:row>41</xdr:row>
      <xdr:rowOff>169920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38160</xdr:rowOff>
    </xdr:from>
    <xdr:to>
      <xdr:col>3</xdr:col>
      <xdr:colOff>135360</xdr:colOff>
      <xdr:row>62</xdr:row>
      <xdr:rowOff>17640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25560</xdr:colOff>
      <xdr:row>23</xdr:row>
      <xdr:rowOff>0</xdr:rowOff>
    </xdr:from>
    <xdr:to>
      <xdr:col>6</xdr:col>
      <xdr:colOff>526680</xdr:colOff>
      <xdr:row>38</xdr:row>
      <xdr:rowOff>21600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zoomScaleNormal="100" workbookViewId="0"/>
  </sheetViews>
  <sheetFormatPr baseColWidth="10" defaultColWidth="10.83203125" defaultRowHeight="18.75" customHeight="1"/>
  <cols>
    <col min="1" max="1" width="106.5" style="1" customWidth="1"/>
    <col min="2" max="16384" width="10.83203125" style="1"/>
  </cols>
  <sheetData>
    <row r="1" spans="1:1" ht="19.5" customHeight="1">
      <c r="A1" s="2" t="s">
        <v>0</v>
      </c>
    </row>
    <row r="2" spans="1:1" ht="19.5" customHeight="1">
      <c r="A2" s="3" t="s">
        <v>1</v>
      </c>
    </row>
    <row r="3" spans="1:1" ht="19.5" customHeight="1">
      <c r="A3" s="2" t="s">
        <v>2</v>
      </c>
    </row>
    <row r="4" spans="1:1" ht="19.5" customHeight="1">
      <c r="A4" s="2" t="s">
        <v>3</v>
      </c>
    </row>
    <row r="5" spans="1:1" ht="19.5" customHeight="1">
      <c r="A5" s="2" t="s">
        <v>4</v>
      </c>
    </row>
    <row r="6" spans="1:1" ht="19.5" customHeight="1">
      <c r="A6" s="2" t="s">
        <v>5</v>
      </c>
    </row>
    <row r="7" spans="1:1" ht="18.75" customHeight="1">
      <c r="A7" s="2"/>
    </row>
    <row r="8" spans="1:1" ht="19.5" customHeight="1">
      <c r="A8" s="4" t="s">
        <v>6</v>
      </c>
    </row>
    <row r="9" spans="1:1" ht="18.75" customHeight="1">
      <c r="A9" s="2"/>
    </row>
    <row r="10" spans="1:1" ht="19.5" customHeight="1">
      <c r="A10" s="2" t="s">
        <v>7</v>
      </c>
    </row>
    <row r="11" spans="1:1" ht="19.5" customHeight="1">
      <c r="A11" s="2" t="s">
        <v>8</v>
      </c>
    </row>
    <row r="12" spans="1:1" ht="19.5" customHeight="1">
      <c r="A12" s="2" t="s">
        <v>9</v>
      </c>
    </row>
    <row r="13" spans="1:1" ht="18.75" customHeight="1">
      <c r="A13" s="2"/>
    </row>
    <row r="14" spans="1:1" ht="19.5" customHeight="1">
      <c r="A14" s="4" t="s">
        <v>10</v>
      </c>
    </row>
    <row r="15" spans="1:1" ht="19.5" customHeight="1">
      <c r="A15" s="5" t="s">
        <v>11</v>
      </c>
    </row>
    <row r="16" spans="1:1" ht="19.5" customHeight="1">
      <c r="A16" s="5" t="s">
        <v>12</v>
      </c>
    </row>
    <row r="17" spans="1:1" ht="18.75" customHeight="1">
      <c r="A17" s="2"/>
    </row>
    <row r="18" spans="1:1" ht="19.5" customHeight="1">
      <c r="A18" s="4" t="s">
        <v>13</v>
      </c>
    </row>
    <row r="19" spans="1:1" ht="19.5" customHeight="1">
      <c r="A19" s="5" t="s">
        <v>14</v>
      </c>
    </row>
    <row r="20" spans="1:1" ht="19.5" customHeight="1">
      <c r="A20" s="5" t="s">
        <v>15</v>
      </c>
    </row>
    <row r="21" spans="1:1" ht="19.5" customHeight="1">
      <c r="A21" s="5" t="s">
        <v>16</v>
      </c>
    </row>
    <row r="22" spans="1:1" ht="18.75" customHeight="1">
      <c r="A22" s="2"/>
    </row>
    <row r="23" spans="1:1" ht="19.5" customHeight="1">
      <c r="A23" s="4" t="s">
        <v>17</v>
      </c>
    </row>
    <row r="24" spans="1:1" ht="19.5" customHeight="1">
      <c r="A24" s="5" t="s">
        <v>18</v>
      </c>
    </row>
    <row r="25" spans="1:1" ht="19.5" customHeight="1">
      <c r="A25" s="5" t="s">
        <v>19</v>
      </c>
    </row>
    <row r="26" spans="1:1" ht="19.5" customHeight="1">
      <c r="A26" s="5" t="s">
        <v>20</v>
      </c>
    </row>
    <row r="27" spans="1:1" ht="18.75" customHeight="1">
      <c r="A27" s="2"/>
    </row>
    <row r="28" spans="1:1" ht="19.5" customHeight="1">
      <c r="A28" s="4" t="s">
        <v>21</v>
      </c>
    </row>
    <row r="29" spans="1:1" ht="19.5" customHeight="1">
      <c r="A29" s="5" t="s">
        <v>22</v>
      </c>
    </row>
    <row r="30" spans="1:1" ht="19.5" customHeight="1">
      <c r="A30" s="5" t="s">
        <v>23</v>
      </c>
    </row>
    <row r="31" spans="1:1" ht="18.75" customHeight="1">
      <c r="A31" s="2"/>
    </row>
    <row r="32" spans="1:1" ht="19.5" customHeight="1">
      <c r="A32" s="4" t="s">
        <v>24</v>
      </c>
    </row>
    <row r="33" spans="1:1" ht="19.5" customHeight="1">
      <c r="A33" s="5" t="s">
        <v>25</v>
      </c>
    </row>
    <row r="34" spans="1:1" ht="19.5" customHeight="1">
      <c r="A34" s="5" t="s">
        <v>26</v>
      </c>
    </row>
    <row r="35" spans="1:1" ht="18.75" customHeight="1">
      <c r="A35" s="2"/>
    </row>
    <row r="36" spans="1:1" ht="19.5" customHeight="1">
      <c r="A36" s="4" t="s">
        <v>27</v>
      </c>
    </row>
    <row r="37" spans="1:1" ht="19.5" customHeight="1">
      <c r="A37" s="2" t="s">
        <v>28</v>
      </c>
    </row>
    <row r="38" spans="1:1" ht="19.5" customHeight="1">
      <c r="A38" s="2" t="s">
        <v>29</v>
      </c>
    </row>
    <row r="39" spans="1:1" ht="19.5" customHeight="1">
      <c r="A39" s="2" t="s">
        <v>30</v>
      </c>
    </row>
    <row r="40" spans="1:1" ht="19.5" customHeight="1">
      <c r="A40" s="2" t="s">
        <v>31</v>
      </c>
    </row>
    <row r="41" spans="1:1" ht="18.75" customHeight="1">
      <c r="A41" s="2"/>
    </row>
    <row r="42" spans="1:1" ht="19.5" customHeight="1">
      <c r="A42" s="4" t="s">
        <v>32</v>
      </c>
    </row>
    <row r="43" spans="1:1" ht="39.75" customHeight="1">
      <c r="A43" s="5" t="s">
        <v>33</v>
      </c>
    </row>
    <row r="44" spans="1:1" ht="39.75" customHeight="1">
      <c r="A44" s="5" t="s">
        <v>34</v>
      </c>
    </row>
    <row r="45" spans="1:1" ht="18.75" customHeight="1">
      <c r="A45" s="2"/>
    </row>
    <row r="46" spans="1:1" ht="19.5" customHeight="1">
      <c r="A46" s="4" t="s">
        <v>35</v>
      </c>
    </row>
    <row r="47" spans="1:1" ht="19.5" customHeight="1">
      <c r="A47" s="5" t="s">
        <v>36</v>
      </c>
    </row>
    <row r="48" spans="1:1" ht="19.5" customHeight="1">
      <c r="A48" s="5" t="s">
        <v>37</v>
      </c>
    </row>
    <row r="49" spans="1:1" ht="18.75" customHeight="1">
      <c r="A49" s="2"/>
    </row>
    <row r="50" spans="1:1" ht="19.5" customHeight="1">
      <c r="A50" s="2" t="s">
        <v>38</v>
      </c>
    </row>
    <row r="51" spans="1:1" ht="18.75" customHeight="1">
      <c r="A51" s="2"/>
    </row>
    <row r="52" spans="1:1" ht="18.75" customHeight="1">
      <c r="A52" s="2"/>
    </row>
    <row r="53" spans="1:1" ht="18.75" customHeight="1">
      <c r="A53" s="2"/>
    </row>
    <row r="54" spans="1:1" ht="18.75" customHeight="1">
      <c r="A54" s="2"/>
    </row>
    <row r="55" spans="1:1" ht="18.75" customHeight="1">
      <c r="A55" s="2"/>
    </row>
    <row r="56" spans="1:1" ht="18.75" customHeight="1">
      <c r="A56" s="2"/>
    </row>
    <row r="57" spans="1:1" ht="18.75" customHeight="1">
      <c r="A57" s="2"/>
    </row>
    <row r="58" spans="1:1" ht="18.75" customHeight="1">
      <c r="A58" s="2"/>
    </row>
    <row r="59" spans="1:1" ht="18.75" customHeight="1">
      <c r="A59" s="2"/>
    </row>
    <row r="60" spans="1:1" ht="18.75" customHeight="1">
      <c r="A60" s="2"/>
    </row>
    <row r="61" spans="1:1" ht="18.75" customHeight="1">
      <c r="A61" s="2"/>
    </row>
    <row r="62" spans="1:1" ht="18.75" customHeight="1">
      <c r="A62" s="2"/>
    </row>
    <row r="63" spans="1:1" ht="18.75" customHeight="1">
      <c r="A63" s="2"/>
    </row>
    <row r="64" spans="1:1" ht="18.75" customHeight="1">
      <c r="A64" s="2"/>
    </row>
    <row r="65" spans="1:1" ht="18.75" customHeight="1">
      <c r="A65" s="2"/>
    </row>
    <row r="66" spans="1:1" ht="18.75" customHeight="1">
      <c r="A66" s="2"/>
    </row>
    <row r="67" spans="1:1" ht="18.75" customHeight="1">
      <c r="A67" s="2"/>
    </row>
    <row r="68" spans="1:1" ht="18.75" customHeight="1">
      <c r="A68" s="2"/>
    </row>
    <row r="69" spans="1:1" ht="18.75" customHeight="1">
      <c r="A69" s="2"/>
    </row>
    <row r="70" spans="1:1" ht="18.75" customHeight="1">
      <c r="A70" s="2"/>
    </row>
    <row r="71" spans="1:1" ht="18.75" customHeight="1">
      <c r="A71" s="2"/>
    </row>
    <row r="72" spans="1:1" ht="18.75" customHeight="1">
      <c r="A72" s="2"/>
    </row>
    <row r="73" spans="1:1" ht="18.75" customHeight="1">
      <c r="A73" s="2"/>
    </row>
    <row r="74" spans="1:1" ht="18.75" customHeight="1">
      <c r="A74" s="2"/>
    </row>
    <row r="75" spans="1:1" ht="18.75" customHeight="1">
      <c r="A75" s="2"/>
    </row>
    <row r="76" spans="1:1" ht="18.75" customHeight="1">
      <c r="A76" s="2"/>
    </row>
    <row r="77" spans="1:1" ht="18.75" customHeight="1">
      <c r="A77" s="2"/>
    </row>
    <row r="78" spans="1:1" ht="18.75" customHeight="1">
      <c r="A78" s="2"/>
    </row>
    <row r="79" spans="1:1" ht="18.75" customHeight="1">
      <c r="A79" s="2"/>
    </row>
    <row r="80" spans="1:1" ht="18.75" customHeight="1">
      <c r="A80" s="2"/>
    </row>
    <row r="81" spans="1:1" ht="18.75" customHeight="1">
      <c r="A81" s="2"/>
    </row>
    <row r="82" spans="1:1" ht="18.75" customHeight="1">
      <c r="A82" s="2"/>
    </row>
    <row r="83" spans="1:1" ht="18.75" customHeight="1">
      <c r="A83" s="2"/>
    </row>
    <row r="84" spans="1:1" ht="18.75" customHeight="1">
      <c r="A84" s="2"/>
    </row>
    <row r="85" spans="1:1" ht="18.75" customHeight="1">
      <c r="A85" s="2"/>
    </row>
    <row r="86" spans="1:1" ht="18.75" customHeight="1">
      <c r="A86" s="2"/>
    </row>
    <row r="87" spans="1:1" ht="18.75" customHeight="1">
      <c r="A87" s="2"/>
    </row>
    <row r="88" spans="1:1" ht="18.75" customHeight="1">
      <c r="A88" s="2"/>
    </row>
    <row r="89" spans="1:1" ht="18.75" customHeight="1">
      <c r="A89" s="2"/>
    </row>
    <row r="90" spans="1:1" ht="18.75" customHeight="1">
      <c r="A90" s="2"/>
    </row>
    <row r="91" spans="1:1" ht="18.75" customHeight="1">
      <c r="A91" s="2"/>
    </row>
    <row r="92" spans="1:1" ht="18.75" customHeight="1">
      <c r="A92" s="2"/>
    </row>
    <row r="93" spans="1:1" ht="18.75" customHeight="1">
      <c r="A93" s="2"/>
    </row>
    <row r="94" spans="1:1" ht="18.75" customHeight="1">
      <c r="A94" s="2"/>
    </row>
    <row r="95" spans="1:1" ht="18.75" customHeight="1">
      <c r="A95" s="2"/>
    </row>
    <row r="96" spans="1:1" ht="18.75" customHeight="1">
      <c r="A96" s="2"/>
    </row>
    <row r="97" spans="1:1" ht="18.75" customHeight="1">
      <c r="A97" s="2"/>
    </row>
    <row r="98" spans="1:1" ht="18.75" customHeight="1">
      <c r="A98" s="2"/>
    </row>
    <row r="99" spans="1:1" ht="18.75" customHeight="1">
      <c r="A99" s="2"/>
    </row>
    <row r="100" spans="1:1" ht="18.75" customHeight="1">
      <c r="A100" s="2"/>
    </row>
    <row r="101" spans="1:1" ht="18.75" customHeight="1">
      <c r="A101" s="2"/>
    </row>
    <row r="102" spans="1:1" ht="18.75" customHeight="1">
      <c r="A102" s="2"/>
    </row>
    <row r="103" spans="1:1" ht="18.75" customHeight="1">
      <c r="A103" s="2"/>
    </row>
    <row r="104" spans="1:1" ht="18.75" customHeight="1">
      <c r="A104" s="2"/>
    </row>
    <row r="105" spans="1:1" ht="18.75" customHeight="1">
      <c r="A105" s="2"/>
    </row>
    <row r="106" spans="1:1" ht="18.75" customHeight="1">
      <c r="A106" s="2"/>
    </row>
    <row r="107" spans="1:1" ht="18.75" customHeight="1">
      <c r="A107" s="2"/>
    </row>
    <row r="108" spans="1:1" ht="18.75" customHeight="1">
      <c r="A108" s="2"/>
    </row>
    <row r="109" spans="1:1" ht="18.75" customHeight="1">
      <c r="A109" s="2"/>
    </row>
    <row r="110" spans="1:1" ht="18.75" customHeight="1">
      <c r="A110" s="2"/>
    </row>
    <row r="111" spans="1:1" ht="18.75" customHeight="1">
      <c r="A111" s="2"/>
    </row>
    <row r="112" spans="1:1" ht="18.75" customHeight="1">
      <c r="A112" s="2"/>
    </row>
    <row r="113" spans="1:1" ht="18.75" customHeight="1">
      <c r="A113" s="2"/>
    </row>
    <row r="114" spans="1:1" ht="18.75" customHeight="1">
      <c r="A114" s="2"/>
    </row>
    <row r="115" spans="1:1" ht="18.75" customHeight="1">
      <c r="A115" s="2"/>
    </row>
    <row r="116" spans="1:1" ht="18.75" customHeight="1">
      <c r="A116" s="2"/>
    </row>
    <row r="117" spans="1:1" ht="18.75" customHeight="1">
      <c r="A117" s="2"/>
    </row>
    <row r="118" spans="1:1" ht="18.75" customHeight="1">
      <c r="A118" s="2"/>
    </row>
    <row r="119" spans="1:1" ht="18.75" customHeight="1">
      <c r="A119" s="2"/>
    </row>
    <row r="120" spans="1:1" ht="18.75" customHeight="1">
      <c r="A120" s="2"/>
    </row>
    <row r="121" spans="1:1" ht="18.75" customHeight="1">
      <c r="A121" s="2"/>
    </row>
    <row r="122" spans="1:1" ht="18.75" customHeight="1">
      <c r="A122" s="2"/>
    </row>
    <row r="123" spans="1:1" ht="18.75" customHeight="1">
      <c r="A123" s="2"/>
    </row>
    <row r="124" spans="1:1" ht="18.75" customHeight="1">
      <c r="A124" s="2"/>
    </row>
    <row r="125" spans="1:1" ht="18.75" customHeight="1">
      <c r="A125" s="2"/>
    </row>
    <row r="126" spans="1:1" ht="18.75" customHeight="1">
      <c r="A126" s="2"/>
    </row>
    <row r="127" spans="1:1" ht="18.75" customHeight="1">
      <c r="A127" s="2"/>
    </row>
    <row r="128" spans="1:1" ht="18.75" customHeight="1">
      <c r="A128" s="2"/>
    </row>
    <row r="129" spans="1:1" ht="18.75" customHeight="1">
      <c r="A129" s="2"/>
    </row>
    <row r="130" spans="1:1" ht="18.75" customHeight="1">
      <c r="A130" s="2"/>
    </row>
    <row r="131" spans="1:1" ht="18.75" customHeight="1">
      <c r="A131" s="2"/>
    </row>
    <row r="132" spans="1:1" ht="18.75" customHeight="1">
      <c r="A132" s="2"/>
    </row>
    <row r="133" spans="1:1" ht="18.75" customHeight="1">
      <c r="A133" s="2"/>
    </row>
    <row r="134" spans="1:1" ht="18.75" customHeight="1">
      <c r="A134" s="2"/>
    </row>
    <row r="135" spans="1:1" ht="18.75" customHeight="1">
      <c r="A135" s="2"/>
    </row>
    <row r="136" spans="1:1" ht="18.75" customHeight="1">
      <c r="A136" s="2"/>
    </row>
    <row r="137" spans="1:1" ht="18.75" customHeight="1">
      <c r="A137" s="2"/>
    </row>
    <row r="138" spans="1:1" ht="18.75" customHeight="1">
      <c r="A138" s="2"/>
    </row>
    <row r="139" spans="1:1" ht="18.75" customHeight="1">
      <c r="A139" s="2"/>
    </row>
    <row r="140" spans="1:1" ht="18.75" customHeight="1">
      <c r="A140" s="2"/>
    </row>
    <row r="141" spans="1:1" ht="18.75" customHeight="1">
      <c r="A141" s="2"/>
    </row>
    <row r="142" spans="1:1" ht="18.75" customHeight="1">
      <c r="A142" s="2"/>
    </row>
    <row r="143" spans="1:1" ht="18.75" customHeight="1">
      <c r="A143" s="2"/>
    </row>
    <row r="144" spans="1:1" ht="18.75" customHeight="1">
      <c r="A144" s="2"/>
    </row>
    <row r="145" spans="1:1" ht="18.75" customHeight="1">
      <c r="A145" s="2"/>
    </row>
    <row r="146" spans="1:1" ht="18.75" customHeight="1">
      <c r="A146" s="2"/>
    </row>
    <row r="147" spans="1:1" ht="18.75" customHeight="1">
      <c r="A147" s="2"/>
    </row>
    <row r="148" spans="1:1" ht="18.75" customHeight="1">
      <c r="A148" s="2"/>
    </row>
    <row r="149" spans="1:1" ht="18.75" customHeight="1">
      <c r="A149" s="2"/>
    </row>
    <row r="150" spans="1:1" ht="18.75" customHeight="1">
      <c r="A150" s="2"/>
    </row>
    <row r="151" spans="1:1" ht="18.75" customHeight="1">
      <c r="A151" s="2"/>
    </row>
    <row r="152" spans="1:1" ht="18.75" customHeight="1">
      <c r="A152" s="2"/>
    </row>
    <row r="153" spans="1:1" ht="18.75" customHeight="1">
      <c r="A153" s="2"/>
    </row>
    <row r="154" spans="1:1" ht="18.75" customHeight="1">
      <c r="A154" s="2"/>
    </row>
    <row r="155" spans="1:1" ht="18.75" customHeight="1">
      <c r="A155" s="2"/>
    </row>
    <row r="156" spans="1:1" ht="18.75" customHeight="1">
      <c r="A156" s="2"/>
    </row>
    <row r="157" spans="1:1" ht="18.75" customHeight="1">
      <c r="A157" s="2"/>
    </row>
    <row r="158" spans="1:1" ht="18.75" customHeight="1">
      <c r="A158" s="2"/>
    </row>
    <row r="159" spans="1:1" ht="18.75" customHeight="1">
      <c r="A159" s="2"/>
    </row>
    <row r="160" spans="1:1" ht="18.75" customHeight="1">
      <c r="A160" s="2"/>
    </row>
    <row r="161" spans="1:1" ht="18.75" customHeight="1">
      <c r="A161" s="2"/>
    </row>
    <row r="162" spans="1:1" ht="18.75" customHeight="1">
      <c r="A162" s="2"/>
    </row>
    <row r="163" spans="1:1" ht="18.75" customHeight="1">
      <c r="A163" s="2"/>
    </row>
    <row r="164" spans="1:1" ht="18.75" customHeight="1">
      <c r="A164" s="2"/>
    </row>
    <row r="165" spans="1:1" ht="18.75" customHeight="1">
      <c r="A165" s="2"/>
    </row>
    <row r="166" spans="1:1" ht="18.75" customHeight="1">
      <c r="A166" s="2"/>
    </row>
    <row r="167" spans="1:1" ht="18.75" customHeight="1">
      <c r="A167" s="2"/>
    </row>
    <row r="168" spans="1:1" ht="18.75" customHeight="1">
      <c r="A168" s="2"/>
    </row>
    <row r="169" spans="1:1" ht="18.75" customHeight="1">
      <c r="A169" s="2"/>
    </row>
    <row r="170" spans="1:1" ht="18.75" customHeight="1">
      <c r="A170" s="2"/>
    </row>
    <row r="171" spans="1:1" ht="18.75" customHeight="1">
      <c r="A171" s="2"/>
    </row>
    <row r="172" spans="1:1" ht="18.75" customHeight="1">
      <c r="A172" s="2"/>
    </row>
    <row r="173" spans="1:1" ht="18.75" customHeight="1">
      <c r="A173" s="2"/>
    </row>
    <row r="174" spans="1:1" ht="18.75" customHeight="1">
      <c r="A174" s="2"/>
    </row>
    <row r="175" spans="1:1" ht="18.75" customHeight="1">
      <c r="A175" s="2"/>
    </row>
    <row r="176" spans="1:1" ht="18.75" customHeight="1">
      <c r="A176" s="2"/>
    </row>
    <row r="177" spans="1:1" ht="18.75" customHeight="1">
      <c r="A177" s="2"/>
    </row>
    <row r="178" spans="1:1" ht="18.75" customHeight="1">
      <c r="A178" s="2"/>
    </row>
    <row r="179" spans="1:1" ht="18.75" customHeight="1">
      <c r="A179" s="2"/>
    </row>
    <row r="180" spans="1:1" ht="18.75" customHeight="1">
      <c r="A180" s="2"/>
    </row>
    <row r="181" spans="1:1" ht="18.75" customHeight="1">
      <c r="A181" s="2"/>
    </row>
    <row r="182" spans="1:1" ht="18.75" customHeight="1">
      <c r="A182" s="2"/>
    </row>
    <row r="183" spans="1:1" ht="18.75" customHeight="1">
      <c r="A183" s="2"/>
    </row>
    <row r="184" spans="1:1" ht="18.75" customHeight="1">
      <c r="A184" s="2"/>
    </row>
    <row r="185" spans="1:1" ht="18.75" customHeight="1">
      <c r="A185" s="2"/>
    </row>
    <row r="186" spans="1:1" ht="18.75" customHeight="1">
      <c r="A186" s="2"/>
    </row>
    <row r="187" spans="1:1" ht="18.75" customHeight="1">
      <c r="A187" s="2"/>
    </row>
    <row r="188" spans="1:1" ht="18.75" customHeight="1">
      <c r="A188" s="2"/>
    </row>
    <row r="189" spans="1:1" ht="18.75" customHeight="1">
      <c r="A189" s="2"/>
    </row>
    <row r="190" spans="1:1" ht="18.75" customHeight="1">
      <c r="A190" s="2"/>
    </row>
    <row r="191" spans="1:1" ht="18.75" customHeight="1">
      <c r="A191" s="2"/>
    </row>
    <row r="192" spans="1:1" ht="18.75" customHeight="1">
      <c r="A192" s="2"/>
    </row>
    <row r="193" spans="1:1" ht="18.75" customHeight="1">
      <c r="A193" s="2"/>
    </row>
    <row r="194" spans="1:1" ht="18.75" customHeight="1">
      <c r="A194" s="2"/>
    </row>
    <row r="195" spans="1:1" ht="18.75" customHeight="1">
      <c r="A195" s="2"/>
    </row>
    <row r="196" spans="1:1" ht="18.75" customHeight="1">
      <c r="A196" s="2"/>
    </row>
    <row r="197" spans="1:1" ht="18.75" customHeight="1">
      <c r="A197" s="2"/>
    </row>
    <row r="198" spans="1:1" ht="18.75" customHeight="1">
      <c r="A198" s="2"/>
    </row>
    <row r="199" spans="1:1" ht="18.75" customHeight="1">
      <c r="A199" s="2"/>
    </row>
    <row r="200" spans="1:1" ht="18.75" customHeight="1">
      <c r="A200" s="2"/>
    </row>
    <row r="201" spans="1:1" ht="18.75" customHeight="1">
      <c r="A201" s="2"/>
    </row>
    <row r="202" spans="1:1" ht="18.75" customHeight="1">
      <c r="A202" s="2"/>
    </row>
    <row r="203" spans="1:1" ht="18.75" customHeight="1">
      <c r="A203" s="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zoomScaleNormal="100" workbookViewId="0">
      <pane ySplit="9" topLeftCell="A10" activePane="bottomLeft" state="frozen"/>
      <selection pane="bottomLeft" activeCell="B42" sqref="B42"/>
    </sheetView>
  </sheetViews>
  <sheetFormatPr baseColWidth="10" defaultColWidth="8.83203125" defaultRowHeight="13.5" customHeight="1"/>
  <cols>
    <col min="1" max="1" width="38.6640625" style="6" customWidth="1"/>
    <col min="2" max="2" width="29.6640625" style="6" customWidth="1"/>
    <col min="3" max="3" width="16.5" style="6" customWidth="1"/>
    <col min="4" max="4" width="30.1640625" style="6" customWidth="1"/>
    <col min="5" max="5" width="22.1640625" style="6" customWidth="1"/>
    <col min="6" max="6" width="31.1640625" style="6" customWidth="1"/>
    <col min="7" max="7" width="14.6640625" style="6" bestFit="1" customWidth="1"/>
    <col min="8" max="16384" width="8.83203125" style="6"/>
  </cols>
  <sheetData>
    <row r="1" spans="1:6" ht="21" customHeight="1">
      <c r="A1" s="7" t="s">
        <v>40</v>
      </c>
    </row>
    <row r="3" spans="1:6" ht="13.5" customHeight="1">
      <c r="A3" s="8" t="s">
        <v>41</v>
      </c>
      <c r="B3" s="8">
        <f>SUM(Purchases!C:C)</f>
        <v>294436</v>
      </c>
      <c r="E3" s="8" t="s">
        <v>42</v>
      </c>
      <c r="F3" s="8" t="s">
        <v>43</v>
      </c>
    </row>
    <row r="4" spans="1:6" ht="13.5" customHeight="1">
      <c r="A4" s="9" t="s">
        <v>44</v>
      </c>
      <c r="B4" s="10">
        <f>SUMIFS(Sales!C:C, Sales!I:I, "Completed")</f>
        <v>256492</v>
      </c>
      <c r="E4" s="9" t="str">
        <f>PartnerShares!A3</f>
        <v>Rajna</v>
      </c>
      <c r="F4" s="10">
        <f>PartnerShares!B3</f>
        <v>0.33339999999999997</v>
      </c>
    </row>
    <row r="5" spans="1:6" ht="13.5" customHeight="1">
      <c r="A5" s="11" t="s">
        <v>45</v>
      </c>
      <c r="B5" s="12">
        <f>SUM(Sales!C:C)</f>
        <v>261022</v>
      </c>
      <c r="E5" s="11" t="str">
        <f>PartnerShares!A4</f>
        <v>Anoop</v>
      </c>
      <c r="F5" s="12">
        <f>PartnerShares!B4</f>
        <v>0.3332</v>
      </c>
    </row>
    <row r="6" spans="1:6" ht="13.5" customHeight="1">
      <c r="A6" s="9" t="s">
        <v>46</v>
      </c>
      <c r="B6" s="10">
        <f>B4-B3</f>
        <v>-37944</v>
      </c>
      <c r="E6" s="9" t="str">
        <f>PartnerShares!A5</f>
        <v>Rameez</v>
      </c>
      <c r="F6" s="10">
        <f>PartnerShares!B5</f>
        <v>0.33339999999999997</v>
      </c>
    </row>
    <row r="7" spans="1:6" ht="13.5" customHeight="1">
      <c r="A7" s="11" t="s">
        <v>47</v>
      </c>
      <c r="B7" s="12" t="str">
        <f>IF(B6&gt;0,"Profit","No Profit (or Loss)")</f>
        <v>No Profit (or Loss)</v>
      </c>
    </row>
    <row r="9" spans="1:6" ht="13.5" customHeight="1">
      <c r="A9" s="8" t="s">
        <v>42</v>
      </c>
      <c r="B9" s="8" t="s">
        <v>48</v>
      </c>
      <c r="C9" s="8"/>
    </row>
    <row r="10" spans="1:6" ht="13.5" customHeight="1">
      <c r="A10" s="9" t="s">
        <v>49</v>
      </c>
      <c r="B10" s="13">
        <f>PartnerShares!H8</f>
        <v>10205.326666666671</v>
      </c>
      <c r="C10" s="9"/>
    </row>
    <row r="11" spans="1:6" ht="13.5" customHeight="1">
      <c r="A11" s="11" t="s">
        <v>50</v>
      </c>
      <c r="B11" s="14">
        <f>PartnerShares!H9</f>
        <v>-4602.6633333333302</v>
      </c>
      <c r="C11" s="11"/>
    </row>
    <row r="12" spans="1:6" ht="13.5" customHeight="1">
      <c r="A12" s="9" t="s">
        <v>51</v>
      </c>
      <c r="B12" s="13">
        <f>PartnerShares!H10</f>
        <v>-5602.6633333333302</v>
      </c>
      <c r="C12" s="9"/>
    </row>
    <row r="16" spans="1:6" ht="15.75" customHeight="1">
      <c r="A16" s="15" t="s">
        <v>52</v>
      </c>
    </row>
    <row r="17" spans="1:7" ht="13.5" customHeight="1">
      <c r="A17" s="8" t="s">
        <v>42</v>
      </c>
      <c r="B17" s="8" t="s">
        <v>53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</row>
    <row r="18" spans="1:7" ht="13.5" customHeight="1">
      <c r="A18" s="9" t="str">
        <f>PartnerShares!A8</f>
        <v>Rajna</v>
      </c>
      <c r="B18" s="10">
        <f>PartnerShares!B8</f>
        <v>126654</v>
      </c>
      <c r="C18" s="10">
        <f>PartnerShares!C8</f>
        <v>98145.333333333328</v>
      </c>
      <c r="D18" s="10">
        <f>PartnerShares!D8</f>
        <v>28508.666666666672</v>
      </c>
      <c r="E18" s="10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13">
        <f>D18-E18</f>
        <v>10205.326666666671</v>
      </c>
      <c r="G18" s="17" t="str">
        <f>IF(ROUND(F18,0)&gt;0,"Receive ₹"&amp;TEXT(ABS(F18),"#,##0"),IF(ROUND(F18,0)&lt;0,"Pay ₹"&amp;TEXT(ABS(F18),"#,##0"),"✓ Settled"))</f>
        <v>Receive ₹10,205</v>
      </c>
    </row>
    <row r="19" spans="1:7" ht="13.5" customHeight="1">
      <c r="A19" s="11" t="str">
        <f>PartnerShares!A9</f>
        <v>Anoop</v>
      </c>
      <c r="B19" s="12">
        <f>PartnerShares!B9</f>
        <v>135182</v>
      </c>
      <c r="C19" s="12">
        <f>PartnerShares!C9</f>
        <v>98145.333333333328</v>
      </c>
      <c r="D19" s="12">
        <f>PartnerShares!D9</f>
        <v>37036.666666666672</v>
      </c>
      <c r="E19" s="12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14">
        <f>D19-E19</f>
        <v>-4602.6633333333302</v>
      </c>
      <c r="G19" s="19" t="str">
        <f>IF(ROUND(F19,0)&gt;0,"Receive ₹"&amp;TEXT(ABS(F19),"#,##0"),IF(ROUND(F19,0)&lt;0,"Pay ₹"&amp;TEXT(ABS(F19),"#,##0"),"✓ Settled"))</f>
        <v>Pay ₹4,603</v>
      </c>
    </row>
    <row r="20" spans="1:7" ht="13.5" customHeight="1">
      <c r="A20" s="9" t="str">
        <f>PartnerShares!A10</f>
        <v>Rameez</v>
      </c>
      <c r="B20" s="10">
        <f>PartnerShares!B10</f>
        <v>32600</v>
      </c>
      <c r="C20" s="10">
        <f>PartnerShares!C10</f>
        <v>98145.333333333328</v>
      </c>
      <c r="D20" s="10">
        <f>PartnerShares!D10</f>
        <v>-65545.333333333328</v>
      </c>
      <c r="E20" s="10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13">
        <f>D20-E20</f>
        <v>-5602.6633333333302</v>
      </c>
      <c r="G20" s="19" t="str">
        <f>IF(ROUND(F20,0)&gt;0,"Receive ₹"&amp;TEXT(ABS(F20),"#,##0"),IF(ROUND(F20,0)&lt;0,"Pay ₹"&amp;TEXT(ABS(F20),"#,##0"),"✓ Settled"))</f>
        <v>Pay ₹5,603</v>
      </c>
    </row>
    <row r="24" spans="1:7" ht="15.75" customHeight="1">
      <c r="A24" s="15" t="s">
        <v>59</v>
      </c>
    </row>
    <row r="25" spans="1:7" ht="13.5" customHeight="1">
      <c r="A25" s="8" t="s">
        <v>42</v>
      </c>
      <c r="B25" s="8" t="s">
        <v>60</v>
      </c>
      <c r="C25" s="8" t="s">
        <v>61</v>
      </c>
      <c r="D25" s="8" t="s">
        <v>62</v>
      </c>
      <c r="E25" s="8" t="s">
        <v>63</v>
      </c>
      <c r="F25" s="8" t="s">
        <v>64</v>
      </c>
      <c r="G25" s="8" t="s">
        <v>58</v>
      </c>
    </row>
    <row r="26" spans="1:7" ht="13.5" customHeight="1">
      <c r="A26" s="9" t="str">
        <f>'Cash Pool'!A4</f>
        <v>Rajna</v>
      </c>
      <c r="B26" s="10">
        <f>'Cash Pool'!B4</f>
        <v>235543</v>
      </c>
      <c r="C26" s="10">
        <f>'Cash Pool'!D4</f>
        <v>85514.432799999995</v>
      </c>
      <c r="D26" s="10">
        <f>'Cash Pool'!E4</f>
        <v>150028.56719999999</v>
      </c>
      <c r="E26" s="10">
        <f>'Cash Pool'!F4</f>
        <v>-137310.02600000001</v>
      </c>
      <c r="F26" s="13">
        <f>'Cash Pool'!G4</f>
        <v>12718.541199999978</v>
      </c>
      <c r="G26" s="19" t="str">
        <f>IF(ROUND(F26,0)&gt;0,"Pay ₹"&amp;TEXT(ABS(F26),"#,##0"),IF(ROUND(F26,0)&lt;0,"Receive ₹"&amp;TEXT(ABS(F26),"#,##0"),"✓ Settled"))</f>
        <v>Pay ₹12,719</v>
      </c>
    </row>
    <row r="27" spans="1:7" ht="13.5" customHeight="1">
      <c r="A27" s="11" t="str">
        <f>'Cash Pool'!A5</f>
        <v>Anoop</v>
      </c>
      <c r="B27" s="12">
        <f>'Cash Pool'!B5</f>
        <v>8419</v>
      </c>
      <c r="C27" s="12">
        <f>'Cash Pool'!D5</f>
        <v>85463.134399999995</v>
      </c>
      <c r="D27" s="12">
        <f>'Cash Pool'!E5</f>
        <v>-77044.134399999995</v>
      </c>
      <c r="E27" s="12">
        <f>'Cash Pool'!F5</f>
        <v>71587.042000000001</v>
      </c>
      <c r="F27" s="14">
        <f>'Cash Pool'!G5</f>
        <v>-5457.0923999999941</v>
      </c>
      <c r="G27" s="20" t="str">
        <f>IF(ROUND(F27,0)&gt;0,"Pay ₹"&amp;TEXT(ABS(F27),"#,##0"),IF(ROUND(F27,0)&lt;0,"Receive ₹"&amp;TEXT(ABS(F27),"#,##0"),"✓ Settled"))</f>
        <v>Receive ₹5,457</v>
      </c>
    </row>
    <row r="28" spans="1:7" ht="13.5" customHeight="1">
      <c r="A28" s="9" t="str">
        <f>'Cash Pool'!A6</f>
        <v>Rameez</v>
      </c>
      <c r="B28" s="10">
        <f>'Cash Pool'!B6</f>
        <v>12530</v>
      </c>
      <c r="C28" s="10">
        <f>'Cash Pool'!D6</f>
        <v>85514.432799999995</v>
      </c>
      <c r="D28" s="10">
        <f>'Cash Pool'!E6</f>
        <v>-72984.432799999995</v>
      </c>
      <c r="E28" s="10">
        <f>'Cash Pool'!F6</f>
        <v>65722.984000000011</v>
      </c>
      <c r="F28" s="13">
        <f>'Cash Pool'!G6</f>
        <v>-7261.4487999999837</v>
      </c>
      <c r="G28" s="17" t="str">
        <f>IF(ROUND(F28,0)&gt;0,"Pay ₹"&amp;TEXT(ABS(F28),"#,##0"),IF(ROUND(F28,0)&lt;0,"Receive ₹"&amp;TEXT(ABS(F28),"#,##0"),"✓ Settled"))</f>
        <v>Receive ₹7,261</v>
      </c>
    </row>
    <row r="32" spans="1:7" ht="15.75" customHeight="1">
      <c r="A32" s="15" t="s">
        <v>65</v>
      </c>
    </row>
    <row r="33" spans="1:5" ht="13.5" customHeight="1">
      <c r="A33" s="8" t="s">
        <v>42</v>
      </c>
      <c r="B33" s="8" t="s">
        <v>66</v>
      </c>
      <c r="C33" s="8"/>
      <c r="D33" s="8"/>
      <c r="E33" s="8"/>
    </row>
    <row r="34" spans="1:5" ht="13.5" customHeight="1">
      <c r="A34" s="9" t="str">
        <f>PartnerShares!A8</f>
        <v>Rajna</v>
      </c>
      <c r="B34" s="9">
        <f>PartnerShares!E8</f>
        <v>0</v>
      </c>
      <c r="C34" s="9"/>
      <c r="D34" s="9"/>
      <c r="E34" s="9"/>
    </row>
    <row r="35" spans="1:5" ht="13.5" customHeight="1">
      <c r="A35" s="11" t="str">
        <f>PartnerShares!A9</f>
        <v>Anoop</v>
      </c>
      <c r="B35" s="11">
        <f>PartnerShares!E9</f>
        <v>0</v>
      </c>
      <c r="C35" s="11"/>
      <c r="D35" s="11"/>
      <c r="E35" s="11"/>
    </row>
    <row r="36" spans="1:5" ht="13.5" customHeight="1">
      <c r="A36" s="9" t="str">
        <f>PartnerShares!A10</f>
        <v>Rameez</v>
      </c>
      <c r="B36" s="9">
        <f>PartnerShares!E10</f>
        <v>0</v>
      </c>
      <c r="C36" s="9"/>
      <c r="D36" s="9"/>
      <c r="E36" s="9"/>
    </row>
  </sheetData>
  <conditionalFormatting sqref="G18:G20">
    <cfRule type="expression" dxfId="3" priority="2">
      <formula>F18&gt;0</formula>
    </cfRule>
    <cfRule type="expression" dxfId="2" priority="3">
      <formula>F18&lt;0</formula>
    </cfRule>
  </conditionalFormatting>
  <conditionalFormatting sqref="G26:G28">
    <cfRule type="expression" dxfId="1" priority="4">
      <formula>F26&lt;0</formula>
    </cfRule>
    <cfRule type="expression" dxfId="0" priority="5">
      <formula>F26&gt;0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zoomScaleNormal="100" workbookViewId="0">
      <selection activeCell="B7" sqref="B7"/>
    </sheetView>
  </sheetViews>
  <sheetFormatPr baseColWidth="10" defaultColWidth="8.83203125" defaultRowHeight="15" customHeight="1"/>
  <cols>
    <col min="1" max="3" width="30" customWidth="1"/>
    <col min="4" max="4" width="29" customWidth="1"/>
    <col min="5" max="5" width="12.1640625" customWidth="1"/>
    <col min="6" max="6" width="13" customWidth="1"/>
    <col min="8" max="8" width="12.1640625" customWidth="1"/>
    <col min="11" max="12" width="16.6640625" customWidth="1"/>
    <col min="13" max="13" width="15.83203125" customWidth="1"/>
  </cols>
  <sheetData>
    <row r="1" spans="1:8" ht="21" customHeight="1">
      <c r="A1" s="93" t="s">
        <v>67</v>
      </c>
      <c r="B1" s="93"/>
      <c r="C1" s="93"/>
      <c r="D1" s="93"/>
      <c r="E1" s="93"/>
      <c r="F1" s="93"/>
      <c r="G1" s="93"/>
      <c r="H1" s="93"/>
    </row>
    <row r="3" spans="1:8" ht="15" customHeight="1">
      <c r="A3" s="21" t="s">
        <v>68</v>
      </c>
      <c r="B3" s="22">
        <f ca="1">TODAY()</f>
        <v>46123</v>
      </c>
    </row>
    <row r="5" spans="1:8" ht="15" customHeight="1">
      <c r="A5" s="21" t="s">
        <v>41</v>
      </c>
      <c r="B5" s="23">
        <f>Summary!B3</f>
        <v>294436</v>
      </c>
      <c r="D5" s="21" t="s">
        <v>69</v>
      </c>
      <c r="E5" s="23">
        <f>Summary!B4</f>
        <v>256492</v>
      </c>
    </row>
    <row r="6" spans="1:8" ht="15" customHeight="1">
      <c r="A6" s="21" t="s">
        <v>70</v>
      </c>
      <c r="B6" s="23">
        <f>Summary!B6</f>
        <v>-37944</v>
      </c>
      <c r="D6" s="21" t="s">
        <v>71</v>
      </c>
      <c r="E6" s="23">
        <f>SUMIFS(INVENTORY!K:K, INVENTORY!N:N, "&lt;&gt;Sold Out")</f>
        <v>112204.06666666667</v>
      </c>
    </row>
    <row r="7" spans="1:8" ht="15.75" customHeight="1">
      <c r="A7" s="24" t="s">
        <v>72</v>
      </c>
      <c r="B7" s="25">
        <v>2026</v>
      </c>
    </row>
    <row r="9" spans="1:8" ht="15" customHeight="1">
      <c r="A9" s="26" t="s">
        <v>73</v>
      </c>
      <c r="B9" s="26" t="s">
        <v>74</v>
      </c>
      <c r="C9" s="26" t="s">
        <v>75</v>
      </c>
      <c r="D9" s="26" t="s">
        <v>76</v>
      </c>
      <c r="F9" s="26" t="s">
        <v>77</v>
      </c>
      <c r="G9" s="26" t="s">
        <v>78</v>
      </c>
    </row>
    <row r="10" spans="1:8" ht="15" customHeight="1">
      <c r="A10" s="27" t="s">
        <v>79</v>
      </c>
      <c r="B10" s="23">
        <f>IFERROR(SUMPRODUCT((TEXT(Purchases!$A$2:$A$998,"MMM")=$A10)*(YEAR(Purchases!$A$2:$A$998)=$B$7)*Purchases!$C$2:$C$998),0)</f>
        <v>47311</v>
      </c>
      <c r="C10" s="23">
        <f>IFERROR(SUMPRODUCT((TEXT(Sales!$A$2:$A$997,"MMM")=$A10)*(YEAR(Sales!$A$2:$A$997)=$B$7)*Sales!$C$2:$C$997),0)</f>
        <v>45448</v>
      </c>
      <c r="D10" s="23">
        <f t="shared" ref="D10:D21" si="0">C10-B10</f>
        <v>-1863</v>
      </c>
      <c r="F10" s="27" t="s">
        <v>80</v>
      </c>
      <c r="G10" s="23">
        <f>SUM(INVENTORY!F:F)</f>
        <v>207</v>
      </c>
    </row>
    <row r="11" spans="1:8" ht="15" customHeight="1">
      <c r="A11" s="28" t="s">
        <v>81</v>
      </c>
      <c r="B11" s="29">
        <f>IFERROR(SUMPRODUCT((TEXT(Purchases!$A$2:$A$998,"MMM")=$A11)*(YEAR(Purchases!$A$2:$A$998)=$B$7)*Purchases!$C$2:$C$998),0)</f>
        <v>4790</v>
      </c>
      <c r="C11" s="29">
        <f>IFERROR(SUMPRODUCT((TEXT(Sales!$A$2:$A$997,"MMM")=$A11)*(YEAR(Sales!$A$2:$A$997)=$B$7)*Sales!$C$2:$C$997),0)</f>
        <v>19089</v>
      </c>
      <c r="D11" s="29">
        <f t="shared" si="0"/>
        <v>14299</v>
      </c>
      <c r="F11" s="28" t="s">
        <v>82</v>
      </c>
      <c r="G11" s="29">
        <f>SUM(INVENTORY!G:G)</f>
        <v>127</v>
      </c>
    </row>
    <row r="12" spans="1:8" ht="15" customHeight="1">
      <c r="A12" s="27" t="s">
        <v>83</v>
      </c>
      <c r="B12" s="23">
        <f>IFERROR(SUMPRODUCT((TEXT(Purchases!$A$2:$A$998,"MMM")=$A12)*(YEAR(Purchases!$A$2:$A$998)=$B$7)*Purchases!$C$2:$C$998),0)</f>
        <v>22172</v>
      </c>
      <c r="C12" s="23">
        <f>IFERROR(SUMPRODUCT((TEXT(Sales!$A$2:$A$997,"MMM")=$A12)*(YEAR(Sales!$A$2:$A$997)=$B$7)*Sales!$C$2:$C$997),0)</f>
        <v>16548</v>
      </c>
      <c r="D12" s="23">
        <f t="shared" si="0"/>
        <v>-5624</v>
      </c>
    </row>
    <row r="13" spans="1:8" ht="15" customHeight="1">
      <c r="A13" s="28" t="s">
        <v>84</v>
      </c>
      <c r="B13" s="29">
        <f>IFERROR(SUMPRODUCT((TEXT(Purchases!$A$2:$A$998,"MMM")=$A13)*(YEAR(Purchases!$A$2:$A$998)=$B$7)*Purchases!$C$2:$C$998),0)</f>
        <v>15145</v>
      </c>
      <c r="C13" s="29">
        <f>IFERROR(SUMPRODUCT((TEXT(Sales!$A$2:$A$997,"MMM")=$A13)*(YEAR(Sales!$A$2:$A$997)=$B$7)*Sales!$C$2:$C$997),0)</f>
        <v>13910</v>
      </c>
      <c r="D13" s="29">
        <f t="shared" si="0"/>
        <v>-1235</v>
      </c>
    </row>
    <row r="14" spans="1:8" ht="15" customHeight="1">
      <c r="A14" s="27" t="s">
        <v>85</v>
      </c>
      <c r="B14" s="23">
        <f>IFERROR(SUMPRODUCT((TEXT(Purchases!$A$2:$A$998,"MMM")=$A14)*(YEAR(Purchases!$A$2:$A$998)=$B$7)*Purchases!$C$2:$C$998),0)</f>
        <v>0</v>
      </c>
      <c r="C14" s="23">
        <f>IFERROR(SUMPRODUCT((TEXT(Sales!$A$2:$A$997,"MMM")=$A14)*(YEAR(Sales!$A$2:$A$997)=$B$7)*Sales!$C$2:$C$997),0)</f>
        <v>0</v>
      </c>
      <c r="D14" s="23">
        <f t="shared" si="0"/>
        <v>0</v>
      </c>
    </row>
    <row r="15" spans="1:8" ht="15" customHeight="1">
      <c r="A15" s="28" t="s">
        <v>86</v>
      </c>
      <c r="B15" s="29">
        <f>IFERROR(SUMPRODUCT((TEXT(Purchases!$A$2:$A$998,"MMM")=$A15)*(YEAR(Purchases!$A$2:$A$998)=$B$7)*Purchases!$C$2:$C$998),0)</f>
        <v>0</v>
      </c>
      <c r="C15" s="29">
        <f>IFERROR(SUMPRODUCT((TEXT(Sales!$A$2:$A$997,"MMM")=$A15)*(YEAR(Sales!$A$2:$A$997)=$B$7)*Sales!$C$2:$C$997),0)</f>
        <v>0</v>
      </c>
      <c r="D15" s="29">
        <f t="shared" si="0"/>
        <v>0</v>
      </c>
    </row>
    <row r="16" spans="1:8" ht="15" customHeight="1">
      <c r="A16" s="27" t="s">
        <v>87</v>
      </c>
      <c r="B16" s="23">
        <f>IFERROR(SUMPRODUCT((TEXT(Purchases!$A$2:$A$998,"MMM")=$A16)*(YEAR(Purchases!$A$2:$A$998)=$B$7)*Purchases!$C$2:$C$998),0)</f>
        <v>0</v>
      </c>
      <c r="C16" s="23">
        <f>IFERROR(SUMPRODUCT((TEXT(Sales!$A$2:$A$997,"MMM")=$A16)*(YEAR(Sales!$A$2:$A$997)=$B$7)*Sales!$C$2:$C$997),0)</f>
        <v>0</v>
      </c>
      <c r="D16" s="23">
        <f t="shared" si="0"/>
        <v>0</v>
      </c>
    </row>
    <row r="17" spans="1:4" ht="15" customHeight="1">
      <c r="A17" s="28" t="s">
        <v>88</v>
      </c>
      <c r="B17" s="29">
        <f>IFERROR(SUMPRODUCT((TEXT(Purchases!$A$2:$A$998,"MMM")=$A17)*(YEAR(Purchases!$A$2:$A$998)=$B$7)*Purchases!$C$2:$C$998),0)</f>
        <v>0</v>
      </c>
      <c r="C17" s="29">
        <f>IFERROR(SUMPRODUCT((TEXT(Sales!$A$2:$A$997,"MMM")=$A17)*(YEAR(Sales!$A$2:$A$997)=$B$7)*Sales!$C$2:$C$997),0)</f>
        <v>0</v>
      </c>
      <c r="D17" s="29">
        <f t="shared" si="0"/>
        <v>0</v>
      </c>
    </row>
    <row r="18" spans="1:4" ht="15" customHeight="1">
      <c r="A18" s="27" t="s">
        <v>89</v>
      </c>
      <c r="B18" s="23">
        <f>IFERROR(SUMPRODUCT((TEXT(Purchases!$A$2:$A$998,"MMM")=$A18)*(YEAR(Purchases!$A$2:$A$998)=$B$7)*Purchases!$C$2:$C$998),0)</f>
        <v>0</v>
      </c>
      <c r="C18" s="23">
        <f>IFERROR(SUMPRODUCT((TEXT(Sales!$A$2:$A$997,"MMM")=$A18)*(YEAR(Sales!$A$2:$A$997)=$B$7)*Sales!$C$2:$C$997),0)</f>
        <v>0</v>
      </c>
      <c r="D18" s="23">
        <f t="shared" si="0"/>
        <v>0</v>
      </c>
    </row>
    <row r="19" spans="1:4" ht="15" customHeight="1">
      <c r="A19" s="28" t="s">
        <v>90</v>
      </c>
      <c r="B19" s="29">
        <f>IFERROR(SUMPRODUCT((TEXT(Purchases!$A$2:$A$998,"MMM")=$A19)*(YEAR(Purchases!$A$2:$A$998)=$B$7)*Purchases!$C$2:$C$998),0)</f>
        <v>0</v>
      </c>
      <c r="C19" s="29">
        <f>IFERROR(SUMPRODUCT((TEXT(Sales!$A$2:$A$997,"MMM")=$A19)*(YEAR(Sales!$A$2:$A$997)=$B$7)*Sales!$C$2:$C$997),0)</f>
        <v>0</v>
      </c>
      <c r="D19" s="29">
        <f t="shared" si="0"/>
        <v>0</v>
      </c>
    </row>
    <row r="20" spans="1:4" ht="15" customHeight="1">
      <c r="A20" s="27" t="s">
        <v>91</v>
      </c>
      <c r="B20" s="23">
        <f>IFERROR(SUMPRODUCT((TEXT(Purchases!$A$2:$A$998,"MMM")=$A20)*(YEAR(Purchases!$A$2:$A$998)=$B$7)*Purchases!$C$2:$C$998),0)</f>
        <v>0</v>
      </c>
      <c r="C20" s="23">
        <f>IFERROR(SUMPRODUCT((TEXT(Sales!$A$2:$A$997,"MMM")=$A20)*(YEAR(Sales!$A$2:$A$997)=$B$7)*Sales!$C$2:$C$997),0)</f>
        <v>0</v>
      </c>
      <c r="D20" s="23">
        <f t="shared" si="0"/>
        <v>0</v>
      </c>
    </row>
    <row r="21" spans="1:4" ht="15" customHeight="1">
      <c r="A21" s="28" t="s">
        <v>92</v>
      </c>
      <c r="B21" s="29">
        <f>IFERROR(SUMPRODUCT((TEXT(Purchases!$A$2:$A$998,"MMM")=$A21)*(YEAR(Purchases!$A$2:$A$998)=$B$7)*Purchases!$C$2:$C$998),0)</f>
        <v>0</v>
      </c>
      <c r="C21" s="29">
        <f>IFERROR(SUMPRODUCT((TEXT(Sales!$A$2:$A$997,"MMM")=$A21)*(YEAR(Sales!$A$2:$A$997)=$B$7)*Sales!$C$2:$C$997),0)</f>
        <v>0</v>
      </c>
      <c r="D21" s="29">
        <f t="shared" si="0"/>
        <v>0</v>
      </c>
    </row>
    <row r="46" spans="6:11" ht="15" customHeight="1">
      <c r="F46" s="30" t="s">
        <v>93</v>
      </c>
      <c r="G46" s="30" t="s">
        <v>80</v>
      </c>
      <c r="H46" s="30" t="s">
        <v>82</v>
      </c>
      <c r="J46" s="31" t="s">
        <v>93</v>
      </c>
      <c r="K46" s="31" t="s">
        <v>94</v>
      </c>
    </row>
    <row r="47" spans="6:11" ht="15" customHeight="1">
      <c r="F47" s="31" t="s">
        <v>95</v>
      </c>
      <c r="G47" s="32">
        <f>SUMIF(INVENTORY!C:C, F47, INVENTORY!F:F)</f>
        <v>129</v>
      </c>
      <c r="H47" s="32">
        <f>SUMIF(INVENTORY!C:C, F47, INVENTORY!G:G)</f>
        <v>54</v>
      </c>
      <c r="J47" s="32" t="s">
        <v>96</v>
      </c>
      <c r="K47" s="33">
        <f t="array" ref="K47">SUMPRODUCT((INVENTORY!$C$2:$C$477=J47)*(INVENTORY!$D$2:$D$477)*(INVENTORY!$G$2:$G$477))</f>
        <v>69946</v>
      </c>
    </row>
    <row r="48" spans="6:11" ht="15" customHeight="1">
      <c r="F48" s="31" t="s">
        <v>96</v>
      </c>
      <c r="G48" s="32">
        <f>SUMIF(INVENTORY!C:C, F48, INVENTORY!F:F)</f>
        <v>76</v>
      </c>
      <c r="H48" s="32">
        <f>SUMIF(INVENTORY!C:C, F48, INVENTORY!G:G)</f>
        <v>68</v>
      </c>
      <c r="J48" s="32" t="s">
        <v>95</v>
      </c>
      <c r="K48" s="33">
        <f t="array" ref="K48">SUMPRODUCT((INVENTORY!$C$2:$C$477=J48)*(INVENTORY!$D$2:$D$477)*(INVENTORY!$G$2:$G$477))</f>
        <v>41509.066666666666</v>
      </c>
    </row>
    <row r="49" spans="5:12" ht="15" customHeight="1">
      <c r="F49" s="31" t="s">
        <v>97</v>
      </c>
      <c r="G49" s="32">
        <f>SUMIF(INVENTORY!C:C, F49, INVENTORY!F:F)</f>
        <v>2</v>
      </c>
      <c r="H49" s="32">
        <f>SUMIF(INVENTORY!C:C, F49, INVENTORY!G:G)</f>
        <v>5</v>
      </c>
      <c r="J49" s="32" t="s">
        <v>97</v>
      </c>
      <c r="K49" s="33">
        <f t="array" ref="K49">SUMPRODUCT((INVENTORY!$C$2:$C$477=J49)*(INVENTORY!$D$2:$D$477)*(INVENTORY!$G$2:$G$477))</f>
        <v>1829</v>
      </c>
    </row>
    <row r="55" spans="5:12" ht="15" customHeight="1">
      <c r="E55" s="30"/>
      <c r="F55" s="30"/>
      <c r="G55" s="30"/>
      <c r="H55" s="30"/>
      <c r="I55" s="30"/>
    </row>
    <row r="56" spans="5:12" ht="15" customHeight="1">
      <c r="E56" s="31"/>
      <c r="F56" s="31"/>
      <c r="G56" s="31"/>
      <c r="H56" s="31"/>
      <c r="I56" s="31"/>
    </row>
    <row r="57" spans="5:12" ht="15" customHeight="1">
      <c r="E57" s="31"/>
      <c r="F57" s="32"/>
      <c r="G57" s="33"/>
      <c r="H57" s="33"/>
      <c r="I57" s="34"/>
    </row>
    <row r="58" spans="5:12" ht="15" customHeight="1">
      <c r="E58" s="31"/>
      <c r="F58" s="32"/>
      <c r="G58" s="32"/>
      <c r="H58" s="32"/>
      <c r="I58" s="34"/>
    </row>
    <row r="59" spans="5:12" ht="15" customHeight="1">
      <c r="E59" s="31"/>
      <c r="F59" s="32"/>
      <c r="G59" s="32"/>
      <c r="H59" s="32"/>
      <c r="I59" s="34"/>
    </row>
    <row r="64" spans="5:12" ht="15" customHeight="1">
      <c r="J64" s="30"/>
      <c r="K64" s="30"/>
      <c r="L64" s="30"/>
    </row>
    <row r="65" spans="10:10" ht="15" customHeight="1">
      <c r="J65" s="31"/>
    </row>
    <row r="66" spans="10:10" ht="15" customHeight="1">
      <c r="J66" s="31"/>
    </row>
    <row r="67" spans="10:10" ht="15" customHeight="1">
      <c r="J67" s="31"/>
    </row>
    <row r="68" spans="10:10" ht="15" customHeight="1">
      <c r="J68" s="3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45" activePane="bottomLeft" state="frozen"/>
      <selection pane="bottomLeft" activeCell="E62" sqref="E62"/>
    </sheetView>
  </sheetViews>
  <sheetFormatPr baseColWidth="10" defaultColWidth="8.83203125" defaultRowHeight="15" customHeight="1"/>
  <cols>
    <col min="2" max="2" width="7.6640625" customWidth="1"/>
    <col min="3" max="3" width="12" customWidth="1"/>
    <col min="4" max="4" width="32.6640625" customWidth="1"/>
  </cols>
  <sheetData>
    <row r="1" spans="1:4" ht="15" customHeight="1">
      <c r="A1" s="35" t="s">
        <v>98</v>
      </c>
      <c r="B1" s="36" t="s">
        <v>42</v>
      </c>
      <c r="C1" s="36" t="s">
        <v>99</v>
      </c>
      <c r="D1" s="36" t="s">
        <v>100</v>
      </c>
    </row>
    <row r="2" spans="1:4" ht="15" customHeight="1">
      <c r="A2" s="37">
        <v>45890</v>
      </c>
      <c r="B2" s="38" t="s">
        <v>51</v>
      </c>
      <c r="C2" s="39">
        <v>10650</v>
      </c>
      <c r="D2" s="38" t="s">
        <v>101</v>
      </c>
    </row>
    <row r="3" spans="1:4" ht="15" customHeight="1">
      <c r="A3" s="40">
        <v>45890</v>
      </c>
      <c r="B3" s="41" t="s">
        <v>49</v>
      </c>
      <c r="C3" s="42">
        <v>55219</v>
      </c>
      <c r="D3" s="41" t="s">
        <v>102</v>
      </c>
    </row>
    <row r="4" spans="1:4" ht="15" customHeight="1">
      <c r="A4" s="37">
        <v>45897</v>
      </c>
      <c r="B4" s="38" t="s">
        <v>50</v>
      </c>
      <c r="C4" s="39">
        <v>35000</v>
      </c>
      <c r="D4" s="38" t="s">
        <v>101</v>
      </c>
    </row>
    <row r="5" spans="1:4" ht="15" customHeight="1">
      <c r="A5" s="40">
        <v>45908</v>
      </c>
      <c r="B5" s="41" t="s">
        <v>49</v>
      </c>
      <c r="C5" s="42">
        <v>1250</v>
      </c>
      <c r="D5" s="41" t="s">
        <v>103</v>
      </c>
    </row>
    <row r="6" spans="1:4" ht="15" customHeight="1">
      <c r="A6" s="37">
        <v>45908</v>
      </c>
      <c r="B6" s="38" t="s">
        <v>49</v>
      </c>
      <c r="C6" s="39">
        <v>75</v>
      </c>
      <c r="D6" s="38" t="s">
        <v>104</v>
      </c>
    </row>
    <row r="7" spans="1:4" ht="15" customHeight="1">
      <c r="A7" s="40">
        <v>45922</v>
      </c>
      <c r="B7" s="41" t="s">
        <v>51</v>
      </c>
      <c r="C7" s="42">
        <v>199</v>
      </c>
      <c r="D7" s="41" t="s">
        <v>105</v>
      </c>
    </row>
    <row r="8" spans="1:4" ht="15" customHeight="1">
      <c r="A8" s="37">
        <v>45922</v>
      </c>
      <c r="B8" s="38" t="s">
        <v>49</v>
      </c>
      <c r="C8" s="39">
        <v>200</v>
      </c>
      <c r="D8" s="38" t="s">
        <v>106</v>
      </c>
    </row>
    <row r="9" spans="1:4" ht="15" customHeight="1">
      <c r="A9" s="40">
        <v>45922</v>
      </c>
      <c r="B9" s="41" t="s">
        <v>49</v>
      </c>
      <c r="C9" s="42">
        <v>350</v>
      </c>
      <c r="D9" s="41" t="s">
        <v>107</v>
      </c>
    </row>
    <row r="10" spans="1:4" ht="15" customHeight="1">
      <c r="A10" s="37">
        <v>45922</v>
      </c>
      <c r="B10" s="38" t="s">
        <v>49</v>
      </c>
      <c r="C10" s="39">
        <v>230</v>
      </c>
      <c r="D10" s="38" t="s">
        <v>107</v>
      </c>
    </row>
    <row r="11" spans="1:4" ht="15" customHeight="1">
      <c r="A11" s="40">
        <v>45931</v>
      </c>
      <c r="B11" s="41" t="s">
        <v>50</v>
      </c>
      <c r="C11" s="42">
        <v>35750</v>
      </c>
      <c r="D11" s="41" t="s">
        <v>108</v>
      </c>
    </row>
    <row r="12" spans="1:4" ht="15" customHeight="1">
      <c r="A12" s="37">
        <v>45931</v>
      </c>
      <c r="B12" s="38" t="s">
        <v>49</v>
      </c>
      <c r="C12" s="39">
        <v>1362</v>
      </c>
      <c r="D12" s="38" t="s">
        <v>108</v>
      </c>
    </row>
    <row r="13" spans="1:4" ht="15" customHeight="1">
      <c r="A13" s="40">
        <v>45931</v>
      </c>
      <c r="B13" s="41" t="s">
        <v>49</v>
      </c>
      <c r="C13" s="42">
        <v>450</v>
      </c>
      <c r="D13" s="41" t="s">
        <v>109</v>
      </c>
    </row>
    <row r="14" spans="1:4" ht="15" customHeight="1">
      <c r="A14" s="37">
        <v>45933</v>
      </c>
      <c r="B14" s="38" t="s">
        <v>49</v>
      </c>
      <c r="C14" s="39">
        <v>95</v>
      </c>
      <c r="D14" s="38" t="s">
        <v>110</v>
      </c>
    </row>
    <row r="15" spans="1:4" ht="15" customHeight="1">
      <c r="A15" s="40">
        <v>45936</v>
      </c>
      <c r="B15" s="41" t="s">
        <v>49</v>
      </c>
      <c r="C15" s="42">
        <v>65</v>
      </c>
      <c r="D15" s="41" t="s">
        <v>110</v>
      </c>
    </row>
    <row r="16" spans="1:4" ht="15" customHeight="1">
      <c r="A16" s="37">
        <v>45937</v>
      </c>
      <c r="B16" s="38" t="s">
        <v>49</v>
      </c>
      <c r="C16" s="39">
        <v>62</v>
      </c>
      <c r="D16" s="38" t="s">
        <v>110</v>
      </c>
    </row>
    <row r="17" spans="1:4" ht="15" customHeight="1">
      <c r="A17" s="40">
        <v>45941</v>
      </c>
      <c r="B17" s="41" t="s">
        <v>49</v>
      </c>
      <c r="C17" s="42">
        <v>7878</v>
      </c>
      <c r="D17" s="41" t="s">
        <v>111</v>
      </c>
    </row>
    <row r="18" spans="1:4" ht="15" customHeight="1">
      <c r="A18" s="37">
        <v>45941</v>
      </c>
      <c r="B18" s="38" t="s">
        <v>49</v>
      </c>
      <c r="C18" s="39">
        <v>-1000</v>
      </c>
      <c r="D18" s="38" t="s">
        <v>112</v>
      </c>
    </row>
    <row r="19" spans="1:4" ht="15" customHeight="1">
      <c r="A19" s="40">
        <v>45941</v>
      </c>
      <c r="B19" s="41" t="s">
        <v>50</v>
      </c>
      <c r="C19" s="42">
        <v>1849</v>
      </c>
      <c r="D19" s="41" t="s">
        <v>105</v>
      </c>
    </row>
    <row r="20" spans="1:4" ht="15" customHeight="1">
      <c r="A20" s="37">
        <v>45941</v>
      </c>
      <c r="B20" s="38" t="s">
        <v>50</v>
      </c>
      <c r="C20" s="39">
        <v>500</v>
      </c>
      <c r="D20" s="38" t="s">
        <v>113</v>
      </c>
    </row>
    <row r="21" spans="1:4" ht="15" customHeight="1">
      <c r="A21" s="40">
        <v>45941</v>
      </c>
      <c r="B21" s="41" t="s">
        <v>49</v>
      </c>
      <c r="C21" s="42">
        <v>1036</v>
      </c>
      <c r="D21" s="41" t="s">
        <v>114</v>
      </c>
    </row>
    <row r="22" spans="1:4" ht="15" customHeight="1">
      <c r="A22" s="37">
        <v>45941</v>
      </c>
      <c r="B22" s="38" t="s">
        <v>51</v>
      </c>
      <c r="C22" s="39">
        <v>2500</v>
      </c>
      <c r="D22" s="38" t="s">
        <v>115</v>
      </c>
    </row>
    <row r="23" spans="1:4" ht="15" customHeight="1">
      <c r="A23" s="40">
        <v>45967</v>
      </c>
      <c r="B23" s="41" t="s">
        <v>51</v>
      </c>
      <c r="C23" s="42">
        <v>6830</v>
      </c>
      <c r="D23" s="41" t="s">
        <v>116</v>
      </c>
    </row>
    <row r="24" spans="1:4" ht="15" customHeight="1">
      <c r="A24" s="37">
        <v>45969</v>
      </c>
      <c r="B24" s="38" t="s">
        <v>49</v>
      </c>
      <c r="C24" s="39">
        <v>4032</v>
      </c>
      <c r="D24" s="38" t="s">
        <v>116</v>
      </c>
    </row>
    <row r="25" spans="1:4" ht="15" customHeight="1">
      <c r="A25" s="40">
        <v>45970</v>
      </c>
      <c r="B25" s="41" t="s">
        <v>51</v>
      </c>
      <c r="C25" s="42">
        <v>2714</v>
      </c>
      <c r="D25" s="41" t="s">
        <v>116</v>
      </c>
    </row>
    <row r="26" spans="1:4" ht="15" customHeight="1">
      <c r="A26" s="37">
        <v>45983</v>
      </c>
      <c r="B26" s="38" t="s">
        <v>49</v>
      </c>
      <c r="C26" s="39">
        <v>3760</v>
      </c>
      <c r="D26" s="38" t="s">
        <v>116</v>
      </c>
    </row>
    <row r="27" spans="1:4" ht="15" customHeight="1">
      <c r="A27" s="40">
        <v>45984</v>
      </c>
      <c r="B27" s="41" t="s">
        <v>50</v>
      </c>
      <c r="C27" s="42">
        <v>11798</v>
      </c>
      <c r="D27" s="41" t="s">
        <v>111</v>
      </c>
    </row>
    <row r="28" spans="1:4" ht="15" customHeight="1">
      <c r="A28" s="37">
        <v>45985</v>
      </c>
      <c r="B28" s="38" t="s">
        <v>50</v>
      </c>
      <c r="C28" s="39">
        <v>8914</v>
      </c>
      <c r="D28" s="38" t="s">
        <v>111</v>
      </c>
    </row>
    <row r="29" spans="1:4" ht="15" customHeight="1">
      <c r="A29" s="40">
        <v>46000</v>
      </c>
      <c r="B29" s="41" t="s">
        <v>49</v>
      </c>
      <c r="C29" s="42">
        <v>3690</v>
      </c>
      <c r="D29" s="41" t="s">
        <v>117</v>
      </c>
    </row>
    <row r="30" spans="1:4" ht="15" customHeight="1">
      <c r="A30" s="37">
        <v>46004</v>
      </c>
      <c r="B30" s="38" t="s">
        <v>50</v>
      </c>
      <c r="C30" s="39">
        <v>4457</v>
      </c>
      <c r="D30" s="38" t="s">
        <v>118</v>
      </c>
    </row>
    <row r="31" spans="1:4" ht="15" customHeight="1">
      <c r="A31" s="40">
        <v>46008</v>
      </c>
      <c r="B31" s="41" t="s">
        <v>49</v>
      </c>
      <c r="C31" s="42">
        <v>42</v>
      </c>
      <c r="D31" s="41" t="s">
        <v>119</v>
      </c>
    </row>
    <row r="32" spans="1:4" ht="15" customHeight="1">
      <c r="A32" s="37">
        <v>46009</v>
      </c>
      <c r="B32" s="38" t="s">
        <v>50</v>
      </c>
      <c r="C32" s="39">
        <v>2657</v>
      </c>
      <c r="D32" s="38" t="s">
        <v>118</v>
      </c>
    </row>
    <row r="33" spans="1:5" ht="15" customHeight="1">
      <c r="A33" s="40">
        <v>46015</v>
      </c>
      <c r="B33" s="41" t="s">
        <v>49</v>
      </c>
      <c r="C33" s="42">
        <v>160</v>
      </c>
      <c r="D33" s="41" t="s">
        <v>110</v>
      </c>
    </row>
    <row r="34" spans="1:5" ht="15" customHeight="1">
      <c r="A34" s="37">
        <v>46017</v>
      </c>
      <c r="B34" s="38" t="s">
        <v>49</v>
      </c>
      <c r="C34" s="39">
        <v>122</v>
      </c>
      <c r="D34" s="38" t="s">
        <v>110</v>
      </c>
    </row>
    <row r="35" spans="1:5" ht="15" customHeight="1">
      <c r="A35" s="40">
        <v>46021</v>
      </c>
      <c r="B35" s="41" t="s">
        <v>50</v>
      </c>
      <c r="C35" s="42">
        <v>2122</v>
      </c>
      <c r="D35" s="41" t="s">
        <v>120</v>
      </c>
    </row>
    <row r="36" spans="1:5" ht="15" customHeight="1">
      <c r="A36" s="37">
        <v>46029</v>
      </c>
      <c r="B36" s="38" t="s">
        <v>49</v>
      </c>
      <c r="C36" s="39">
        <v>2674</v>
      </c>
      <c r="D36" s="38" t="s">
        <v>118</v>
      </c>
    </row>
    <row r="37" spans="1:5" ht="15" customHeight="1">
      <c r="A37" s="40">
        <v>46029</v>
      </c>
      <c r="B37" s="41" t="s">
        <v>49</v>
      </c>
      <c r="C37" s="42">
        <v>1760</v>
      </c>
      <c r="D37" s="41" t="s">
        <v>121</v>
      </c>
    </row>
    <row r="38" spans="1:5" ht="15" customHeight="1">
      <c r="A38" s="37">
        <v>46031</v>
      </c>
      <c r="B38" s="38" t="s">
        <v>51</v>
      </c>
      <c r="C38" s="39">
        <v>1330</v>
      </c>
      <c r="D38" s="38" t="s">
        <v>122</v>
      </c>
    </row>
    <row r="39" spans="1:5" ht="15" customHeight="1">
      <c r="A39" s="40">
        <v>46035</v>
      </c>
      <c r="B39" s="41" t="s">
        <v>49</v>
      </c>
      <c r="C39" s="42">
        <v>5940</v>
      </c>
      <c r="D39" s="41" t="s">
        <v>123</v>
      </c>
    </row>
    <row r="40" spans="1:5" ht="15" customHeight="1">
      <c r="A40" s="37">
        <v>46037</v>
      </c>
      <c r="B40" s="38" t="s">
        <v>50</v>
      </c>
      <c r="C40" s="39">
        <v>5602</v>
      </c>
      <c r="D40" s="38" t="s">
        <v>118</v>
      </c>
    </row>
    <row r="41" spans="1:5" ht="15" customHeight="1">
      <c r="A41" s="40">
        <v>46038</v>
      </c>
      <c r="B41" s="41" t="s">
        <v>50</v>
      </c>
      <c r="C41" s="42">
        <v>5349</v>
      </c>
      <c r="D41" s="41" t="s">
        <v>118</v>
      </c>
    </row>
    <row r="42" spans="1:5" ht="15" customHeight="1">
      <c r="A42" s="37">
        <v>46040</v>
      </c>
      <c r="B42" s="38" t="s">
        <v>49</v>
      </c>
      <c r="C42" s="39">
        <v>4425</v>
      </c>
      <c r="D42" s="38" t="s">
        <v>123</v>
      </c>
    </row>
    <row r="43" spans="1:5" ht="15" customHeight="1">
      <c r="A43" s="40">
        <v>46045</v>
      </c>
      <c r="B43" s="41" t="s">
        <v>49</v>
      </c>
      <c r="C43" s="42">
        <v>1370</v>
      </c>
      <c r="D43" s="41" t="s">
        <v>124</v>
      </c>
    </row>
    <row r="44" spans="1:5" ht="15" customHeight="1">
      <c r="A44" s="37">
        <v>46045</v>
      </c>
      <c r="B44" s="38" t="s">
        <v>50</v>
      </c>
      <c r="C44" s="39">
        <v>16684</v>
      </c>
      <c r="D44" s="38" t="s">
        <v>118</v>
      </c>
    </row>
    <row r="45" spans="1:5" ht="15" customHeight="1">
      <c r="A45" s="40">
        <v>46043</v>
      </c>
      <c r="B45" s="41" t="s">
        <v>49</v>
      </c>
      <c r="C45" s="42">
        <v>106</v>
      </c>
      <c r="D45" s="41" t="s">
        <v>125</v>
      </c>
    </row>
    <row r="46" spans="1:5" ht="15" customHeight="1">
      <c r="A46" s="37">
        <v>46045</v>
      </c>
      <c r="B46" s="38" t="s">
        <v>49</v>
      </c>
      <c r="C46" s="39">
        <v>288</v>
      </c>
      <c r="D46" s="38" t="s">
        <v>106</v>
      </c>
    </row>
    <row r="47" spans="1:5" ht="15" customHeight="1">
      <c r="A47" s="40">
        <v>46050</v>
      </c>
      <c r="B47" s="41" t="s">
        <v>49</v>
      </c>
      <c r="C47" s="42">
        <v>1783</v>
      </c>
      <c r="D47" s="41" t="s">
        <v>118</v>
      </c>
    </row>
    <row r="48" spans="1:5" ht="15" customHeight="1">
      <c r="A48" s="37">
        <v>46059</v>
      </c>
      <c r="B48" s="38" t="s">
        <v>51</v>
      </c>
      <c r="C48" s="39">
        <v>1290</v>
      </c>
      <c r="D48" s="38" t="s">
        <v>126</v>
      </c>
      <c r="E48" s="43"/>
    </row>
    <row r="49" spans="1:4" ht="15" customHeight="1">
      <c r="A49" s="40">
        <v>46078</v>
      </c>
      <c r="B49" s="41" t="s">
        <v>50</v>
      </c>
      <c r="C49" s="42">
        <v>3500</v>
      </c>
      <c r="D49" s="41" t="s">
        <v>127</v>
      </c>
    </row>
    <row r="50" spans="1:4" ht="15" customHeight="1">
      <c r="A50" s="37">
        <v>46087</v>
      </c>
      <c r="B50" s="38" t="s">
        <v>49</v>
      </c>
      <c r="C50" s="39">
        <v>6328</v>
      </c>
      <c r="D50" s="38" t="s">
        <v>128</v>
      </c>
    </row>
    <row r="51" spans="1:4" ht="15" customHeight="1">
      <c r="A51" s="40">
        <v>46087</v>
      </c>
      <c r="B51" s="41" t="s">
        <v>51</v>
      </c>
      <c r="C51" s="42">
        <v>3164</v>
      </c>
      <c r="D51" s="41" t="s">
        <v>128</v>
      </c>
    </row>
    <row r="52" spans="1:4" ht="15" customHeight="1">
      <c r="A52" s="37">
        <v>46090</v>
      </c>
      <c r="B52" s="38" t="s">
        <v>49</v>
      </c>
      <c r="C52" s="39">
        <v>100</v>
      </c>
      <c r="D52" s="38" t="s">
        <v>119</v>
      </c>
    </row>
    <row r="53" spans="1:4" ht="15" customHeight="1">
      <c r="A53" s="40">
        <v>46091</v>
      </c>
      <c r="B53" s="41" t="s">
        <v>49</v>
      </c>
      <c r="C53" s="42">
        <v>1400</v>
      </c>
      <c r="D53" s="41" t="s">
        <v>124</v>
      </c>
    </row>
    <row r="54" spans="1:4" ht="15" customHeight="1">
      <c r="A54" s="37">
        <v>46091</v>
      </c>
      <c r="B54" s="38" t="s">
        <v>51</v>
      </c>
      <c r="C54" s="39">
        <v>700</v>
      </c>
      <c r="D54" s="38" t="s">
        <v>124</v>
      </c>
    </row>
    <row r="55" spans="1:4" ht="15" customHeight="1">
      <c r="A55" s="40">
        <v>46092</v>
      </c>
      <c r="B55" s="41" t="s">
        <v>49</v>
      </c>
      <c r="C55" s="42">
        <v>5594</v>
      </c>
      <c r="D55" s="41" t="s">
        <v>128</v>
      </c>
    </row>
    <row r="56" spans="1:4" ht="15" customHeight="1">
      <c r="A56" s="37">
        <v>46092</v>
      </c>
      <c r="B56" s="38" t="s">
        <v>51</v>
      </c>
      <c r="C56" s="39">
        <v>2796</v>
      </c>
      <c r="D56" s="38" t="s">
        <v>128</v>
      </c>
    </row>
    <row r="57" spans="1:4" ht="15" customHeight="1">
      <c r="A57" s="40">
        <v>46093</v>
      </c>
      <c r="B57" s="41" t="s">
        <v>51</v>
      </c>
      <c r="C57" s="42">
        <v>427</v>
      </c>
      <c r="D57" s="41" t="s">
        <v>119</v>
      </c>
    </row>
    <row r="58" spans="1:4" ht="15" customHeight="1">
      <c r="A58" s="37">
        <v>46100</v>
      </c>
      <c r="B58" s="38" t="s">
        <v>49</v>
      </c>
      <c r="C58" s="39">
        <v>1663</v>
      </c>
      <c r="D58" s="38" t="s">
        <v>129</v>
      </c>
    </row>
    <row r="59" spans="1:4" ht="15" customHeight="1">
      <c r="A59" s="40">
        <v>46119</v>
      </c>
      <c r="B59" s="41" t="s">
        <v>49</v>
      </c>
      <c r="C59" s="42">
        <v>13937</v>
      </c>
      <c r="D59" s="41" t="s">
        <v>118</v>
      </c>
    </row>
    <row r="60" spans="1:4" ht="15" customHeight="1">
      <c r="A60" s="37">
        <v>46120</v>
      </c>
      <c r="B60" s="38" t="s">
        <v>49</v>
      </c>
      <c r="C60" s="39">
        <v>42</v>
      </c>
      <c r="D60" s="38" t="s">
        <v>119</v>
      </c>
    </row>
    <row r="61" spans="1:4" ht="15" customHeight="1">
      <c r="A61" s="40">
        <v>46120</v>
      </c>
      <c r="B61" s="41" t="s">
        <v>50</v>
      </c>
      <c r="C61" s="42">
        <v>1000</v>
      </c>
      <c r="D61" s="41" t="s">
        <v>792</v>
      </c>
    </row>
    <row r="62" spans="1:4" ht="15" customHeight="1">
      <c r="A62" s="37">
        <v>46122</v>
      </c>
      <c r="B62" s="38" t="s">
        <v>49</v>
      </c>
      <c r="C62" s="39">
        <v>166</v>
      </c>
      <c r="D62" s="38" t="s">
        <v>119</v>
      </c>
    </row>
    <row r="63" spans="1:4" ht="15" customHeight="1">
      <c r="A63" s="40"/>
      <c r="B63" s="41"/>
      <c r="C63" s="42"/>
      <c r="D63" s="41"/>
    </row>
    <row r="64" spans="1:4" ht="15" customHeight="1">
      <c r="A64" s="37"/>
      <c r="B64" s="38"/>
      <c r="C64" s="39"/>
      <c r="D64" s="38"/>
    </row>
    <row r="65" spans="1:4" ht="15" customHeight="1">
      <c r="A65" s="40"/>
      <c r="B65" s="41"/>
      <c r="C65" s="42"/>
      <c r="D65" s="41"/>
    </row>
    <row r="66" spans="1:4" ht="15" customHeight="1">
      <c r="A66" s="37"/>
      <c r="B66" s="38"/>
      <c r="C66" s="39"/>
      <c r="D66" s="38"/>
    </row>
    <row r="67" spans="1:4" ht="15" customHeight="1">
      <c r="A67" s="40"/>
      <c r="B67" s="41"/>
      <c r="C67" s="42"/>
      <c r="D67" s="41"/>
    </row>
    <row r="68" spans="1:4" ht="15" customHeight="1">
      <c r="A68" s="37"/>
      <c r="B68" s="38"/>
      <c r="C68" s="39"/>
      <c r="D68" s="38"/>
    </row>
    <row r="69" spans="1:4" ht="15" customHeight="1">
      <c r="A69" s="40"/>
      <c r="B69" s="41"/>
      <c r="C69" s="42"/>
      <c r="D69" s="41"/>
    </row>
    <row r="70" spans="1:4" ht="15" customHeight="1">
      <c r="A70" s="37"/>
      <c r="B70" s="38"/>
      <c r="C70" s="39"/>
      <c r="D70" s="38"/>
    </row>
    <row r="71" spans="1:4" ht="15" customHeight="1">
      <c r="A71" s="40"/>
      <c r="B71" s="41"/>
      <c r="C71" s="42"/>
      <c r="D71" s="41"/>
    </row>
    <row r="72" spans="1:4" ht="15" customHeight="1">
      <c r="A72" s="37"/>
      <c r="B72" s="38"/>
      <c r="C72" s="39"/>
      <c r="D72" s="38"/>
    </row>
    <row r="73" spans="1:4" ht="15" customHeight="1">
      <c r="A73" s="40"/>
      <c r="B73" s="41"/>
      <c r="C73" s="42"/>
      <c r="D73" s="41"/>
    </row>
    <row r="74" spans="1:4" ht="15" customHeight="1">
      <c r="A74" s="37"/>
      <c r="B74" s="38"/>
      <c r="C74" s="39"/>
      <c r="D74" s="38"/>
    </row>
    <row r="75" spans="1:4" ht="15" customHeight="1">
      <c r="A75" s="40"/>
      <c r="B75" s="41"/>
      <c r="C75" s="42"/>
      <c r="D75" s="41"/>
    </row>
    <row r="76" spans="1:4" ht="15" customHeight="1">
      <c r="A76" s="37"/>
      <c r="B76" s="38"/>
      <c r="C76" s="39"/>
      <c r="D76" s="38"/>
    </row>
    <row r="77" spans="1:4" ht="15" customHeight="1">
      <c r="A77" s="40"/>
      <c r="B77" s="41"/>
      <c r="C77" s="42"/>
      <c r="D77" s="41"/>
    </row>
    <row r="78" spans="1:4" ht="15" customHeight="1">
      <c r="A78" s="37"/>
      <c r="B78" s="38"/>
      <c r="C78" s="39"/>
      <c r="D78" s="38"/>
    </row>
    <row r="79" spans="1:4" ht="15" customHeight="1">
      <c r="A79" s="40"/>
      <c r="B79" s="41"/>
      <c r="C79" s="42"/>
      <c r="D79" s="41"/>
    </row>
    <row r="80" spans="1:4" ht="15" customHeight="1">
      <c r="A80" s="37"/>
      <c r="B80" s="38"/>
      <c r="C80" s="39"/>
      <c r="D80" s="38"/>
    </row>
    <row r="81" spans="1:4" ht="15" customHeight="1">
      <c r="A81" s="40"/>
      <c r="B81" s="41"/>
      <c r="C81" s="42"/>
      <c r="D81" s="41"/>
    </row>
    <row r="82" spans="1:4" ht="15" customHeight="1">
      <c r="A82" s="37"/>
      <c r="B82" s="38"/>
      <c r="C82" s="39"/>
      <c r="D82" s="38"/>
    </row>
    <row r="83" spans="1:4" ht="15" customHeight="1">
      <c r="A83" s="40"/>
      <c r="B83" s="41"/>
      <c r="C83" s="42"/>
      <c r="D83" s="41"/>
    </row>
    <row r="84" spans="1:4" ht="15" customHeight="1">
      <c r="A84" s="37"/>
      <c r="B84" s="38"/>
      <c r="C84" s="39"/>
      <c r="D84" s="38"/>
    </row>
    <row r="85" spans="1:4" ht="15" customHeight="1">
      <c r="A85" s="40"/>
      <c r="B85" s="41"/>
      <c r="C85" s="42"/>
      <c r="D85" s="41"/>
    </row>
    <row r="86" spans="1:4" ht="15" customHeight="1">
      <c r="A86" s="37"/>
      <c r="B86" s="38"/>
      <c r="C86" s="39"/>
      <c r="D86" s="38"/>
    </row>
    <row r="87" spans="1:4" ht="15" customHeight="1">
      <c r="A87" s="40"/>
      <c r="B87" s="41"/>
      <c r="C87" s="42"/>
      <c r="D87" s="41"/>
    </row>
    <row r="88" spans="1:4" ht="15" customHeight="1">
      <c r="A88" s="37"/>
      <c r="B88" s="38"/>
      <c r="C88" s="39"/>
      <c r="D88" s="38"/>
    </row>
    <row r="89" spans="1:4" ht="15" customHeight="1">
      <c r="A89" s="40"/>
      <c r="B89" s="41"/>
      <c r="C89" s="42"/>
      <c r="D89" s="41"/>
    </row>
    <row r="90" spans="1:4" ht="15" customHeight="1">
      <c r="A90" s="37"/>
      <c r="B90" s="38"/>
      <c r="C90" s="39"/>
      <c r="D90" s="38"/>
    </row>
    <row r="91" spans="1:4" ht="15" customHeight="1">
      <c r="A91" s="40"/>
      <c r="B91" s="41"/>
      <c r="C91" s="42"/>
      <c r="D91" s="41"/>
    </row>
    <row r="92" spans="1:4" ht="15" customHeight="1">
      <c r="A92" s="37"/>
      <c r="B92" s="38"/>
      <c r="C92" s="39"/>
      <c r="D92" s="38"/>
    </row>
    <row r="93" spans="1:4" ht="15" customHeight="1">
      <c r="A93" s="40"/>
      <c r="B93" s="41"/>
      <c r="C93" s="42"/>
      <c r="D93" s="41"/>
    </row>
    <row r="94" spans="1:4" ht="15" customHeight="1">
      <c r="A94" s="37"/>
      <c r="B94" s="38"/>
      <c r="C94" s="39"/>
      <c r="D94" s="38"/>
    </row>
    <row r="95" spans="1:4" ht="15" customHeight="1">
      <c r="A95" s="40"/>
      <c r="B95" s="41"/>
      <c r="C95" s="42"/>
      <c r="D95" s="41"/>
    </row>
    <row r="96" spans="1:4" ht="15" customHeight="1">
      <c r="A96" s="37"/>
      <c r="B96" s="38"/>
      <c r="C96" s="39"/>
      <c r="D96" s="38"/>
    </row>
    <row r="97" spans="1:4" ht="15" customHeight="1">
      <c r="A97" s="40"/>
      <c r="B97" s="41"/>
      <c r="C97" s="42"/>
      <c r="D97" s="41"/>
    </row>
    <row r="98" spans="1:4" ht="15" customHeight="1">
      <c r="A98" s="37"/>
      <c r="B98" s="38"/>
      <c r="C98" s="39"/>
      <c r="D98" s="38"/>
    </row>
    <row r="99" spans="1:4" ht="15" customHeight="1">
      <c r="A99" s="40"/>
      <c r="B99" s="41"/>
      <c r="C99" s="42"/>
      <c r="D99" s="41"/>
    </row>
    <row r="100" spans="1:4" ht="15" customHeight="1">
      <c r="A100" s="37"/>
      <c r="B100" s="38"/>
      <c r="C100" s="39"/>
      <c r="D100" s="38"/>
    </row>
    <row r="101" spans="1:4" ht="15" customHeight="1">
      <c r="A101" s="40"/>
      <c r="B101" s="41"/>
      <c r="C101" s="42"/>
      <c r="D101" s="41"/>
    </row>
    <row r="102" spans="1:4" ht="15" customHeight="1">
      <c r="A102" s="37"/>
      <c r="B102" s="38"/>
      <c r="C102" s="39"/>
      <c r="D102" s="38"/>
    </row>
    <row r="103" spans="1:4" ht="15" customHeight="1">
      <c r="A103" s="40"/>
      <c r="B103" s="41"/>
      <c r="C103" s="42"/>
      <c r="D103" s="41"/>
    </row>
    <row r="104" spans="1:4" ht="15" customHeight="1">
      <c r="A104" s="37"/>
      <c r="B104" s="38"/>
      <c r="C104" s="39"/>
      <c r="D104" s="38"/>
    </row>
    <row r="105" spans="1:4" ht="15" customHeight="1">
      <c r="A105" s="40"/>
      <c r="B105" s="41"/>
      <c r="C105" s="42"/>
      <c r="D105" s="41"/>
    </row>
    <row r="106" spans="1:4" ht="15" customHeight="1">
      <c r="A106" s="37"/>
      <c r="B106" s="38"/>
      <c r="C106" s="39"/>
      <c r="D106" s="38"/>
    </row>
    <row r="107" spans="1:4" ht="15" customHeight="1">
      <c r="A107" s="40"/>
      <c r="B107" s="41"/>
      <c r="C107" s="42"/>
      <c r="D107" s="41"/>
    </row>
    <row r="108" spans="1:4" ht="15" customHeight="1">
      <c r="A108" s="37"/>
      <c r="B108" s="38"/>
      <c r="C108" s="39"/>
      <c r="D108" s="38"/>
    </row>
    <row r="109" spans="1:4" ht="15" customHeight="1">
      <c r="A109" s="40"/>
      <c r="B109" s="41"/>
      <c r="C109" s="42"/>
      <c r="D109" s="41"/>
    </row>
    <row r="110" spans="1:4" ht="15" customHeight="1">
      <c r="A110" s="37"/>
      <c r="B110" s="38"/>
      <c r="C110" s="39"/>
      <c r="D110" s="38"/>
    </row>
    <row r="111" spans="1:4" ht="15" customHeight="1">
      <c r="A111" s="40"/>
      <c r="B111" s="41"/>
      <c r="C111" s="42"/>
      <c r="D111" s="41"/>
    </row>
    <row r="112" spans="1:4" ht="15" customHeight="1">
      <c r="A112" s="37"/>
      <c r="B112" s="38"/>
      <c r="C112" s="39"/>
      <c r="D112" s="38"/>
    </row>
    <row r="113" spans="1:4" ht="15" customHeight="1">
      <c r="A113" s="40"/>
      <c r="B113" s="41"/>
      <c r="C113" s="42"/>
      <c r="D113" s="41"/>
    </row>
    <row r="114" spans="1:4" ht="15" customHeight="1">
      <c r="A114" s="37"/>
      <c r="B114" s="38"/>
      <c r="C114" s="39"/>
      <c r="D114" s="38"/>
    </row>
    <row r="115" spans="1:4" ht="15" customHeight="1">
      <c r="A115" s="40"/>
      <c r="B115" s="41"/>
      <c r="C115" s="42"/>
      <c r="D115" s="41"/>
    </row>
    <row r="116" spans="1:4" ht="15" customHeight="1">
      <c r="A116" s="37"/>
      <c r="B116" s="38"/>
      <c r="C116" s="39"/>
      <c r="D116" s="38"/>
    </row>
    <row r="117" spans="1:4" ht="15" customHeight="1">
      <c r="A117" s="40"/>
      <c r="B117" s="41"/>
      <c r="C117" s="42"/>
      <c r="D117" s="41"/>
    </row>
    <row r="118" spans="1:4" ht="15" customHeight="1">
      <c r="A118" s="37"/>
      <c r="B118" s="38"/>
      <c r="C118" s="39"/>
      <c r="D118" s="38"/>
    </row>
    <row r="119" spans="1:4" ht="15" customHeight="1">
      <c r="A119" s="40"/>
      <c r="B119" s="41"/>
      <c r="C119" s="42"/>
      <c r="D119" s="41"/>
    </row>
    <row r="120" spans="1:4" ht="15" customHeight="1">
      <c r="A120" s="37"/>
      <c r="B120" s="38"/>
      <c r="C120" s="39"/>
      <c r="D120" s="38"/>
    </row>
    <row r="121" spans="1:4" ht="15" customHeight="1">
      <c r="A121" s="40"/>
      <c r="B121" s="41"/>
      <c r="C121" s="42"/>
      <c r="D121" s="41"/>
    </row>
    <row r="122" spans="1:4" ht="15" customHeight="1">
      <c r="A122" s="37"/>
      <c r="B122" s="38"/>
      <c r="C122" s="39"/>
      <c r="D122" s="38"/>
    </row>
    <row r="123" spans="1:4" ht="15" customHeight="1">
      <c r="A123" s="40"/>
      <c r="B123" s="41"/>
      <c r="C123" s="42"/>
      <c r="D123" s="41"/>
    </row>
    <row r="124" spans="1:4" ht="15" customHeight="1">
      <c r="A124" s="37"/>
      <c r="B124" s="38"/>
      <c r="C124" s="39"/>
      <c r="D124" s="38"/>
    </row>
    <row r="125" spans="1:4" ht="15" customHeight="1">
      <c r="A125" s="40"/>
      <c r="B125" s="41"/>
      <c r="C125" s="42"/>
      <c r="D125" s="41"/>
    </row>
    <row r="126" spans="1:4" ht="15" customHeight="1">
      <c r="A126" s="37"/>
      <c r="B126" s="38"/>
      <c r="C126" s="39"/>
      <c r="D126" s="38"/>
    </row>
    <row r="127" spans="1:4" ht="15" customHeight="1">
      <c r="A127" s="40"/>
      <c r="B127" s="41"/>
      <c r="C127" s="42"/>
      <c r="D127" s="41"/>
    </row>
    <row r="128" spans="1:4" ht="15" customHeight="1">
      <c r="A128" s="37"/>
      <c r="B128" s="38"/>
      <c r="C128" s="39"/>
      <c r="D128" s="38"/>
    </row>
    <row r="129" spans="1:4" ht="15" customHeight="1">
      <c r="A129" s="40"/>
      <c r="B129" s="41"/>
      <c r="C129" s="42"/>
      <c r="D129" s="41"/>
    </row>
    <row r="130" spans="1:4" ht="15" customHeight="1">
      <c r="A130" s="37"/>
      <c r="B130" s="38"/>
      <c r="C130" s="39"/>
      <c r="D130" s="38"/>
    </row>
    <row r="131" spans="1:4" ht="15" customHeight="1">
      <c r="A131" s="40"/>
      <c r="B131" s="41"/>
      <c r="C131" s="42"/>
      <c r="D131" s="41"/>
    </row>
    <row r="132" spans="1:4" ht="15" customHeight="1">
      <c r="A132" s="37"/>
      <c r="B132" s="38"/>
      <c r="C132" s="39"/>
      <c r="D132" s="38"/>
    </row>
    <row r="133" spans="1:4" ht="15" customHeight="1">
      <c r="A133" s="40"/>
      <c r="B133" s="41"/>
      <c r="C133" s="42"/>
      <c r="D133" s="41"/>
    </row>
    <row r="134" spans="1:4" ht="15" customHeight="1">
      <c r="A134" s="37"/>
      <c r="B134" s="38"/>
      <c r="C134" s="39"/>
      <c r="D134" s="38"/>
    </row>
    <row r="135" spans="1:4" ht="15" customHeight="1">
      <c r="A135" s="40"/>
      <c r="B135" s="41"/>
      <c r="C135" s="42"/>
      <c r="D135" s="41"/>
    </row>
    <row r="136" spans="1:4" ht="15" customHeight="1">
      <c r="A136" s="37"/>
      <c r="B136" s="38"/>
      <c r="C136" s="39"/>
      <c r="D136" s="38"/>
    </row>
    <row r="137" spans="1:4" ht="15" customHeight="1">
      <c r="A137" s="40"/>
      <c r="B137" s="41"/>
      <c r="C137" s="42"/>
      <c r="D137" s="41"/>
    </row>
    <row r="138" spans="1:4" ht="15" customHeight="1">
      <c r="A138" s="37"/>
      <c r="B138" s="38"/>
      <c r="C138" s="39"/>
      <c r="D138" s="38"/>
    </row>
    <row r="139" spans="1:4" ht="15" customHeight="1">
      <c r="A139" s="40"/>
      <c r="B139" s="41"/>
      <c r="C139" s="42"/>
      <c r="D139" s="41"/>
    </row>
    <row r="140" spans="1:4" ht="15" customHeight="1">
      <c r="A140" s="37"/>
      <c r="B140" s="38"/>
      <c r="C140" s="39"/>
      <c r="D140" s="38"/>
    </row>
    <row r="141" spans="1:4" ht="15" customHeight="1">
      <c r="A141" s="40"/>
      <c r="B141" s="41"/>
      <c r="C141" s="42"/>
      <c r="D141" s="41"/>
    </row>
    <row r="142" spans="1:4" ht="15" customHeight="1">
      <c r="A142" s="37"/>
      <c r="B142" s="38"/>
      <c r="C142" s="39"/>
      <c r="D142" s="38"/>
    </row>
    <row r="143" spans="1:4" ht="15" customHeight="1">
      <c r="A143" s="40"/>
      <c r="B143" s="41"/>
      <c r="C143" s="42"/>
      <c r="D143" s="41"/>
    </row>
    <row r="144" spans="1:4" ht="15" customHeight="1">
      <c r="A144" s="37"/>
      <c r="B144" s="38"/>
      <c r="C144" s="39"/>
      <c r="D144" s="38"/>
    </row>
    <row r="145" spans="1:4" ht="15" customHeight="1">
      <c r="A145" s="40"/>
      <c r="B145" s="41"/>
      <c r="C145" s="42"/>
      <c r="D145" s="41"/>
    </row>
    <row r="146" spans="1:4" ht="15" customHeight="1">
      <c r="A146" s="37"/>
      <c r="B146" s="38"/>
      <c r="C146" s="39"/>
      <c r="D146" s="38"/>
    </row>
    <row r="147" spans="1:4" ht="15" customHeight="1">
      <c r="A147" s="40"/>
      <c r="B147" s="41"/>
      <c r="C147" s="42"/>
      <c r="D147" s="41"/>
    </row>
    <row r="148" spans="1:4" ht="15" customHeight="1">
      <c r="A148" s="37"/>
      <c r="B148" s="38"/>
      <c r="C148" s="39"/>
      <c r="D148" s="38"/>
    </row>
    <row r="149" spans="1:4" ht="15" customHeight="1">
      <c r="A149" s="40"/>
      <c r="B149" s="41"/>
      <c r="C149" s="42"/>
      <c r="D149" s="41"/>
    </row>
    <row r="150" spans="1:4" ht="15" customHeight="1">
      <c r="A150" s="37"/>
      <c r="B150" s="38"/>
      <c r="C150" s="39"/>
      <c r="D150" s="38"/>
    </row>
    <row r="151" spans="1:4" ht="15" customHeight="1">
      <c r="A151" s="40"/>
      <c r="B151" s="41"/>
      <c r="C151" s="42"/>
      <c r="D151" s="41"/>
    </row>
    <row r="152" spans="1:4" ht="15" customHeight="1">
      <c r="A152" s="37"/>
      <c r="B152" s="38"/>
      <c r="C152" s="39"/>
      <c r="D152" s="38"/>
    </row>
    <row r="153" spans="1:4" ht="15" customHeight="1">
      <c r="A153" s="40"/>
      <c r="B153" s="41"/>
      <c r="C153" s="42"/>
      <c r="D153" s="41"/>
    </row>
    <row r="154" spans="1:4" ht="15" customHeight="1">
      <c r="A154" s="37"/>
      <c r="B154" s="38"/>
      <c r="C154" s="39"/>
      <c r="D154" s="38"/>
    </row>
    <row r="155" spans="1:4" ht="15" customHeight="1">
      <c r="A155" s="40"/>
      <c r="B155" s="41"/>
      <c r="C155" s="42"/>
      <c r="D155" s="41"/>
    </row>
    <row r="156" spans="1:4" ht="15" customHeight="1">
      <c r="A156" s="37"/>
      <c r="B156" s="38"/>
      <c r="C156" s="39"/>
      <c r="D156" s="38"/>
    </row>
    <row r="157" spans="1:4" ht="15" customHeight="1">
      <c r="A157" s="40"/>
      <c r="B157" s="41"/>
      <c r="C157" s="42"/>
      <c r="D157" s="41"/>
    </row>
    <row r="158" spans="1:4" ht="15" customHeight="1">
      <c r="A158" s="37"/>
      <c r="B158" s="38"/>
      <c r="C158" s="39"/>
      <c r="D158" s="38"/>
    </row>
    <row r="159" spans="1:4" ht="15" customHeight="1">
      <c r="A159" s="40"/>
      <c r="B159" s="41"/>
      <c r="C159" s="42"/>
      <c r="D159" s="41"/>
    </row>
    <row r="160" spans="1:4" ht="15" customHeight="1">
      <c r="A160" s="37"/>
      <c r="B160" s="38"/>
      <c r="C160" s="39"/>
      <c r="D160" s="38"/>
    </row>
    <row r="161" spans="1:4" ht="15" customHeight="1">
      <c r="A161" s="40"/>
      <c r="B161" s="41"/>
      <c r="C161" s="42"/>
      <c r="D161" s="41"/>
    </row>
    <row r="162" spans="1:4" ht="15" customHeight="1">
      <c r="A162" s="37"/>
      <c r="B162" s="38"/>
      <c r="C162" s="39"/>
      <c r="D162" s="38"/>
    </row>
    <row r="163" spans="1:4" ht="15" customHeight="1">
      <c r="A163" s="40"/>
      <c r="B163" s="41"/>
      <c r="C163" s="42"/>
      <c r="D163" s="41"/>
    </row>
    <row r="164" spans="1:4" ht="15" customHeight="1">
      <c r="A164" s="37"/>
      <c r="B164" s="38"/>
      <c r="C164" s="39"/>
      <c r="D164" s="38"/>
    </row>
    <row r="165" spans="1:4" ht="15" customHeight="1">
      <c r="A165" s="40"/>
      <c r="B165" s="41"/>
      <c r="C165" s="42"/>
      <c r="D165" s="41"/>
    </row>
    <row r="166" spans="1:4" ht="15" customHeight="1">
      <c r="A166" s="37"/>
      <c r="B166" s="38"/>
      <c r="C166" s="39"/>
      <c r="D166" s="38"/>
    </row>
    <row r="167" spans="1:4" ht="15" customHeight="1">
      <c r="A167" s="40"/>
      <c r="B167" s="41"/>
      <c r="C167" s="42"/>
      <c r="D167" s="41"/>
    </row>
    <row r="168" spans="1:4" ht="15" customHeight="1">
      <c r="A168" s="37"/>
      <c r="B168" s="38"/>
      <c r="C168" s="39"/>
      <c r="D168" s="38"/>
    </row>
    <row r="169" spans="1:4" ht="15" customHeight="1">
      <c r="A169" s="40"/>
      <c r="B169" s="41"/>
      <c r="C169" s="42"/>
      <c r="D169" s="41"/>
    </row>
    <row r="170" spans="1:4" ht="15" customHeight="1">
      <c r="A170" s="37"/>
      <c r="B170" s="38"/>
      <c r="C170" s="39"/>
      <c r="D170" s="38"/>
    </row>
    <row r="171" spans="1:4" ht="15" customHeight="1">
      <c r="A171" s="40"/>
      <c r="B171" s="41"/>
      <c r="C171" s="42"/>
      <c r="D171" s="41"/>
    </row>
    <row r="172" spans="1:4" ht="15" customHeight="1">
      <c r="A172" s="37"/>
      <c r="B172" s="38"/>
      <c r="C172" s="39"/>
      <c r="D172" s="38"/>
    </row>
    <row r="173" spans="1:4" ht="15" customHeight="1">
      <c r="A173" s="40"/>
      <c r="B173" s="41"/>
      <c r="C173" s="42"/>
      <c r="D173" s="41"/>
    </row>
    <row r="174" spans="1:4" ht="15" customHeight="1">
      <c r="A174" s="37"/>
      <c r="B174" s="38"/>
      <c r="C174" s="39"/>
      <c r="D174" s="38"/>
    </row>
    <row r="175" spans="1:4" ht="15" customHeight="1">
      <c r="A175" s="40"/>
      <c r="B175" s="41"/>
      <c r="C175" s="42"/>
      <c r="D175" s="41"/>
    </row>
    <row r="176" spans="1:4" ht="15" customHeight="1">
      <c r="A176" s="37"/>
      <c r="B176" s="38"/>
      <c r="C176" s="39"/>
      <c r="D176" s="38"/>
    </row>
    <row r="177" spans="1:4" ht="15" customHeight="1">
      <c r="A177" s="40"/>
      <c r="B177" s="41"/>
      <c r="C177" s="42"/>
      <c r="D177" s="41"/>
    </row>
    <row r="178" spans="1:4" ht="15" customHeight="1">
      <c r="A178" s="37"/>
      <c r="B178" s="38"/>
      <c r="C178" s="39"/>
      <c r="D178" s="38"/>
    </row>
    <row r="179" spans="1:4" ht="15" customHeight="1">
      <c r="A179" s="40"/>
      <c r="B179" s="41"/>
      <c r="C179" s="42"/>
      <c r="D179" s="41"/>
    </row>
    <row r="180" spans="1:4" ht="15" customHeight="1">
      <c r="A180" s="37"/>
      <c r="B180" s="38"/>
      <c r="C180" s="39"/>
      <c r="D180" s="38"/>
    </row>
    <row r="181" spans="1:4" ht="15" customHeight="1">
      <c r="A181" s="40"/>
      <c r="B181" s="41"/>
      <c r="C181" s="42"/>
      <c r="D181" s="41"/>
    </row>
    <row r="182" spans="1:4" ht="15" customHeight="1">
      <c r="A182" s="37"/>
      <c r="B182" s="38"/>
      <c r="C182" s="39"/>
      <c r="D182" s="38"/>
    </row>
    <row r="183" spans="1:4" ht="15" customHeight="1">
      <c r="A183" s="40"/>
      <c r="B183" s="41"/>
      <c r="C183" s="42"/>
      <c r="D183" s="41"/>
    </row>
    <row r="184" spans="1:4" ht="15" customHeight="1">
      <c r="A184" s="37"/>
      <c r="B184" s="38"/>
      <c r="C184" s="39"/>
      <c r="D184" s="38"/>
    </row>
    <row r="185" spans="1:4" ht="15" customHeight="1">
      <c r="A185" s="40"/>
      <c r="B185" s="41"/>
      <c r="C185" s="42"/>
      <c r="D185" s="41"/>
    </row>
    <row r="186" spans="1:4" ht="15" customHeight="1">
      <c r="A186" s="37"/>
      <c r="B186" s="38"/>
      <c r="C186" s="39"/>
      <c r="D186" s="38"/>
    </row>
    <row r="187" spans="1:4" ht="15" customHeight="1">
      <c r="A187" s="40"/>
      <c r="B187" s="41"/>
      <c r="C187" s="42"/>
      <c r="D187" s="41"/>
    </row>
    <row r="188" spans="1:4" ht="15" customHeight="1">
      <c r="A188" s="37"/>
      <c r="B188" s="38"/>
      <c r="C188" s="39"/>
      <c r="D188" s="38"/>
    </row>
    <row r="189" spans="1:4" ht="15" customHeight="1">
      <c r="A189" s="40"/>
      <c r="B189" s="41"/>
      <c r="C189" s="42"/>
      <c r="D189" s="41"/>
    </row>
    <row r="190" spans="1:4" ht="15" customHeight="1">
      <c r="A190" s="37"/>
      <c r="B190" s="38"/>
      <c r="C190" s="39"/>
      <c r="D190" s="38"/>
    </row>
    <row r="191" spans="1:4" ht="15" customHeight="1">
      <c r="A191" s="40"/>
      <c r="B191" s="41"/>
      <c r="C191" s="42"/>
      <c r="D191" s="41"/>
    </row>
    <row r="192" spans="1:4" ht="15" customHeight="1">
      <c r="A192" s="37"/>
      <c r="B192" s="38"/>
      <c r="C192" s="39"/>
      <c r="D192" s="38"/>
    </row>
    <row r="193" spans="1:4" ht="15" customHeight="1">
      <c r="A193" s="40"/>
      <c r="B193" s="41"/>
      <c r="C193" s="42"/>
      <c r="D193" s="41"/>
    </row>
    <row r="194" spans="1:4" ht="15" customHeight="1">
      <c r="A194" s="37"/>
      <c r="B194" s="38"/>
      <c r="C194" s="39"/>
      <c r="D194" s="38"/>
    </row>
    <row r="195" spans="1:4" ht="15" customHeight="1">
      <c r="A195" s="40"/>
      <c r="B195" s="41"/>
      <c r="C195" s="42"/>
      <c r="D195" s="41"/>
    </row>
    <row r="196" spans="1:4" ht="15" customHeight="1">
      <c r="A196" s="37"/>
      <c r="B196" s="38"/>
      <c r="C196" s="39"/>
      <c r="D196" s="38"/>
    </row>
    <row r="197" spans="1:4" ht="15" customHeight="1">
      <c r="A197" s="40"/>
      <c r="B197" s="41"/>
      <c r="C197" s="42"/>
      <c r="D197" s="41"/>
    </row>
    <row r="198" spans="1:4" ht="15" customHeight="1">
      <c r="A198" s="37"/>
      <c r="B198" s="38"/>
      <c r="C198" s="39"/>
      <c r="D198" s="38"/>
    </row>
    <row r="199" spans="1:4" ht="15" customHeight="1">
      <c r="A199" s="40"/>
      <c r="B199" s="41"/>
      <c r="C199" s="42"/>
      <c r="D199" s="41"/>
    </row>
    <row r="200" spans="1:4" ht="15" customHeight="1">
      <c r="A200" s="37"/>
      <c r="B200" s="38"/>
      <c r="C200" s="39"/>
      <c r="D200" s="38"/>
    </row>
    <row r="201" spans="1:4" ht="15" customHeight="1">
      <c r="A201" s="40"/>
      <c r="B201" s="41"/>
      <c r="C201" s="42"/>
      <c r="D201" s="41"/>
    </row>
    <row r="202" spans="1:4" ht="15" customHeight="1">
      <c r="A202" s="37"/>
      <c r="B202" s="38"/>
      <c r="C202" s="39"/>
      <c r="D202" s="38"/>
    </row>
    <row r="203" spans="1:4" ht="15" customHeight="1">
      <c r="A203" s="40"/>
      <c r="B203" s="41"/>
      <c r="C203" s="42"/>
      <c r="D203" s="41"/>
    </row>
    <row r="204" spans="1:4" ht="15" customHeight="1">
      <c r="A204" s="37"/>
      <c r="B204" s="38"/>
      <c r="C204" s="39"/>
      <c r="D204" s="38"/>
    </row>
    <row r="205" spans="1:4" ht="15" customHeight="1">
      <c r="A205" s="40"/>
      <c r="B205" s="41"/>
      <c r="C205" s="42"/>
      <c r="D205" s="41"/>
    </row>
    <row r="206" spans="1:4" ht="15" customHeight="1">
      <c r="A206" s="37"/>
      <c r="B206" s="38"/>
      <c r="C206" s="39"/>
      <c r="D206" s="38"/>
    </row>
    <row r="207" spans="1:4" ht="15" customHeight="1">
      <c r="A207" s="40"/>
      <c r="B207" s="41"/>
      <c r="C207" s="42"/>
      <c r="D207" s="41"/>
    </row>
    <row r="208" spans="1:4" ht="15" customHeight="1">
      <c r="A208" s="37"/>
      <c r="B208" s="38"/>
      <c r="C208" s="39"/>
      <c r="D208" s="38"/>
    </row>
    <row r="209" spans="1:4" ht="15" customHeight="1">
      <c r="A209" s="40"/>
      <c r="B209" s="41"/>
      <c r="C209" s="42"/>
      <c r="D209" s="41"/>
    </row>
    <row r="210" spans="1:4" ht="15" customHeight="1">
      <c r="A210" s="37"/>
      <c r="B210" s="38"/>
      <c r="C210" s="39"/>
      <c r="D210" s="38"/>
    </row>
    <row r="211" spans="1:4" ht="15" customHeight="1">
      <c r="A211" s="40"/>
      <c r="B211" s="41"/>
      <c r="C211" s="42"/>
      <c r="D211" s="41"/>
    </row>
    <row r="212" spans="1:4" ht="15" customHeight="1">
      <c r="A212" s="37"/>
      <c r="B212" s="38"/>
      <c r="C212" s="39"/>
      <c r="D212" s="38"/>
    </row>
    <row r="213" spans="1:4" ht="15" customHeight="1">
      <c r="A213" s="40"/>
      <c r="B213" s="41"/>
      <c r="C213" s="42"/>
      <c r="D213" s="41"/>
    </row>
    <row r="214" spans="1:4" ht="15" customHeight="1">
      <c r="A214" s="37"/>
      <c r="B214" s="38"/>
      <c r="C214" s="39"/>
      <c r="D214" s="38"/>
    </row>
    <row r="215" spans="1:4" ht="15" customHeight="1">
      <c r="A215" s="40"/>
      <c r="B215" s="41"/>
      <c r="C215" s="42"/>
      <c r="D215" s="41"/>
    </row>
    <row r="216" spans="1:4" ht="15" customHeight="1">
      <c r="A216" s="37"/>
      <c r="B216" s="38"/>
      <c r="C216" s="39"/>
      <c r="D216" s="38"/>
    </row>
    <row r="217" spans="1:4" ht="15" customHeight="1">
      <c r="A217" s="40"/>
      <c r="B217" s="41"/>
      <c r="C217" s="42"/>
      <c r="D217" s="41"/>
    </row>
    <row r="218" spans="1:4" ht="15" customHeight="1">
      <c r="A218" s="37"/>
      <c r="B218" s="38"/>
      <c r="C218" s="39"/>
      <c r="D218" s="38"/>
    </row>
    <row r="219" spans="1:4" ht="15" customHeight="1">
      <c r="A219" s="40"/>
      <c r="B219" s="41"/>
      <c r="C219" s="42"/>
      <c r="D219" s="41"/>
    </row>
    <row r="220" spans="1:4" ht="15" customHeight="1">
      <c r="A220" s="37"/>
      <c r="B220" s="38"/>
      <c r="C220" s="39"/>
      <c r="D220" s="38"/>
    </row>
    <row r="221" spans="1:4" ht="15" customHeight="1">
      <c r="A221" s="40"/>
      <c r="B221" s="41"/>
      <c r="C221" s="42"/>
      <c r="D221" s="41"/>
    </row>
    <row r="222" spans="1:4" ht="15" customHeight="1">
      <c r="A222" s="37"/>
      <c r="B222" s="38"/>
      <c r="C222" s="39"/>
      <c r="D222" s="38"/>
    </row>
    <row r="223" spans="1:4" ht="15" customHeight="1">
      <c r="A223" s="40"/>
      <c r="B223" s="41"/>
      <c r="C223" s="42"/>
      <c r="D223" s="41"/>
    </row>
    <row r="224" spans="1:4" ht="15" customHeight="1">
      <c r="A224" s="37"/>
      <c r="B224" s="38"/>
      <c r="C224" s="39"/>
      <c r="D224" s="38"/>
    </row>
    <row r="225" spans="1:4" ht="15" customHeight="1">
      <c r="A225" s="40"/>
      <c r="B225" s="41"/>
      <c r="C225" s="42"/>
      <c r="D225" s="41"/>
    </row>
    <row r="226" spans="1:4" ht="15" customHeight="1">
      <c r="A226" s="37"/>
      <c r="B226" s="38"/>
      <c r="C226" s="39"/>
      <c r="D226" s="38"/>
    </row>
    <row r="227" spans="1:4" ht="15" customHeight="1">
      <c r="A227" s="40"/>
      <c r="B227" s="41"/>
      <c r="C227" s="42"/>
      <c r="D227" s="41"/>
    </row>
    <row r="228" spans="1:4" ht="15" customHeight="1">
      <c r="A228" s="37"/>
      <c r="B228" s="38"/>
      <c r="C228" s="39"/>
      <c r="D228" s="38"/>
    </row>
    <row r="229" spans="1:4" ht="15" customHeight="1">
      <c r="A229" s="40"/>
      <c r="B229" s="41"/>
      <c r="C229" s="42"/>
      <c r="D229" s="41"/>
    </row>
    <row r="230" spans="1:4" ht="15" customHeight="1">
      <c r="A230" s="37"/>
      <c r="B230" s="38"/>
      <c r="C230" s="39"/>
      <c r="D230" s="38"/>
    </row>
    <row r="231" spans="1:4" ht="15" customHeight="1">
      <c r="A231" s="40"/>
      <c r="B231" s="41"/>
      <c r="C231" s="42"/>
      <c r="D231" s="41"/>
    </row>
    <row r="232" spans="1:4" ht="15" customHeight="1">
      <c r="A232" s="37"/>
      <c r="B232" s="38"/>
      <c r="C232" s="39"/>
      <c r="D232" s="38"/>
    </row>
    <row r="233" spans="1:4" ht="15" customHeight="1">
      <c r="A233" s="40"/>
      <c r="B233" s="41"/>
      <c r="C233" s="42"/>
      <c r="D233" s="41"/>
    </row>
    <row r="234" spans="1:4" ht="15" customHeight="1">
      <c r="A234" s="37"/>
      <c r="B234" s="38"/>
      <c r="C234" s="39"/>
      <c r="D234" s="38"/>
    </row>
    <row r="235" spans="1:4" ht="15" customHeight="1">
      <c r="A235" s="40"/>
      <c r="B235" s="41"/>
      <c r="C235" s="42"/>
      <c r="D235" s="41"/>
    </row>
    <row r="236" spans="1:4" ht="15" customHeight="1">
      <c r="A236" s="37"/>
      <c r="B236" s="38"/>
      <c r="C236" s="39"/>
      <c r="D236" s="38"/>
    </row>
    <row r="237" spans="1:4" ht="15" customHeight="1">
      <c r="A237" s="40"/>
      <c r="B237" s="41"/>
      <c r="C237" s="42"/>
      <c r="D237" s="41"/>
    </row>
    <row r="238" spans="1:4" ht="15" customHeight="1">
      <c r="A238" s="37"/>
      <c r="B238" s="38"/>
      <c r="C238" s="39"/>
      <c r="D238" s="38"/>
    </row>
    <row r="239" spans="1:4" ht="15" customHeight="1">
      <c r="A239" s="40"/>
      <c r="B239" s="41"/>
      <c r="C239" s="42"/>
      <c r="D239" s="41"/>
    </row>
    <row r="240" spans="1:4" ht="15" customHeight="1">
      <c r="A240" s="37"/>
      <c r="B240" s="38"/>
      <c r="C240" s="39"/>
      <c r="D240" s="38"/>
    </row>
    <row r="241" spans="1:4" ht="15" customHeight="1">
      <c r="A241" s="40"/>
      <c r="B241" s="41"/>
      <c r="C241" s="42"/>
      <c r="D241" s="41"/>
    </row>
    <row r="242" spans="1:4" ht="15" customHeight="1">
      <c r="A242" s="37"/>
      <c r="B242" s="38"/>
      <c r="C242" s="39"/>
      <c r="D242" s="38"/>
    </row>
    <row r="243" spans="1:4" ht="15" customHeight="1">
      <c r="A243" s="40"/>
      <c r="B243" s="41"/>
      <c r="C243" s="42"/>
      <c r="D243" s="41"/>
    </row>
    <row r="244" spans="1:4" ht="15" customHeight="1">
      <c r="A244" s="37"/>
      <c r="B244" s="38"/>
      <c r="C244" s="39"/>
      <c r="D244" s="38"/>
    </row>
    <row r="245" spans="1:4" ht="15" customHeight="1">
      <c r="A245" s="40"/>
      <c r="B245" s="41"/>
      <c r="C245" s="42"/>
      <c r="D245" s="41"/>
    </row>
    <row r="246" spans="1:4" ht="15" customHeight="1">
      <c r="A246" s="37"/>
      <c r="B246" s="38"/>
      <c r="C246" s="39"/>
      <c r="D246" s="38"/>
    </row>
    <row r="247" spans="1:4" ht="15" customHeight="1">
      <c r="A247" s="40"/>
      <c r="B247" s="41"/>
      <c r="C247" s="42"/>
      <c r="D247" s="41"/>
    </row>
    <row r="248" spans="1:4" ht="15" customHeight="1">
      <c r="A248" s="37"/>
      <c r="B248" s="38"/>
      <c r="C248" s="39"/>
      <c r="D248" s="38"/>
    </row>
    <row r="249" spans="1:4" ht="15" customHeight="1">
      <c r="A249" s="40"/>
      <c r="B249" s="41"/>
      <c r="C249" s="42"/>
      <c r="D249" s="41"/>
    </row>
    <row r="250" spans="1:4" ht="15" customHeight="1">
      <c r="A250" s="37"/>
      <c r="B250" s="38"/>
      <c r="C250" s="39"/>
      <c r="D250" s="38"/>
    </row>
    <row r="251" spans="1:4" ht="15" customHeight="1">
      <c r="A251" s="40"/>
      <c r="B251" s="41"/>
      <c r="C251" s="42"/>
      <c r="D251" s="41"/>
    </row>
    <row r="252" spans="1:4" ht="15" customHeight="1">
      <c r="A252" s="37"/>
      <c r="B252" s="38"/>
      <c r="C252" s="39"/>
      <c r="D252" s="38"/>
    </row>
    <row r="253" spans="1:4" ht="15" customHeight="1">
      <c r="A253" s="40"/>
      <c r="B253" s="41"/>
      <c r="C253" s="42"/>
      <c r="D253" s="41"/>
    </row>
    <row r="254" spans="1:4" ht="15" customHeight="1">
      <c r="A254" s="37"/>
      <c r="B254" s="38"/>
      <c r="C254" s="39"/>
      <c r="D254" s="38"/>
    </row>
    <row r="255" spans="1:4" ht="15" customHeight="1">
      <c r="A255" s="40"/>
      <c r="B255" s="41"/>
      <c r="C255" s="42"/>
      <c r="D255" s="41"/>
    </row>
    <row r="256" spans="1:4" ht="15" customHeight="1">
      <c r="A256" s="37"/>
      <c r="B256" s="38"/>
      <c r="C256" s="39"/>
      <c r="D256" s="38"/>
    </row>
    <row r="257" spans="1:4" ht="15" customHeight="1">
      <c r="A257" s="40"/>
      <c r="B257" s="41"/>
      <c r="C257" s="42"/>
      <c r="D257" s="41"/>
    </row>
    <row r="258" spans="1:4" ht="15" customHeight="1">
      <c r="A258" s="37"/>
      <c r="B258" s="38"/>
      <c r="C258" s="39"/>
      <c r="D258" s="38"/>
    </row>
    <row r="259" spans="1:4" ht="15" customHeight="1">
      <c r="A259" s="40"/>
      <c r="B259" s="41"/>
      <c r="C259" s="42"/>
      <c r="D259" s="41"/>
    </row>
    <row r="260" spans="1:4" ht="15" customHeight="1">
      <c r="A260" s="37"/>
      <c r="B260" s="38"/>
      <c r="C260" s="39"/>
      <c r="D260" s="38"/>
    </row>
    <row r="261" spans="1:4" ht="15" customHeight="1">
      <c r="A261" s="40"/>
      <c r="B261" s="41"/>
      <c r="C261" s="42"/>
      <c r="D261" s="41"/>
    </row>
    <row r="262" spans="1:4" ht="15" customHeight="1">
      <c r="A262" s="37"/>
      <c r="B262" s="38"/>
      <c r="C262" s="39"/>
      <c r="D262" s="38"/>
    </row>
    <row r="263" spans="1:4" ht="15" customHeight="1">
      <c r="A263" s="40"/>
      <c r="B263" s="41"/>
      <c r="C263" s="42"/>
      <c r="D263" s="41"/>
    </row>
    <row r="264" spans="1:4" ht="15" customHeight="1">
      <c r="A264" s="37"/>
      <c r="B264" s="38"/>
      <c r="C264" s="39"/>
      <c r="D264" s="38"/>
    </row>
    <row r="265" spans="1:4" ht="15" customHeight="1">
      <c r="A265" s="40"/>
      <c r="B265" s="41"/>
      <c r="C265" s="42"/>
      <c r="D265" s="41"/>
    </row>
    <row r="266" spans="1:4" ht="15" customHeight="1">
      <c r="A266" s="37"/>
      <c r="B266" s="38"/>
      <c r="C266" s="39"/>
      <c r="D266" s="38"/>
    </row>
    <row r="267" spans="1:4" ht="15" customHeight="1">
      <c r="A267" s="40"/>
      <c r="B267" s="41"/>
      <c r="C267" s="42"/>
      <c r="D267" s="41"/>
    </row>
    <row r="268" spans="1:4" ht="15" customHeight="1">
      <c r="A268" s="37"/>
      <c r="B268" s="38"/>
      <c r="C268" s="39"/>
      <c r="D268" s="38"/>
    </row>
    <row r="269" spans="1:4" ht="15" customHeight="1">
      <c r="A269" s="40"/>
      <c r="B269" s="41"/>
      <c r="C269" s="42"/>
      <c r="D269" s="41"/>
    </row>
    <row r="270" spans="1:4" ht="15" customHeight="1">
      <c r="A270" s="37"/>
      <c r="B270" s="38"/>
      <c r="C270" s="39"/>
      <c r="D270" s="38"/>
    </row>
    <row r="271" spans="1:4" ht="15" customHeight="1">
      <c r="A271" s="40"/>
      <c r="B271" s="41"/>
      <c r="C271" s="42"/>
      <c r="D271" s="41"/>
    </row>
    <row r="272" spans="1:4" ht="15" customHeight="1">
      <c r="A272" s="37"/>
      <c r="B272" s="38"/>
      <c r="C272" s="39"/>
      <c r="D272" s="38"/>
    </row>
    <row r="273" spans="1:4" ht="15" customHeight="1">
      <c r="A273" s="40"/>
      <c r="B273" s="41"/>
      <c r="C273" s="42"/>
      <c r="D273" s="41"/>
    </row>
    <row r="274" spans="1:4" ht="15" customHeight="1">
      <c r="A274" s="37"/>
      <c r="B274" s="38"/>
      <c r="C274" s="39"/>
      <c r="D274" s="38"/>
    </row>
    <row r="275" spans="1:4" ht="15" customHeight="1">
      <c r="A275" s="40"/>
      <c r="B275" s="41"/>
      <c r="C275" s="42"/>
      <c r="D275" s="41"/>
    </row>
    <row r="276" spans="1:4" ht="15" customHeight="1">
      <c r="A276" s="37"/>
      <c r="B276" s="38"/>
      <c r="C276" s="39"/>
      <c r="D276" s="38"/>
    </row>
    <row r="277" spans="1:4" ht="15" customHeight="1">
      <c r="A277" s="40"/>
      <c r="B277" s="41"/>
      <c r="C277" s="42"/>
      <c r="D277" s="41"/>
    </row>
    <row r="278" spans="1:4" ht="15" customHeight="1">
      <c r="A278" s="37"/>
      <c r="B278" s="38"/>
      <c r="C278" s="39"/>
      <c r="D278" s="38"/>
    </row>
    <row r="279" spans="1:4" ht="15" customHeight="1">
      <c r="A279" s="40"/>
      <c r="B279" s="41"/>
      <c r="C279" s="42"/>
      <c r="D279" s="41"/>
    </row>
    <row r="280" spans="1:4" ht="15" customHeight="1">
      <c r="A280" s="37"/>
      <c r="B280" s="38"/>
      <c r="C280" s="39"/>
      <c r="D280" s="38"/>
    </row>
    <row r="281" spans="1:4" ht="15" customHeight="1">
      <c r="A281" s="40"/>
      <c r="B281" s="41"/>
      <c r="C281" s="42"/>
      <c r="D281" s="41"/>
    </row>
    <row r="282" spans="1:4" ht="15" customHeight="1">
      <c r="A282" s="37"/>
      <c r="B282" s="38"/>
      <c r="C282" s="39"/>
      <c r="D282" s="38"/>
    </row>
    <row r="283" spans="1:4" ht="15" customHeight="1">
      <c r="A283" s="40"/>
      <c r="B283" s="41"/>
      <c r="C283" s="42"/>
      <c r="D283" s="41"/>
    </row>
    <row r="284" spans="1:4" ht="15" customHeight="1">
      <c r="A284" s="37"/>
      <c r="B284" s="38"/>
      <c r="C284" s="39"/>
      <c r="D284" s="38"/>
    </row>
    <row r="285" spans="1:4" ht="15" customHeight="1">
      <c r="A285" s="40"/>
      <c r="B285" s="41"/>
      <c r="C285" s="42"/>
      <c r="D285" s="41"/>
    </row>
    <row r="286" spans="1:4" ht="15" customHeight="1">
      <c r="A286" s="37"/>
      <c r="B286" s="38"/>
      <c r="C286" s="39"/>
      <c r="D286" s="38"/>
    </row>
    <row r="287" spans="1:4" ht="15" customHeight="1">
      <c r="A287" s="40"/>
      <c r="B287" s="41"/>
      <c r="C287" s="42"/>
      <c r="D287" s="41"/>
    </row>
    <row r="288" spans="1:4" ht="15" customHeight="1">
      <c r="A288" s="37"/>
      <c r="B288" s="38"/>
      <c r="C288" s="39"/>
      <c r="D288" s="38"/>
    </row>
    <row r="289" spans="1:4" ht="15" customHeight="1">
      <c r="A289" s="40"/>
      <c r="B289" s="41"/>
      <c r="C289" s="42"/>
      <c r="D289" s="41"/>
    </row>
    <row r="290" spans="1:4" ht="15" customHeight="1">
      <c r="A290" s="37"/>
      <c r="B290" s="38"/>
      <c r="C290" s="39"/>
      <c r="D290" s="38"/>
    </row>
    <row r="291" spans="1:4" ht="15" customHeight="1">
      <c r="A291" s="40"/>
      <c r="B291" s="41"/>
      <c r="C291" s="42"/>
      <c r="D291" s="41"/>
    </row>
    <row r="292" spans="1:4" ht="15" customHeight="1">
      <c r="A292" s="37"/>
      <c r="B292" s="38"/>
      <c r="C292" s="39"/>
      <c r="D292" s="38"/>
    </row>
    <row r="293" spans="1:4" ht="15" customHeight="1">
      <c r="A293" s="40"/>
      <c r="B293" s="41"/>
      <c r="C293" s="42"/>
      <c r="D293" s="41"/>
    </row>
    <row r="294" spans="1:4" ht="15" customHeight="1">
      <c r="A294" s="37"/>
      <c r="B294" s="38"/>
      <c r="C294" s="39"/>
      <c r="D294" s="38"/>
    </row>
    <row r="295" spans="1:4" ht="15" customHeight="1">
      <c r="A295" s="40"/>
      <c r="B295" s="41"/>
      <c r="C295" s="42"/>
      <c r="D295" s="41"/>
    </row>
    <row r="296" spans="1:4" ht="15" customHeight="1">
      <c r="A296" s="37"/>
      <c r="B296" s="38"/>
      <c r="C296" s="39"/>
      <c r="D296" s="38"/>
    </row>
    <row r="297" spans="1:4" ht="15" customHeight="1">
      <c r="A297" s="40"/>
      <c r="B297" s="41"/>
      <c r="C297" s="42"/>
      <c r="D297" s="41"/>
    </row>
    <row r="298" spans="1:4" ht="15" customHeight="1">
      <c r="A298" s="37"/>
      <c r="B298" s="38"/>
      <c r="C298" s="39"/>
      <c r="D298" s="38"/>
    </row>
    <row r="299" spans="1:4" ht="15" customHeight="1">
      <c r="A299" s="40"/>
      <c r="B299" s="41"/>
      <c r="C299" s="42"/>
      <c r="D299" s="41"/>
    </row>
    <row r="300" spans="1:4" ht="15" customHeight="1">
      <c r="A300" s="37"/>
      <c r="B300" s="38"/>
      <c r="C300" s="39"/>
      <c r="D300" s="38"/>
    </row>
    <row r="301" spans="1:4" ht="15" customHeight="1">
      <c r="A301" s="40"/>
      <c r="B301" s="41"/>
      <c r="C301" s="42"/>
      <c r="D301" s="41"/>
    </row>
    <row r="302" spans="1:4" ht="15" customHeight="1">
      <c r="A302" s="37"/>
      <c r="B302" s="38"/>
      <c r="C302" s="39"/>
      <c r="D302" s="38"/>
    </row>
    <row r="303" spans="1:4" ht="15" customHeight="1">
      <c r="A303" s="40"/>
      <c r="B303" s="41"/>
      <c r="C303" s="42"/>
      <c r="D303" s="41"/>
    </row>
    <row r="304" spans="1:4" ht="15" customHeight="1">
      <c r="A304" s="37"/>
      <c r="B304" s="38"/>
      <c r="C304" s="39"/>
      <c r="D304" s="38"/>
    </row>
    <row r="305" spans="1:4" ht="15" customHeight="1">
      <c r="A305" s="40"/>
      <c r="B305" s="41"/>
      <c r="C305" s="42"/>
      <c r="D305" s="41"/>
    </row>
    <row r="306" spans="1:4" ht="15" customHeight="1">
      <c r="A306" s="37"/>
      <c r="B306" s="38"/>
      <c r="C306" s="39"/>
      <c r="D306" s="38"/>
    </row>
    <row r="307" spans="1:4" ht="15" customHeight="1">
      <c r="A307" s="40"/>
      <c r="B307" s="41"/>
      <c r="C307" s="42"/>
      <c r="D307" s="41"/>
    </row>
    <row r="308" spans="1:4" ht="15" customHeight="1">
      <c r="A308" s="37"/>
      <c r="B308" s="38"/>
      <c r="C308" s="39"/>
      <c r="D308" s="38"/>
    </row>
    <row r="309" spans="1:4" ht="15" customHeight="1">
      <c r="A309" s="40"/>
      <c r="B309" s="41"/>
      <c r="C309" s="42"/>
      <c r="D309" s="41"/>
    </row>
    <row r="310" spans="1:4" ht="15" customHeight="1">
      <c r="A310" s="37"/>
      <c r="B310" s="38"/>
      <c r="C310" s="39"/>
      <c r="D310" s="38"/>
    </row>
    <row r="311" spans="1:4" ht="15" customHeight="1">
      <c r="A311" s="40"/>
      <c r="B311" s="41"/>
      <c r="C311" s="42"/>
      <c r="D311" s="41"/>
    </row>
    <row r="312" spans="1:4" ht="15" customHeight="1">
      <c r="A312" s="37"/>
      <c r="B312" s="38"/>
      <c r="C312" s="39"/>
      <c r="D312" s="38"/>
    </row>
    <row r="313" spans="1:4" ht="15" customHeight="1">
      <c r="A313" s="40"/>
      <c r="B313" s="41"/>
      <c r="C313" s="42"/>
      <c r="D313" s="41"/>
    </row>
    <row r="314" spans="1:4" ht="15" customHeight="1">
      <c r="A314" s="37"/>
      <c r="B314" s="38"/>
      <c r="C314" s="39"/>
      <c r="D314" s="38"/>
    </row>
    <row r="315" spans="1:4" ht="15" customHeight="1">
      <c r="A315" s="40"/>
      <c r="B315" s="41"/>
      <c r="C315" s="42"/>
      <c r="D315" s="41"/>
    </row>
    <row r="316" spans="1:4" ht="15" customHeight="1">
      <c r="A316" s="37"/>
      <c r="B316" s="38"/>
      <c r="C316" s="39"/>
      <c r="D316" s="38"/>
    </row>
    <row r="317" spans="1:4" ht="15" customHeight="1">
      <c r="A317" s="40"/>
      <c r="B317" s="41"/>
      <c r="C317" s="42"/>
      <c r="D317" s="41"/>
    </row>
    <row r="318" spans="1:4" ht="15" customHeight="1">
      <c r="A318" s="37"/>
      <c r="B318" s="38"/>
      <c r="C318" s="39"/>
      <c r="D318" s="38"/>
    </row>
    <row r="319" spans="1:4" ht="15" customHeight="1">
      <c r="A319" s="40"/>
      <c r="B319" s="41"/>
      <c r="C319" s="42"/>
      <c r="D319" s="41"/>
    </row>
    <row r="320" spans="1:4" ht="15" customHeight="1">
      <c r="A320" s="37"/>
      <c r="B320" s="38"/>
      <c r="C320" s="39"/>
      <c r="D320" s="38"/>
    </row>
    <row r="321" spans="1:4" ht="15" customHeight="1">
      <c r="A321" s="40"/>
      <c r="B321" s="41"/>
      <c r="C321" s="42"/>
      <c r="D321" s="41"/>
    </row>
    <row r="322" spans="1:4" ht="15" customHeight="1">
      <c r="A322" s="37"/>
      <c r="B322" s="38"/>
      <c r="C322" s="39"/>
      <c r="D322" s="38"/>
    </row>
    <row r="323" spans="1:4" ht="15" customHeight="1">
      <c r="A323" s="40"/>
      <c r="B323" s="41"/>
      <c r="C323" s="42"/>
      <c r="D323" s="41"/>
    </row>
    <row r="324" spans="1:4" ht="15" customHeight="1">
      <c r="A324" s="37"/>
      <c r="B324" s="38"/>
      <c r="C324" s="39"/>
      <c r="D324" s="38"/>
    </row>
    <row r="325" spans="1:4" ht="15" customHeight="1">
      <c r="A325" s="40"/>
      <c r="B325" s="41"/>
      <c r="C325" s="42"/>
      <c r="D325" s="41"/>
    </row>
    <row r="326" spans="1:4" ht="15" customHeight="1">
      <c r="A326" s="37"/>
      <c r="B326" s="38"/>
      <c r="C326" s="39"/>
      <c r="D326" s="38"/>
    </row>
    <row r="327" spans="1:4" ht="15" customHeight="1">
      <c r="A327" s="40"/>
      <c r="B327" s="41"/>
      <c r="C327" s="42"/>
      <c r="D327" s="41"/>
    </row>
    <row r="328" spans="1:4" ht="15" customHeight="1">
      <c r="A328" s="37"/>
      <c r="B328" s="38"/>
      <c r="C328" s="39"/>
      <c r="D328" s="38"/>
    </row>
    <row r="329" spans="1:4" ht="15" customHeight="1">
      <c r="A329" s="40"/>
      <c r="B329" s="41"/>
      <c r="C329" s="42"/>
      <c r="D329" s="41"/>
    </row>
    <row r="330" spans="1:4" ht="15" customHeight="1">
      <c r="A330" s="37"/>
      <c r="B330" s="38"/>
      <c r="C330" s="39"/>
      <c r="D330" s="38"/>
    </row>
    <row r="331" spans="1:4" ht="15" customHeight="1">
      <c r="A331" s="40"/>
      <c r="B331" s="41"/>
      <c r="C331" s="42"/>
      <c r="D331" s="41"/>
    </row>
    <row r="332" spans="1:4" ht="15" customHeight="1">
      <c r="A332" s="37"/>
      <c r="B332" s="38"/>
      <c r="C332" s="39"/>
      <c r="D332" s="38"/>
    </row>
    <row r="333" spans="1:4" ht="15" customHeight="1">
      <c r="A333" s="40"/>
      <c r="B333" s="41"/>
      <c r="C333" s="42"/>
      <c r="D333" s="41"/>
    </row>
    <row r="334" spans="1:4" ht="15" customHeight="1">
      <c r="A334" s="37"/>
      <c r="B334" s="38"/>
      <c r="C334" s="39"/>
      <c r="D334" s="38"/>
    </row>
    <row r="335" spans="1:4" ht="15" customHeight="1">
      <c r="A335" s="40"/>
      <c r="B335" s="41"/>
      <c r="C335" s="42"/>
      <c r="D335" s="41"/>
    </row>
    <row r="336" spans="1:4" ht="15" customHeight="1">
      <c r="A336" s="37"/>
      <c r="B336" s="38"/>
      <c r="C336" s="39"/>
      <c r="D336" s="38"/>
    </row>
    <row r="337" spans="1:4" ht="15" customHeight="1">
      <c r="A337" s="40"/>
      <c r="B337" s="41"/>
      <c r="C337" s="42"/>
      <c r="D337" s="41"/>
    </row>
    <row r="338" spans="1:4" ht="15" customHeight="1">
      <c r="A338" s="37"/>
      <c r="B338" s="38"/>
      <c r="C338" s="39"/>
      <c r="D338" s="38"/>
    </row>
    <row r="339" spans="1:4" ht="15" customHeight="1">
      <c r="A339" s="40"/>
      <c r="B339" s="41"/>
      <c r="C339" s="42"/>
      <c r="D339" s="41"/>
    </row>
    <row r="340" spans="1:4" ht="15" customHeight="1">
      <c r="A340" s="37"/>
      <c r="B340" s="38"/>
      <c r="C340" s="39"/>
      <c r="D340" s="38"/>
    </row>
    <row r="341" spans="1:4" ht="15" customHeight="1">
      <c r="A341" s="40"/>
      <c r="B341" s="41"/>
      <c r="C341" s="42"/>
      <c r="D341" s="41"/>
    </row>
    <row r="342" spans="1:4" ht="15" customHeight="1">
      <c r="A342" s="37"/>
      <c r="B342" s="38"/>
      <c r="C342" s="39"/>
      <c r="D342" s="38"/>
    </row>
    <row r="343" spans="1:4" ht="15" customHeight="1">
      <c r="A343" s="40"/>
      <c r="B343" s="41"/>
      <c r="C343" s="42"/>
      <c r="D343" s="41"/>
    </row>
    <row r="344" spans="1:4" ht="15" customHeight="1">
      <c r="A344" s="37"/>
      <c r="B344" s="38"/>
      <c r="C344" s="39"/>
      <c r="D344" s="38"/>
    </row>
    <row r="345" spans="1:4" ht="15" customHeight="1">
      <c r="A345" s="40"/>
      <c r="B345" s="41"/>
      <c r="C345" s="42"/>
      <c r="D345" s="41"/>
    </row>
    <row r="346" spans="1:4" ht="15" customHeight="1">
      <c r="A346" s="37"/>
      <c r="B346" s="38"/>
      <c r="C346" s="39"/>
      <c r="D346" s="38"/>
    </row>
    <row r="347" spans="1:4" ht="15" customHeight="1">
      <c r="A347" s="40"/>
      <c r="B347" s="41"/>
      <c r="C347" s="42"/>
      <c r="D347" s="41"/>
    </row>
    <row r="348" spans="1:4" ht="15" customHeight="1">
      <c r="A348" s="37"/>
      <c r="B348" s="38"/>
      <c r="C348" s="39"/>
      <c r="D348" s="38"/>
    </row>
    <row r="349" spans="1:4" ht="15" customHeight="1">
      <c r="A349" s="40"/>
      <c r="B349" s="41"/>
      <c r="C349" s="42"/>
      <c r="D349" s="41"/>
    </row>
    <row r="350" spans="1:4" ht="15" customHeight="1">
      <c r="A350" s="37"/>
      <c r="B350" s="38"/>
      <c r="C350" s="39"/>
      <c r="D350" s="38"/>
    </row>
    <row r="351" spans="1:4" ht="15" customHeight="1">
      <c r="A351" s="40"/>
      <c r="B351" s="41"/>
      <c r="C351" s="42"/>
      <c r="D351" s="41"/>
    </row>
    <row r="352" spans="1:4" ht="15" customHeight="1">
      <c r="A352" s="37"/>
      <c r="B352" s="38"/>
      <c r="C352" s="39"/>
      <c r="D352" s="38"/>
    </row>
    <row r="353" spans="1:4" ht="15" customHeight="1">
      <c r="A353" s="40"/>
      <c r="B353" s="41"/>
      <c r="C353" s="42"/>
      <c r="D353" s="41"/>
    </row>
    <row r="354" spans="1:4" ht="15" customHeight="1">
      <c r="A354" s="37"/>
      <c r="B354" s="38"/>
      <c r="C354" s="39"/>
      <c r="D354" s="38"/>
    </row>
    <row r="355" spans="1:4" ht="15" customHeight="1">
      <c r="A355" s="40"/>
      <c r="B355" s="41"/>
      <c r="C355" s="42"/>
      <c r="D355" s="41"/>
    </row>
    <row r="356" spans="1:4" ht="15" customHeight="1">
      <c r="A356" s="37"/>
      <c r="B356" s="38"/>
      <c r="C356" s="39"/>
      <c r="D356" s="38"/>
    </row>
    <row r="357" spans="1:4" ht="15" customHeight="1">
      <c r="A357" s="40"/>
      <c r="B357" s="41"/>
      <c r="C357" s="42"/>
      <c r="D357" s="41"/>
    </row>
    <row r="358" spans="1:4" ht="15" customHeight="1">
      <c r="A358" s="37"/>
      <c r="B358" s="38"/>
      <c r="C358" s="39"/>
      <c r="D358" s="38"/>
    </row>
    <row r="359" spans="1:4" ht="15" customHeight="1">
      <c r="A359" s="40"/>
      <c r="B359" s="41"/>
      <c r="C359" s="42"/>
      <c r="D359" s="41"/>
    </row>
    <row r="360" spans="1:4" ht="15" customHeight="1">
      <c r="A360" s="37"/>
      <c r="B360" s="38"/>
      <c r="C360" s="39"/>
      <c r="D360" s="38"/>
    </row>
    <row r="361" spans="1:4" ht="15" customHeight="1">
      <c r="A361" s="40"/>
      <c r="B361" s="41"/>
      <c r="C361" s="42"/>
      <c r="D361" s="41"/>
    </row>
    <row r="362" spans="1:4" ht="15" customHeight="1">
      <c r="A362" s="37"/>
      <c r="B362" s="38"/>
      <c r="C362" s="39"/>
      <c r="D362" s="38"/>
    </row>
    <row r="363" spans="1:4" ht="15" customHeight="1">
      <c r="A363" s="40"/>
      <c r="B363" s="41"/>
      <c r="C363" s="42"/>
      <c r="D363" s="41"/>
    </row>
    <row r="364" spans="1:4" ht="15" customHeight="1">
      <c r="A364" s="37"/>
      <c r="B364" s="38"/>
      <c r="C364" s="39"/>
      <c r="D364" s="38"/>
    </row>
    <row r="365" spans="1:4" ht="15" customHeight="1">
      <c r="A365" s="40"/>
      <c r="B365" s="41"/>
      <c r="C365" s="42"/>
      <c r="D365" s="41"/>
    </row>
    <row r="366" spans="1:4" ht="15" customHeight="1">
      <c r="A366" s="37"/>
      <c r="B366" s="38"/>
      <c r="C366" s="39"/>
      <c r="D366" s="38"/>
    </row>
    <row r="367" spans="1:4" ht="15" customHeight="1">
      <c r="A367" s="40"/>
      <c r="B367" s="41"/>
      <c r="C367" s="42"/>
      <c r="D367" s="41"/>
    </row>
    <row r="368" spans="1:4" ht="15" customHeight="1">
      <c r="A368" s="37"/>
      <c r="B368" s="38"/>
      <c r="C368" s="39"/>
      <c r="D368" s="38"/>
    </row>
    <row r="369" spans="1:4" ht="15" customHeight="1">
      <c r="A369" s="40"/>
      <c r="B369" s="41"/>
      <c r="C369" s="42"/>
      <c r="D369" s="41"/>
    </row>
    <row r="370" spans="1:4" ht="15" customHeight="1">
      <c r="A370" s="37"/>
      <c r="B370" s="38"/>
      <c r="C370" s="39"/>
      <c r="D370" s="38"/>
    </row>
    <row r="371" spans="1:4" ht="15" customHeight="1">
      <c r="A371" s="40"/>
      <c r="B371" s="41"/>
      <c r="C371" s="42"/>
      <c r="D371" s="41"/>
    </row>
    <row r="372" spans="1:4" ht="15" customHeight="1">
      <c r="A372" s="37"/>
      <c r="B372" s="38"/>
      <c r="C372" s="39"/>
      <c r="D372" s="38"/>
    </row>
    <row r="373" spans="1:4" ht="15" customHeight="1">
      <c r="A373" s="40"/>
      <c r="B373" s="41"/>
      <c r="C373" s="42"/>
      <c r="D373" s="41"/>
    </row>
    <row r="374" spans="1:4" ht="15" customHeight="1">
      <c r="A374" s="37"/>
      <c r="B374" s="38"/>
      <c r="C374" s="39"/>
      <c r="D374" s="38"/>
    </row>
    <row r="375" spans="1:4" ht="15" customHeight="1">
      <c r="A375" s="40"/>
      <c r="B375" s="41"/>
      <c r="C375" s="42"/>
      <c r="D375" s="41"/>
    </row>
    <row r="376" spans="1:4" ht="15" customHeight="1">
      <c r="A376" s="37"/>
      <c r="B376" s="38"/>
      <c r="C376" s="39"/>
      <c r="D376" s="38"/>
    </row>
    <row r="377" spans="1:4" ht="15" customHeight="1">
      <c r="A377" s="40"/>
      <c r="B377" s="41"/>
      <c r="C377" s="42"/>
      <c r="D377" s="41"/>
    </row>
    <row r="378" spans="1:4" ht="15" customHeight="1">
      <c r="A378" s="37"/>
      <c r="B378" s="38"/>
      <c r="C378" s="39"/>
      <c r="D378" s="38"/>
    </row>
    <row r="379" spans="1:4" ht="15" customHeight="1">
      <c r="A379" s="40"/>
      <c r="B379" s="41"/>
      <c r="C379" s="42"/>
      <c r="D379" s="41"/>
    </row>
    <row r="380" spans="1:4" ht="15" customHeight="1">
      <c r="A380" s="37"/>
      <c r="B380" s="38"/>
      <c r="C380" s="39"/>
      <c r="D380" s="38"/>
    </row>
    <row r="381" spans="1:4" ht="15" customHeight="1">
      <c r="A381" s="40"/>
      <c r="B381" s="41"/>
      <c r="C381" s="42"/>
      <c r="D381" s="41"/>
    </row>
    <row r="382" spans="1:4" ht="15" customHeight="1">
      <c r="A382" s="37"/>
      <c r="B382" s="38"/>
      <c r="C382" s="39"/>
      <c r="D382" s="38"/>
    </row>
    <row r="383" spans="1:4" ht="15" customHeight="1">
      <c r="A383" s="40"/>
      <c r="B383" s="41"/>
      <c r="C383" s="42"/>
      <c r="D383" s="41"/>
    </row>
    <row r="384" spans="1:4" ht="15" customHeight="1">
      <c r="A384" s="37"/>
      <c r="B384" s="38"/>
      <c r="C384" s="39"/>
      <c r="D384" s="38"/>
    </row>
    <row r="385" spans="1:4" ht="15" customHeight="1">
      <c r="A385" s="40"/>
      <c r="B385" s="41"/>
      <c r="C385" s="42"/>
      <c r="D385" s="41"/>
    </row>
    <row r="386" spans="1:4" ht="15" customHeight="1">
      <c r="A386" s="37"/>
      <c r="B386" s="38"/>
      <c r="C386" s="39"/>
      <c r="D386" s="38"/>
    </row>
    <row r="387" spans="1:4" ht="15" customHeight="1">
      <c r="A387" s="40"/>
      <c r="B387" s="41"/>
      <c r="C387" s="42"/>
      <c r="D387" s="41"/>
    </row>
    <row r="388" spans="1:4" ht="15" customHeight="1">
      <c r="A388" s="37"/>
      <c r="B388" s="38"/>
      <c r="C388" s="39"/>
      <c r="D388" s="38"/>
    </row>
    <row r="389" spans="1:4" ht="15" customHeight="1">
      <c r="A389" s="40"/>
      <c r="B389" s="41"/>
      <c r="C389" s="42"/>
      <c r="D389" s="41"/>
    </row>
    <row r="390" spans="1:4" ht="15" customHeight="1">
      <c r="A390" s="37"/>
      <c r="B390" s="38"/>
      <c r="C390" s="39"/>
      <c r="D390" s="38"/>
    </row>
    <row r="391" spans="1:4" ht="15" customHeight="1">
      <c r="A391" s="40"/>
      <c r="B391" s="41"/>
      <c r="C391" s="42"/>
      <c r="D391" s="41"/>
    </row>
    <row r="392" spans="1:4" ht="15" customHeight="1">
      <c r="A392" s="37"/>
      <c r="B392" s="38"/>
      <c r="C392" s="39"/>
      <c r="D392" s="38"/>
    </row>
    <row r="393" spans="1:4" ht="15" customHeight="1">
      <c r="A393" s="40"/>
      <c r="B393" s="41"/>
      <c r="C393" s="42"/>
      <c r="D393" s="41"/>
    </row>
    <row r="394" spans="1:4" ht="15" customHeight="1">
      <c r="A394" s="37"/>
      <c r="B394" s="38"/>
      <c r="C394" s="39"/>
      <c r="D394" s="38"/>
    </row>
    <row r="395" spans="1:4" ht="15" customHeight="1">
      <c r="A395" s="40"/>
      <c r="B395" s="41"/>
      <c r="C395" s="42"/>
      <c r="D395" s="41"/>
    </row>
    <row r="396" spans="1:4" ht="15" customHeight="1">
      <c r="A396" s="37"/>
      <c r="B396" s="38"/>
      <c r="C396" s="39"/>
      <c r="D396" s="38"/>
    </row>
    <row r="397" spans="1:4" ht="15" customHeight="1">
      <c r="A397" s="40"/>
      <c r="B397" s="41"/>
      <c r="C397" s="42"/>
      <c r="D397" s="41"/>
    </row>
    <row r="398" spans="1:4" ht="15" customHeight="1">
      <c r="A398" s="37"/>
      <c r="B398" s="38"/>
      <c r="C398" s="39"/>
      <c r="D398" s="38"/>
    </row>
    <row r="399" spans="1:4" ht="15" customHeight="1">
      <c r="A399" s="40"/>
      <c r="B399" s="41"/>
      <c r="C399" s="42"/>
      <c r="D399" s="41"/>
    </row>
    <row r="400" spans="1:4" ht="15" customHeight="1">
      <c r="A400" s="37"/>
      <c r="B400" s="38"/>
      <c r="C400" s="39"/>
      <c r="D400" s="38"/>
    </row>
    <row r="401" spans="1:4" ht="15" customHeight="1">
      <c r="A401" s="40"/>
      <c r="B401" s="41"/>
      <c r="C401" s="42"/>
      <c r="D401" s="41"/>
    </row>
    <row r="402" spans="1:4" ht="15" customHeight="1">
      <c r="A402" s="37"/>
      <c r="B402" s="38"/>
      <c r="C402" s="39"/>
      <c r="D402" s="38"/>
    </row>
    <row r="403" spans="1:4" ht="15" customHeight="1">
      <c r="A403" s="40"/>
      <c r="B403" s="41"/>
      <c r="C403" s="42"/>
      <c r="D403" s="41"/>
    </row>
    <row r="404" spans="1:4" ht="15" customHeight="1">
      <c r="A404" s="37"/>
      <c r="B404" s="38"/>
      <c r="C404" s="39"/>
      <c r="D404" s="38"/>
    </row>
    <row r="405" spans="1:4" ht="15" customHeight="1">
      <c r="A405" s="40"/>
      <c r="B405" s="41"/>
      <c r="C405" s="42"/>
      <c r="D405" s="41"/>
    </row>
    <row r="406" spans="1:4" ht="15" customHeight="1">
      <c r="A406" s="37"/>
      <c r="B406" s="38"/>
      <c r="C406" s="39"/>
      <c r="D406" s="38"/>
    </row>
    <row r="407" spans="1:4" ht="15" customHeight="1">
      <c r="A407" s="40"/>
      <c r="B407" s="41"/>
      <c r="C407" s="42"/>
      <c r="D407" s="41"/>
    </row>
    <row r="408" spans="1:4" ht="15" customHeight="1">
      <c r="A408" s="37"/>
      <c r="B408" s="38"/>
      <c r="C408" s="39"/>
      <c r="D408" s="38"/>
    </row>
    <row r="409" spans="1:4" ht="15" customHeight="1">
      <c r="A409" s="40"/>
      <c r="B409" s="41"/>
      <c r="C409" s="42"/>
      <c r="D409" s="41"/>
    </row>
    <row r="410" spans="1:4" ht="15" customHeight="1">
      <c r="A410" s="37"/>
      <c r="B410" s="38"/>
      <c r="C410" s="39"/>
      <c r="D410" s="38"/>
    </row>
    <row r="411" spans="1:4" ht="15" customHeight="1">
      <c r="A411" s="40"/>
      <c r="B411" s="41"/>
      <c r="C411" s="42"/>
      <c r="D411" s="41"/>
    </row>
    <row r="412" spans="1:4" ht="15" customHeight="1">
      <c r="A412" s="37"/>
      <c r="B412" s="38"/>
      <c r="C412" s="39"/>
      <c r="D412" s="38"/>
    </row>
    <row r="413" spans="1:4" ht="15" customHeight="1">
      <c r="A413" s="40"/>
      <c r="B413" s="41"/>
      <c r="C413" s="42"/>
      <c r="D413" s="41"/>
    </row>
    <row r="414" spans="1:4" ht="15" customHeight="1">
      <c r="A414" s="37"/>
      <c r="B414" s="38"/>
      <c r="C414" s="39"/>
      <c r="D414" s="38"/>
    </row>
    <row r="415" spans="1:4" ht="15" customHeight="1">
      <c r="A415" s="40"/>
      <c r="B415" s="41"/>
      <c r="C415" s="42"/>
      <c r="D415" s="41"/>
    </row>
    <row r="416" spans="1:4" ht="15" customHeight="1">
      <c r="A416" s="37"/>
      <c r="B416" s="38"/>
      <c r="C416" s="39"/>
      <c r="D416" s="38"/>
    </row>
    <row r="417" spans="1:4" ht="15" customHeight="1">
      <c r="A417" s="40"/>
      <c r="B417" s="41"/>
      <c r="C417" s="42"/>
      <c r="D417" s="41"/>
    </row>
    <row r="418" spans="1:4" ht="15" customHeight="1">
      <c r="A418" s="37"/>
      <c r="B418" s="38"/>
      <c r="C418" s="39"/>
      <c r="D418" s="38"/>
    </row>
    <row r="419" spans="1:4" ht="15" customHeight="1">
      <c r="A419" s="40"/>
      <c r="B419" s="41"/>
      <c r="C419" s="42"/>
      <c r="D419" s="41"/>
    </row>
    <row r="420" spans="1:4" ht="15" customHeight="1">
      <c r="A420" s="37"/>
      <c r="B420" s="38"/>
      <c r="C420" s="39"/>
      <c r="D420" s="38"/>
    </row>
    <row r="421" spans="1:4" ht="15" customHeight="1">
      <c r="A421" s="40"/>
      <c r="B421" s="41"/>
      <c r="C421" s="42"/>
      <c r="D421" s="41"/>
    </row>
    <row r="422" spans="1:4" ht="15" customHeight="1">
      <c r="A422" s="37"/>
      <c r="B422" s="38"/>
      <c r="C422" s="39"/>
      <c r="D422" s="38"/>
    </row>
    <row r="423" spans="1:4" ht="15" customHeight="1">
      <c r="A423" s="40"/>
      <c r="B423" s="41"/>
      <c r="C423" s="42"/>
      <c r="D423" s="41"/>
    </row>
    <row r="424" spans="1:4" ht="15" customHeight="1">
      <c r="A424" s="37"/>
      <c r="B424" s="38"/>
      <c r="C424" s="39"/>
      <c r="D424" s="38"/>
    </row>
    <row r="425" spans="1:4" ht="15" customHeight="1">
      <c r="A425" s="40"/>
      <c r="B425" s="41"/>
      <c r="C425" s="42"/>
      <c r="D425" s="41"/>
    </row>
    <row r="426" spans="1:4" ht="15" customHeight="1">
      <c r="A426" s="37"/>
      <c r="B426" s="38"/>
      <c r="C426" s="39"/>
      <c r="D426" s="38"/>
    </row>
    <row r="427" spans="1:4" ht="15" customHeight="1">
      <c r="A427" s="40"/>
      <c r="B427" s="41"/>
      <c r="C427" s="42"/>
      <c r="D427" s="41"/>
    </row>
    <row r="428" spans="1:4" ht="15" customHeight="1">
      <c r="A428" s="37"/>
      <c r="B428" s="38"/>
      <c r="C428" s="39"/>
      <c r="D428" s="38"/>
    </row>
    <row r="429" spans="1:4" ht="15" customHeight="1">
      <c r="A429" s="40"/>
      <c r="B429" s="41"/>
      <c r="C429" s="42"/>
      <c r="D429" s="41"/>
    </row>
    <row r="430" spans="1:4" ht="15" customHeight="1">
      <c r="A430" s="37"/>
      <c r="B430" s="38"/>
      <c r="C430" s="39"/>
      <c r="D430" s="38"/>
    </row>
    <row r="431" spans="1:4" ht="15" customHeight="1">
      <c r="A431" s="40"/>
      <c r="B431" s="41"/>
      <c r="C431" s="42"/>
      <c r="D431" s="41"/>
    </row>
    <row r="432" spans="1:4" ht="15" customHeight="1">
      <c r="A432" s="37"/>
      <c r="B432" s="38"/>
      <c r="C432" s="39"/>
      <c r="D432" s="38"/>
    </row>
    <row r="433" spans="1:4" ht="15" customHeight="1">
      <c r="A433" s="40"/>
      <c r="B433" s="41"/>
      <c r="C433" s="42"/>
      <c r="D433" s="41"/>
    </row>
    <row r="434" spans="1:4" ht="15" customHeight="1">
      <c r="A434" s="37"/>
      <c r="B434" s="38"/>
      <c r="C434" s="39"/>
      <c r="D434" s="38"/>
    </row>
    <row r="435" spans="1:4" ht="15" customHeight="1">
      <c r="A435" s="40"/>
      <c r="B435" s="41"/>
      <c r="C435" s="42"/>
      <c r="D435" s="41"/>
    </row>
    <row r="436" spans="1:4" ht="15" customHeight="1">
      <c r="A436" s="37"/>
      <c r="B436" s="38"/>
      <c r="C436" s="39"/>
      <c r="D436" s="38"/>
    </row>
    <row r="437" spans="1:4" ht="15" customHeight="1">
      <c r="A437" s="40"/>
      <c r="B437" s="41"/>
      <c r="C437" s="42"/>
      <c r="D437" s="41"/>
    </row>
    <row r="438" spans="1:4" ht="15" customHeight="1">
      <c r="A438" s="37"/>
      <c r="B438" s="38"/>
      <c r="C438" s="39"/>
      <c r="D438" s="38"/>
    </row>
    <row r="439" spans="1:4" ht="15" customHeight="1">
      <c r="A439" s="40"/>
      <c r="B439" s="41"/>
      <c r="C439" s="42"/>
      <c r="D439" s="41"/>
    </row>
    <row r="440" spans="1:4" ht="15" customHeight="1">
      <c r="A440" s="37"/>
      <c r="B440" s="38"/>
      <c r="C440" s="39"/>
      <c r="D440" s="38"/>
    </row>
    <row r="441" spans="1:4" ht="15" customHeight="1">
      <c r="A441" s="40"/>
      <c r="B441" s="41"/>
      <c r="C441" s="42"/>
      <c r="D441" s="41"/>
    </row>
    <row r="442" spans="1:4" ht="15" customHeight="1">
      <c r="A442" s="37"/>
      <c r="B442" s="38"/>
      <c r="C442" s="39"/>
      <c r="D442" s="38"/>
    </row>
    <row r="443" spans="1:4" ht="15" customHeight="1">
      <c r="A443" s="40"/>
      <c r="B443" s="41"/>
      <c r="C443" s="42"/>
      <c r="D443" s="41"/>
    </row>
    <row r="444" spans="1:4" ht="15" customHeight="1">
      <c r="A444" s="37"/>
      <c r="B444" s="38"/>
      <c r="C444" s="39"/>
      <c r="D444" s="38"/>
    </row>
    <row r="445" spans="1:4" ht="15" customHeight="1">
      <c r="A445" s="40"/>
      <c r="B445" s="41"/>
      <c r="C445" s="42"/>
      <c r="D445" s="41"/>
    </row>
    <row r="446" spans="1:4" ht="15" customHeight="1">
      <c r="A446" s="37"/>
      <c r="B446" s="38"/>
      <c r="C446" s="39"/>
      <c r="D446" s="38"/>
    </row>
    <row r="447" spans="1:4" ht="15" customHeight="1">
      <c r="A447" s="40"/>
      <c r="B447" s="41"/>
      <c r="C447" s="42"/>
      <c r="D447" s="41"/>
    </row>
    <row r="448" spans="1:4" ht="15" customHeight="1">
      <c r="A448" s="37"/>
      <c r="B448" s="38"/>
      <c r="C448" s="39"/>
      <c r="D448" s="38"/>
    </row>
    <row r="449" spans="1:4" ht="15" customHeight="1">
      <c r="A449" s="40"/>
      <c r="B449" s="41"/>
      <c r="C449" s="42"/>
      <c r="D449" s="41"/>
    </row>
    <row r="450" spans="1:4" ht="15" customHeight="1">
      <c r="A450" s="37"/>
      <c r="B450" s="38"/>
      <c r="C450" s="39"/>
      <c r="D450" s="38"/>
    </row>
  </sheetData>
  <autoFilter ref="A1:D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1"/>
  <sheetViews>
    <sheetView zoomScale="130" zoomScaleNormal="130" workbookViewId="0">
      <pane ySplit="1" topLeftCell="A132" activePane="bottomLeft" state="frozen"/>
      <selection pane="bottomLeft" activeCell="C149" sqref="C149"/>
    </sheetView>
  </sheetViews>
  <sheetFormatPr baseColWidth="10" defaultColWidth="8.83203125" defaultRowHeight="15"/>
  <cols>
    <col min="1" max="1" width="9.33203125" customWidth="1"/>
    <col min="2" max="2" width="25" bestFit="1" customWidth="1"/>
    <col min="3" max="3" width="14.5" customWidth="1"/>
    <col min="4" max="4" width="18.1640625" customWidth="1"/>
    <col min="5" max="5" width="8.1640625" customWidth="1"/>
    <col min="6" max="6" width="7.1640625" style="44" bestFit="1" customWidth="1"/>
    <col min="7" max="7" width="9.1640625" customWidth="1"/>
    <col min="8" max="8" width="41.5" customWidth="1"/>
    <col min="9" max="9" width="10.6640625" customWidth="1"/>
  </cols>
  <sheetData>
    <row r="1" spans="1:9" s="48" customFormat="1">
      <c r="A1" s="45" t="s">
        <v>98</v>
      </c>
      <c r="B1" s="46" t="s">
        <v>130</v>
      </c>
      <c r="C1" s="46" t="s">
        <v>99</v>
      </c>
      <c r="D1" s="46" t="s">
        <v>131</v>
      </c>
      <c r="E1" s="46" t="s">
        <v>132</v>
      </c>
      <c r="F1" s="46" t="s">
        <v>133</v>
      </c>
      <c r="G1" s="46" t="s">
        <v>134</v>
      </c>
      <c r="H1" s="47" t="s">
        <v>135</v>
      </c>
      <c r="I1" s="46" t="s">
        <v>136</v>
      </c>
    </row>
    <row r="2" spans="1:9">
      <c r="A2" s="49">
        <v>45900</v>
      </c>
      <c r="B2" s="50" t="s">
        <v>137</v>
      </c>
      <c r="C2" s="51">
        <v>1250</v>
      </c>
      <c r="D2" s="50" t="s">
        <v>138</v>
      </c>
      <c r="E2" s="50" t="s">
        <v>49</v>
      </c>
      <c r="F2" s="50"/>
      <c r="G2" s="50"/>
      <c r="H2" s="52"/>
      <c r="I2" s="50" t="s">
        <v>139</v>
      </c>
    </row>
    <row r="3" spans="1:9">
      <c r="A3" s="53">
        <v>45900</v>
      </c>
      <c r="B3" s="54" t="s">
        <v>140</v>
      </c>
      <c r="C3" s="55">
        <v>1600</v>
      </c>
      <c r="D3" s="54" t="s">
        <v>141</v>
      </c>
      <c r="E3" s="54" t="s">
        <v>49</v>
      </c>
      <c r="F3" s="54"/>
      <c r="G3" s="54"/>
      <c r="H3" s="56"/>
      <c r="I3" s="54" t="s">
        <v>139</v>
      </c>
    </row>
    <row r="4" spans="1:9">
      <c r="A4" s="49">
        <v>45900</v>
      </c>
      <c r="B4" s="50" t="s">
        <v>142</v>
      </c>
      <c r="C4" s="51">
        <v>1800</v>
      </c>
      <c r="D4" s="50" t="s">
        <v>141</v>
      </c>
      <c r="E4" s="50" t="s">
        <v>49</v>
      </c>
      <c r="F4" s="50"/>
      <c r="G4" s="50"/>
      <c r="H4" s="52"/>
      <c r="I4" s="50" t="s">
        <v>139</v>
      </c>
    </row>
    <row r="5" spans="1:9">
      <c r="A5" s="53">
        <v>45900</v>
      </c>
      <c r="B5" s="54" t="s">
        <v>143</v>
      </c>
      <c r="C5" s="55">
        <v>2000</v>
      </c>
      <c r="D5" s="54" t="s">
        <v>138</v>
      </c>
      <c r="E5" s="54" t="s">
        <v>49</v>
      </c>
      <c r="F5" s="54"/>
      <c r="G5" s="54"/>
      <c r="H5" s="56"/>
      <c r="I5" s="54" t="s">
        <v>139</v>
      </c>
    </row>
    <row r="6" spans="1:9">
      <c r="A6" s="49">
        <v>45900</v>
      </c>
      <c r="B6" s="50" t="s">
        <v>144</v>
      </c>
      <c r="C6" s="51">
        <v>1600</v>
      </c>
      <c r="D6" s="50" t="s">
        <v>141</v>
      </c>
      <c r="E6" s="50" t="s">
        <v>49</v>
      </c>
      <c r="F6" s="50"/>
      <c r="G6" s="50"/>
      <c r="H6" s="52"/>
      <c r="I6" s="50" t="s">
        <v>139</v>
      </c>
    </row>
    <row r="7" spans="1:9">
      <c r="A7" s="53">
        <v>45900</v>
      </c>
      <c r="B7" s="54" t="s">
        <v>145</v>
      </c>
      <c r="C7" s="55">
        <v>750</v>
      </c>
      <c r="D7" s="54" t="s">
        <v>138</v>
      </c>
      <c r="E7" s="54" t="s">
        <v>49</v>
      </c>
      <c r="F7" s="54"/>
      <c r="G7" s="54"/>
      <c r="H7" s="56"/>
      <c r="I7" s="54" t="s">
        <v>139</v>
      </c>
    </row>
    <row r="8" spans="1:9">
      <c r="A8" s="49">
        <v>45900</v>
      </c>
      <c r="B8" s="50" t="s">
        <v>146</v>
      </c>
      <c r="C8" s="51">
        <v>3600</v>
      </c>
      <c r="D8" s="50" t="s">
        <v>138</v>
      </c>
      <c r="E8" s="50" t="s">
        <v>49</v>
      </c>
      <c r="F8" s="50"/>
      <c r="G8" s="50"/>
      <c r="H8" s="52"/>
      <c r="I8" s="50" t="s">
        <v>139</v>
      </c>
    </row>
    <row r="9" spans="1:9">
      <c r="A9" s="53">
        <v>45901</v>
      </c>
      <c r="B9" s="54" t="s">
        <v>146</v>
      </c>
      <c r="C9" s="55">
        <v>1000</v>
      </c>
      <c r="D9" s="54" t="s">
        <v>138</v>
      </c>
      <c r="E9" s="54" t="s">
        <v>49</v>
      </c>
      <c r="F9" s="54"/>
      <c r="G9" s="54"/>
      <c r="H9" s="56"/>
      <c r="I9" s="54" t="s">
        <v>139</v>
      </c>
    </row>
    <row r="10" spans="1:9">
      <c r="A10" s="49">
        <v>45902</v>
      </c>
      <c r="B10" s="50" t="s">
        <v>147</v>
      </c>
      <c r="C10" s="51">
        <v>2000</v>
      </c>
      <c r="D10" s="50" t="s">
        <v>138</v>
      </c>
      <c r="E10" s="50" t="s">
        <v>49</v>
      </c>
      <c r="F10" s="50"/>
      <c r="G10" s="50"/>
      <c r="H10" s="52"/>
      <c r="I10" s="50" t="s">
        <v>139</v>
      </c>
    </row>
    <row r="11" spans="1:9">
      <c r="A11" s="53">
        <v>45903</v>
      </c>
      <c r="B11" s="54" t="s">
        <v>148</v>
      </c>
      <c r="C11" s="55">
        <v>3400</v>
      </c>
      <c r="D11" s="54" t="s">
        <v>138</v>
      </c>
      <c r="E11" s="54" t="s">
        <v>49</v>
      </c>
      <c r="F11" s="54"/>
      <c r="G11" s="54"/>
      <c r="H11" s="56"/>
      <c r="I11" s="54" t="s">
        <v>139</v>
      </c>
    </row>
    <row r="12" spans="1:9">
      <c r="A12" s="49">
        <v>45904</v>
      </c>
      <c r="B12" s="50" t="s">
        <v>149</v>
      </c>
      <c r="C12" s="51">
        <v>2500</v>
      </c>
      <c r="D12" s="50" t="s">
        <v>150</v>
      </c>
      <c r="E12" s="50" t="s">
        <v>49</v>
      </c>
      <c r="F12" s="50"/>
      <c r="G12" s="50"/>
      <c r="H12" s="52"/>
      <c r="I12" s="50" t="s">
        <v>139</v>
      </c>
    </row>
    <row r="13" spans="1:9">
      <c r="A13" s="53">
        <v>45905</v>
      </c>
      <c r="B13" s="54" t="s">
        <v>151</v>
      </c>
      <c r="C13" s="55">
        <v>4000</v>
      </c>
      <c r="D13" s="54" t="s">
        <v>138</v>
      </c>
      <c r="E13" s="54" t="s">
        <v>49</v>
      </c>
      <c r="F13" s="54"/>
      <c r="G13" s="54"/>
      <c r="H13" s="56"/>
      <c r="I13" s="54" t="s">
        <v>139</v>
      </c>
    </row>
    <row r="14" spans="1:9">
      <c r="A14" s="49">
        <v>45906</v>
      </c>
      <c r="B14" s="50" t="s">
        <v>152</v>
      </c>
      <c r="C14" s="51">
        <v>8000</v>
      </c>
      <c r="D14" s="50" t="s">
        <v>138</v>
      </c>
      <c r="E14" s="50" t="s">
        <v>49</v>
      </c>
      <c r="F14" s="50"/>
      <c r="G14" s="50"/>
      <c r="H14" s="52"/>
      <c r="I14" s="50" t="s">
        <v>139</v>
      </c>
    </row>
    <row r="15" spans="1:9">
      <c r="A15" s="53">
        <v>45907</v>
      </c>
      <c r="B15" s="54" t="s">
        <v>143</v>
      </c>
      <c r="C15" s="55">
        <v>1300</v>
      </c>
      <c r="D15" s="54" t="s">
        <v>153</v>
      </c>
      <c r="E15" s="54" t="s">
        <v>49</v>
      </c>
      <c r="F15" s="54"/>
      <c r="G15" s="54"/>
      <c r="H15" s="56"/>
      <c r="I15" s="54" t="s">
        <v>139</v>
      </c>
    </row>
    <row r="16" spans="1:9">
      <c r="A16" s="49">
        <v>45908</v>
      </c>
      <c r="B16" s="50" t="s">
        <v>154</v>
      </c>
      <c r="C16" s="51">
        <v>900</v>
      </c>
      <c r="D16" s="50" t="s">
        <v>141</v>
      </c>
      <c r="E16" s="50" t="s">
        <v>49</v>
      </c>
      <c r="F16" s="50"/>
      <c r="G16" s="50"/>
      <c r="H16" s="52"/>
      <c r="I16" s="50" t="s">
        <v>139</v>
      </c>
    </row>
    <row r="17" spans="1:9">
      <c r="A17" s="53">
        <v>45909</v>
      </c>
      <c r="B17" s="54" t="s">
        <v>155</v>
      </c>
      <c r="C17" s="55">
        <v>750</v>
      </c>
      <c r="D17" s="54" t="s">
        <v>150</v>
      </c>
      <c r="E17" s="54" t="s">
        <v>49</v>
      </c>
      <c r="F17" s="54"/>
      <c r="G17" s="54"/>
      <c r="H17" s="56"/>
      <c r="I17" s="54" t="s">
        <v>139</v>
      </c>
    </row>
    <row r="18" spans="1:9">
      <c r="A18" s="49">
        <v>45910</v>
      </c>
      <c r="B18" s="50" t="s">
        <v>156</v>
      </c>
      <c r="C18" s="51">
        <v>700</v>
      </c>
      <c r="D18" s="50" t="s">
        <v>150</v>
      </c>
      <c r="E18" s="50" t="s">
        <v>49</v>
      </c>
      <c r="F18" s="50"/>
      <c r="G18" s="50"/>
      <c r="H18" s="52"/>
      <c r="I18" s="50" t="s">
        <v>139</v>
      </c>
    </row>
    <row r="19" spans="1:9">
      <c r="A19" s="53">
        <v>45911</v>
      </c>
      <c r="B19" s="54" t="s">
        <v>157</v>
      </c>
      <c r="C19" s="55">
        <v>2900</v>
      </c>
      <c r="D19" s="54" t="s">
        <v>138</v>
      </c>
      <c r="E19" s="54" t="s">
        <v>49</v>
      </c>
      <c r="F19" s="54"/>
      <c r="G19" s="54"/>
      <c r="H19" s="56"/>
      <c r="I19" s="54" t="s">
        <v>139</v>
      </c>
    </row>
    <row r="20" spans="1:9">
      <c r="A20" s="49">
        <v>45912</v>
      </c>
      <c r="B20" s="50" t="s">
        <v>158</v>
      </c>
      <c r="C20" s="51">
        <v>2600</v>
      </c>
      <c r="D20" s="50" t="s">
        <v>150</v>
      </c>
      <c r="E20" s="50" t="s">
        <v>49</v>
      </c>
      <c r="F20" s="50"/>
      <c r="G20" s="50"/>
      <c r="H20" s="52"/>
      <c r="I20" s="50" t="s">
        <v>139</v>
      </c>
    </row>
    <row r="21" spans="1:9">
      <c r="A21" s="53">
        <v>45913</v>
      </c>
      <c r="B21" s="54" t="s">
        <v>159</v>
      </c>
      <c r="C21" s="55">
        <v>900</v>
      </c>
      <c r="D21" s="54" t="s">
        <v>150</v>
      </c>
      <c r="E21" s="54" t="s">
        <v>49</v>
      </c>
      <c r="F21" s="54"/>
      <c r="G21" s="54"/>
      <c r="H21" s="56"/>
      <c r="I21" s="54" t="s">
        <v>139</v>
      </c>
    </row>
    <row r="22" spans="1:9">
      <c r="A22" s="49">
        <v>45914</v>
      </c>
      <c r="B22" s="50" t="s">
        <v>160</v>
      </c>
      <c r="C22" s="51">
        <v>1000</v>
      </c>
      <c r="D22" s="50" t="s">
        <v>138</v>
      </c>
      <c r="E22" s="50" t="s">
        <v>49</v>
      </c>
      <c r="F22" s="50"/>
      <c r="G22" s="50"/>
      <c r="H22" s="52"/>
      <c r="I22" s="50" t="s">
        <v>139</v>
      </c>
    </row>
    <row r="23" spans="1:9">
      <c r="A23" s="53">
        <v>45915</v>
      </c>
      <c r="B23" s="54" t="s">
        <v>161</v>
      </c>
      <c r="C23" s="55">
        <v>1800</v>
      </c>
      <c r="D23" s="54" t="s">
        <v>138</v>
      </c>
      <c r="E23" s="54" t="s">
        <v>49</v>
      </c>
      <c r="F23" s="54"/>
      <c r="G23" s="54"/>
      <c r="H23" s="56"/>
      <c r="I23" s="54" t="s">
        <v>139</v>
      </c>
    </row>
    <row r="24" spans="1:9">
      <c r="A24" s="49">
        <v>45916</v>
      </c>
      <c r="B24" s="50" t="s">
        <v>162</v>
      </c>
      <c r="C24" s="51">
        <v>1600</v>
      </c>
      <c r="D24" s="50" t="s">
        <v>138</v>
      </c>
      <c r="E24" s="50" t="s">
        <v>49</v>
      </c>
      <c r="F24" s="50"/>
      <c r="G24" s="50"/>
      <c r="H24" s="52"/>
      <c r="I24" s="50" t="s">
        <v>139</v>
      </c>
    </row>
    <row r="25" spans="1:9">
      <c r="A25" s="53">
        <v>45917</v>
      </c>
      <c r="B25" s="54" t="s">
        <v>163</v>
      </c>
      <c r="C25" s="55">
        <v>800</v>
      </c>
      <c r="D25" s="54" t="s">
        <v>141</v>
      </c>
      <c r="E25" s="54" t="s">
        <v>49</v>
      </c>
      <c r="F25" s="54"/>
      <c r="G25" s="54"/>
      <c r="H25" s="56"/>
      <c r="I25" s="54" t="s">
        <v>139</v>
      </c>
    </row>
    <row r="26" spans="1:9">
      <c r="A26" s="49">
        <v>45917</v>
      </c>
      <c r="B26" s="50" t="s">
        <v>163</v>
      </c>
      <c r="C26" s="51">
        <v>1300</v>
      </c>
      <c r="D26" s="50" t="s">
        <v>141</v>
      </c>
      <c r="E26" s="50" t="s">
        <v>49</v>
      </c>
      <c r="F26" s="50"/>
      <c r="G26" s="50"/>
      <c r="H26" s="52"/>
      <c r="I26" s="50" t="s">
        <v>139</v>
      </c>
    </row>
    <row r="27" spans="1:9">
      <c r="A27" s="53">
        <v>45918</v>
      </c>
      <c r="B27" s="54" t="s">
        <v>164</v>
      </c>
      <c r="C27" s="55">
        <v>1500</v>
      </c>
      <c r="D27" s="54" t="s">
        <v>138</v>
      </c>
      <c r="E27" s="54" t="s">
        <v>49</v>
      </c>
      <c r="F27" s="54"/>
      <c r="G27" s="54"/>
      <c r="H27" s="56"/>
      <c r="I27" s="54" t="s">
        <v>139</v>
      </c>
    </row>
    <row r="28" spans="1:9">
      <c r="A28" s="49">
        <v>45919</v>
      </c>
      <c r="B28" s="50" t="s">
        <v>165</v>
      </c>
      <c r="C28" s="51">
        <v>1400</v>
      </c>
      <c r="D28" s="50" t="s">
        <v>138</v>
      </c>
      <c r="E28" s="50" t="s">
        <v>49</v>
      </c>
      <c r="F28" s="50"/>
      <c r="G28" s="50"/>
      <c r="H28" s="52"/>
      <c r="I28" s="50" t="s">
        <v>139</v>
      </c>
    </row>
    <row r="29" spans="1:9">
      <c r="A29" s="53">
        <v>45920</v>
      </c>
      <c r="B29" s="54" t="s">
        <v>166</v>
      </c>
      <c r="C29" s="55">
        <v>3500</v>
      </c>
      <c r="D29" s="54" t="s">
        <v>138</v>
      </c>
      <c r="E29" s="54" t="s">
        <v>49</v>
      </c>
      <c r="F29" s="54"/>
      <c r="G29" s="54"/>
      <c r="H29" s="56"/>
      <c r="I29" s="54" t="s">
        <v>139</v>
      </c>
    </row>
    <row r="30" spans="1:9">
      <c r="A30" s="49">
        <v>45921</v>
      </c>
      <c r="B30" s="50" t="s">
        <v>167</v>
      </c>
      <c r="C30" s="51">
        <v>2400</v>
      </c>
      <c r="D30" s="50" t="s">
        <v>141</v>
      </c>
      <c r="E30" s="50" t="s">
        <v>49</v>
      </c>
      <c r="F30" s="50"/>
      <c r="G30" s="50"/>
      <c r="H30" s="52"/>
      <c r="I30" s="50" t="s">
        <v>139</v>
      </c>
    </row>
    <row r="31" spans="1:9">
      <c r="A31" s="53">
        <v>45922</v>
      </c>
      <c r="B31" s="54" t="s">
        <v>168</v>
      </c>
      <c r="C31" s="55">
        <v>1000</v>
      </c>
      <c r="D31" s="54" t="s">
        <v>141</v>
      </c>
      <c r="E31" s="54" t="s">
        <v>49</v>
      </c>
      <c r="F31" s="54"/>
      <c r="G31" s="54"/>
      <c r="H31" s="56"/>
      <c r="I31" s="54" t="s">
        <v>139</v>
      </c>
    </row>
    <row r="32" spans="1:9">
      <c r="A32" s="49">
        <v>45924</v>
      </c>
      <c r="B32" s="50" t="s">
        <v>169</v>
      </c>
      <c r="C32" s="51">
        <v>2500</v>
      </c>
      <c r="D32" s="50" t="s">
        <v>153</v>
      </c>
      <c r="E32" s="50" t="s">
        <v>49</v>
      </c>
      <c r="F32" s="50"/>
      <c r="G32" s="50"/>
      <c r="H32" s="52"/>
      <c r="I32" s="50" t="s">
        <v>139</v>
      </c>
    </row>
    <row r="33" spans="1:9">
      <c r="A33" s="53">
        <v>45924</v>
      </c>
      <c r="B33" s="54" t="s">
        <v>170</v>
      </c>
      <c r="C33" s="55">
        <v>9250</v>
      </c>
      <c r="D33" s="54" t="s">
        <v>153</v>
      </c>
      <c r="E33" s="54" t="s">
        <v>49</v>
      </c>
      <c r="F33" s="54"/>
      <c r="G33" s="54"/>
      <c r="H33" s="56"/>
      <c r="I33" s="54" t="s">
        <v>139</v>
      </c>
    </row>
    <row r="34" spans="1:9">
      <c r="A34" s="49">
        <v>45930</v>
      </c>
      <c r="B34" s="50" t="s">
        <v>160</v>
      </c>
      <c r="C34" s="51">
        <v>3800</v>
      </c>
      <c r="D34" s="50" t="s">
        <v>171</v>
      </c>
      <c r="E34" s="50" t="s">
        <v>51</v>
      </c>
      <c r="F34" s="50"/>
      <c r="G34" s="50"/>
      <c r="H34" s="52"/>
      <c r="I34" s="50" t="s">
        <v>139</v>
      </c>
    </row>
    <row r="35" spans="1:9">
      <c r="A35" s="53">
        <v>45933.931944444397</v>
      </c>
      <c r="B35" s="54" t="s">
        <v>172</v>
      </c>
      <c r="C35" s="55">
        <v>800</v>
      </c>
      <c r="D35" s="54" t="s">
        <v>153</v>
      </c>
      <c r="E35" s="54" t="s">
        <v>49</v>
      </c>
      <c r="F35" s="54"/>
      <c r="G35" s="54"/>
      <c r="H35" s="56"/>
      <c r="I35" s="54" t="s">
        <v>139</v>
      </c>
    </row>
    <row r="36" spans="1:9">
      <c r="A36" s="49">
        <v>45934.931944386597</v>
      </c>
      <c r="B36" s="50" t="s">
        <v>173</v>
      </c>
      <c r="C36" s="51">
        <v>1600</v>
      </c>
      <c r="D36" s="50" t="s">
        <v>138</v>
      </c>
      <c r="E36" s="50" t="s">
        <v>49</v>
      </c>
      <c r="F36" s="50"/>
      <c r="G36" s="50"/>
      <c r="H36" s="52"/>
      <c r="I36" s="50" t="s">
        <v>139</v>
      </c>
    </row>
    <row r="37" spans="1:9">
      <c r="A37" s="53">
        <v>45935.931944386597</v>
      </c>
      <c r="B37" s="54" t="s">
        <v>174</v>
      </c>
      <c r="C37" s="55">
        <v>5900</v>
      </c>
      <c r="D37" s="54" t="s">
        <v>153</v>
      </c>
      <c r="E37" s="54" t="s">
        <v>49</v>
      </c>
      <c r="F37" s="54"/>
      <c r="G37" s="54"/>
      <c r="H37" s="56"/>
      <c r="I37" s="54" t="s">
        <v>139</v>
      </c>
    </row>
    <row r="38" spans="1:9">
      <c r="A38" s="49">
        <v>45939.931944444397</v>
      </c>
      <c r="B38" s="50" t="s">
        <v>166</v>
      </c>
      <c r="C38" s="51">
        <v>3000</v>
      </c>
      <c r="D38" s="50" t="s">
        <v>153</v>
      </c>
      <c r="E38" s="50" t="s">
        <v>49</v>
      </c>
      <c r="F38" s="50"/>
      <c r="G38" s="50"/>
      <c r="H38" s="52"/>
      <c r="I38" s="50" t="s">
        <v>139</v>
      </c>
    </row>
    <row r="39" spans="1:9">
      <c r="A39" s="53">
        <v>45939.931944444397</v>
      </c>
      <c r="B39" s="54" t="s">
        <v>175</v>
      </c>
      <c r="C39" s="55">
        <v>800</v>
      </c>
      <c r="D39" s="54" t="s">
        <v>153</v>
      </c>
      <c r="E39" s="54" t="s">
        <v>49</v>
      </c>
      <c r="F39" s="54"/>
      <c r="G39" s="54"/>
      <c r="H39" s="56"/>
      <c r="I39" s="54" t="s">
        <v>139</v>
      </c>
    </row>
    <row r="40" spans="1:9">
      <c r="A40" s="49">
        <v>45945</v>
      </c>
      <c r="B40" s="50" t="s">
        <v>176</v>
      </c>
      <c r="C40" s="51">
        <v>1560</v>
      </c>
      <c r="D40" s="50" t="s">
        <v>153</v>
      </c>
      <c r="E40" s="50" t="s">
        <v>49</v>
      </c>
      <c r="F40" s="50"/>
      <c r="G40" s="50"/>
      <c r="H40" s="52"/>
      <c r="I40" s="50" t="s">
        <v>139</v>
      </c>
    </row>
    <row r="41" spans="1:9">
      <c r="A41" s="53">
        <v>45946</v>
      </c>
      <c r="B41" s="54" t="s">
        <v>177</v>
      </c>
      <c r="C41" s="55">
        <v>1400</v>
      </c>
      <c r="D41" s="54" t="s">
        <v>153</v>
      </c>
      <c r="E41" s="54" t="s">
        <v>49</v>
      </c>
      <c r="F41" s="54"/>
      <c r="G41" s="54"/>
      <c r="H41" s="56"/>
      <c r="I41" s="54" t="s">
        <v>139</v>
      </c>
    </row>
    <row r="42" spans="1:9">
      <c r="A42" s="49">
        <v>45946</v>
      </c>
      <c r="B42" s="50" t="s">
        <v>142</v>
      </c>
      <c r="C42" s="51">
        <v>3000</v>
      </c>
      <c r="D42" s="50" t="s">
        <v>153</v>
      </c>
      <c r="E42" s="50" t="s">
        <v>49</v>
      </c>
      <c r="F42" s="50"/>
      <c r="G42" s="50"/>
      <c r="H42" s="52"/>
      <c r="I42" s="50" t="s">
        <v>139</v>
      </c>
    </row>
    <row r="43" spans="1:9">
      <c r="A43" s="53">
        <v>45947</v>
      </c>
      <c r="B43" s="54" t="s">
        <v>178</v>
      </c>
      <c r="C43" s="55">
        <v>1799</v>
      </c>
      <c r="D43" s="54" t="s">
        <v>153</v>
      </c>
      <c r="E43" s="54" t="s">
        <v>49</v>
      </c>
      <c r="F43" s="54"/>
      <c r="G43" s="54"/>
      <c r="H43" s="56"/>
      <c r="I43" s="54" t="s">
        <v>139</v>
      </c>
    </row>
    <row r="44" spans="1:9">
      <c r="A44" s="49">
        <v>45948</v>
      </c>
      <c r="B44" s="50" t="s">
        <v>149</v>
      </c>
      <c r="C44" s="51">
        <v>1400</v>
      </c>
      <c r="D44" s="50" t="s">
        <v>153</v>
      </c>
      <c r="E44" s="50" t="s">
        <v>49</v>
      </c>
      <c r="F44" s="50"/>
      <c r="G44" s="50"/>
      <c r="H44" s="52"/>
      <c r="I44" s="50" t="s">
        <v>139</v>
      </c>
    </row>
    <row r="45" spans="1:9">
      <c r="A45" s="53">
        <v>45949</v>
      </c>
      <c r="B45" s="54" t="s">
        <v>179</v>
      </c>
      <c r="C45" s="55">
        <v>1400</v>
      </c>
      <c r="D45" s="54" t="s">
        <v>153</v>
      </c>
      <c r="E45" s="54" t="s">
        <v>49</v>
      </c>
      <c r="F45" s="54"/>
      <c r="G45" s="54"/>
      <c r="H45" s="56"/>
      <c r="I45" s="54" t="s">
        <v>139</v>
      </c>
    </row>
    <row r="46" spans="1:9">
      <c r="A46" s="49">
        <v>45950</v>
      </c>
      <c r="B46" s="50" t="s">
        <v>180</v>
      </c>
      <c r="C46" s="51">
        <v>600</v>
      </c>
      <c r="D46" s="50" t="s">
        <v>153</v>
      </c>
      <c r="E46" s="50" t="s">
        <v>49</v>
      </c>
      <c r="F46" s="50"/>
      <c r="G46" s="50"/>
      <c r="H46" s="52"/>
      <c r="I46" s="50" t="s">
        <v>139</v>
      </c>
    </row>
    <row r="47" spans="1:9">
      <c r="A47" s="53">
        <v>45951</v>
      </c>
      <c r="B47" s="54" t="s">
        <v>181</v>
      </c>
      <c r="C47" s="55">
        <v>1000</v>
      </c>
      <c r="D47" s="54" t="s">
        <v>153</v>
      </c>
      <c r="E47" s="54" t="s">
        <v>49</v>
      </c>
      <c r="F47" s="54"/>
      <c r="G47" s="54"/>
      <c r="H47" s="56"/>
      <c r="I47" s="54" t="s">
        <v>139</v>
      </c>
    </row>
    <row r="48" spans="1:9">
      <c r="A48" s="49">
        <v>45964</v>
      </c>
      <c r="B48" s="50" t="s">
        <v>180</v>
      </c>
      <c r="C48" s="51">
        <v>1500</v>
      </c>
      <c r="D48" s="50" t="s">
        <v>138</v>
      </c>
      <c r="E48" s="50" t="s">
        <v>49</v>
      </c>
      <c r="F48" s="50"/>
      <c r="G48" s="50"/>
      <c r="H48" s="52"/>
      <c r="I48" s="50" t="s">
        <v>139</v>
      </c>
    </row>
    <row r="49" spans="1:9">
      <c r="A49" s="53">
        <v>45963</v>
      </c>
      <c r="B49" s="54" t="s">
        <v>180</v>
      </c>
      <c r="C49" s="55">
        <v>1600</v>
      </c>
      <c r="D49" s="54" t="s">
        <v>153</v>
      </c>
      <c r="E49" s="54" t="s">
        <v>49</v>
      </c>
      <c r="F49" s="54"/>
      <c r="G49" s="54"/>
      <c r="H49" s="56"/>
      <c r="I49" s="54" t="s">
        <v>139</v>
      </c>
    </row>
    <row r="50" spans="1:9">
      <c r="A50" s="49">
        <v>45982</v>
      </c>
      <c r="B50" s="50" t="s">
        <v>182</v>
      </c>
      <c r="C50" s="51">
        <v>1600</v>
      </c>
      <c r="D50" s="50" t="s">
        <v>153</v>
      </c>
      <c r="E50" s="50" t="s">
        <v>49</v>
      </c>
      <c r="F50" s="50"/>
      <c r="G50" s="50"/>
      <c r="H50" s="52"/>
      <c r="I50" s="50" t="s">
        <v>139</v>
      </c>
    </row>
    <row r="51" spans="1:9">
      <c r="A51" s="53">
        <v>45983</v>
      </c>
      <c r="B51" s="54" t="s">
        <v>183</v>
      </c>
      <c r="C51" s="55">
        <v>1400</v>
      </c>
      <c r="D51" s="54" t="s">
        <v>153</v>
      </c>
      <c r="E51" s="54" t="s">
        <v>49</v>
      </c>
      <c r="F51" s="54"/>
      <c r="G51" s="54"/>
      <c r="H51" s="56"/>
      <c r="I51" s="54" t="s">
        <v>139</v>
      </c>
    </row>
    <row r="52" spans="1:9">
      <c r="A52" s="49">
        <v>45984</v>
      </c>
      <c r="B52" s="50" t="s">
        <v>184</v>
      </c>
      <c r="C52" s="51">
        <v>1600</v>
      </c>
      <c r="D52" s="50" t="s">
        <v>153</v>
      </c>
      <c r="E52" s="50" t="s">
        <v>49</v>
      </c>
      <c r="F52" s="50"/>
      <c r="G52" s="50"/>
      <c r="H52" s="52"/>
      <c r="I52" s="50" t="s">
        <v>139</v>
      </c>
    </row>
    <row r="53" spans="1:9">
      <c r="A53" s="53">
        <v>45985</v>
      </c>
      <c r="B53" s="54" t="s">
        <v>182</v>
      </c>
      <c r="C53" s="55">
        <v>1600</v>
      </c>
      <c r="D53" s="54" t="s">
        <v>153</v>
      </c>
      <c r="E53" s="54" t="s">
        <v>49</v>
      </c>
      <c r="F53" s="57"/>
      <c r="G53" s="57"/>
      <c r="H53" s="58"/>
      <c r="I53" s="54" t="s">
        <v>139</v>
      </c>
    </row>
    <row r="54" spans="1:9">
      <c r="A54" s="49">
        <v>45986</v>
      </c>
      <c r="B54" s="50" t="s">
        <v>185</v>
      </c>
      <c r="C54" s="51">
        <v>4900</v>
      </c>
      <c r="D54" s="50" t="s">
        <v>153</v>
      </c>
      <c r="E54" s="50" t="s">
        <v>49</v>
      </c>
      <c r="F54" s="50"/>
      <c r="G54" s="50"/>
      <c r="H54" s="52" t="s">
        <v>186</v>
      </c>
      <c r="I54" s="50" t="s">
        <v>139</v>
      </c>
    </row>
    <row r="55" spans="1:9" ht="16">
      <c r="A55" s="53">
        <v>45992</v>
      </c>
      <c r="B55" s="54" t="s">
        <v>187</v>
      </c>
      <c r="C55" s="55">
        <v>4500</v>
      </c>
      <c r="D55" s="54" t="s">
        <v>153</v>
      </c>
      <c r="E55" s="54" t="s">
        <v>49</v>
      </c>
      <c r="F55" s="57"/>
      <c r="G55" s="57"/>
      <c r="H55" s="58" t="s">
        <v>186</v>
      </c>
      <c r="I55" s="54" t="s">
        <v>139</v>
      </c>
    </row>
    <row r="56" spans="1:9">
      <c r="A56" s="49">
        <v>45992</v>
      </c>
      <c r="B56" s="50" t="s">
        <v>188</v>
      </c>
      <c r="C56" s="51">
        <v>1600</v>
      </c>
      <c r="D56" s="50" t="s">
        <v>153</v>
      </c>
      <c r="E56" s="50" t="s">
        <v>49</v>
      </c>
      <c r="F56" s="50"/>
      <c r="G56" s="50"/>
      <c r="H56" s="52" t="s">
        <v>189</v>
      </c>
      <c r="I56" s="50" t="s">
        <v>139</v>
      </c>
    </row>
    <row r="57" spans="1:9" ht="16">
      <c r="A57" s="53">
        <v>45996</v>
      </c>
      <c r="B57" s="54" t="s">
        <v>190</v>
      </c>
      <c r="C57" s="55">
        <v>1500</v>
      </c>
      <c r="D57" s="54" t="s">
        <v>153</v>
      </c>
      <c r="E57" s="54" t="s">
        <v>49</v>
      </c>
      <c r="F57" s="57"/>
      <c r="G57" s="57"/>
      <c r="H57" s="58" t="s">
        <v>191</v>
      </c>
      <c r="I57" s="54" t="s">
        <v>139</v>
      </c>
    </row>
    <row r="58" spans="1:9" ht="56">
      <c r="A58" s="49">
        <v>45996</v>
      </c>
      <c r="B58" s="50" t="s">
        <v>192</v>
      </c>
      <c r="C58" s="51">
        <v>7500</v>
      </c>
      <c r="D58" s="50" t="s">
        <v>153</v>
      </c>
      <c r="E58" s="50" t="s">
        <v>49</v>
      </c>
      <c r="F58" s="50"/>
      <c r="G58" s="50"/>
      <c r="H58" s="52" t="s">
        <v>193</v>
      </c>
      <c r="I58" s="50" t="s">
        <v>139</v>
      </c>
    </row>
    <row r="59" spans="1:9" ht="16">
      <c r="A59" s="53">
        <v>45996</v>
      </c>
      <c r="B59" s="54" t="s">
        <v>164</v>
      </c>
      <c r="C59" s="55">
        <v>1400</v>
      </c>
      <c r="D59" s="54" t="s">
        <v>141</v>
      </c>
      <c r="E59" s="54" t="s">
        <v>49</v>
      </c>
      <c r="F59" s="57"/>
      <c r="G59" s="57"/>
      <c r="H59" s="58" t="s">
        <v>194</v>
      </c>
      <c r="I59" s="54" t="s">
        <v>139</v>
      </c>
    </row>
    <row r="60" spans="1:9">
      <c r="A60" s="49">
        <v>46007</v>
      </c>
      <c r="B60" s="50" t="s">
        <v>195</v>
      </c>
      <c r="C60" s="51">
        <v>699</v>
      </c>
      <c r="D60" s="50" t="s">
        <v>196</v>
      </c>
      <c r="E60" s="50" t="s">
        <v>49</v>
      </c>
      <c r="F60" s="50"/>
      <c r="G60" s="50"/>
      <c r="H60" s="52" t="s">
        <v>197</v>
      </c>
      <c r="I60" s="50" t="s">
        <v>139</v>
      </c>
    </row>
    <row r="61" spans="1:9" ht="16">
      <c r="A61" s="53">
        <v>46008</v>
      </c>
      <c r="B61" s="54" t="s">
        <v>142</v>
      </c>
      <c r="C61" s="55">
        <v>1400</v>
      </c>
      <c r="D61" s="54" t="s">
        <v>171</v>
      </c>
      <c r="E61" s="54" t="s">
        <v>49</v>
      </c>
      <c r="F61" s="57" t="s">
        <v>198</v>
      </c>
      <c r="G61" s="57"/>
      <c r="H61" s="58" t="s">
        <v>199</v>
      </c>
      <c r="I61" s="54" t="s">
        <v>139</v>
      </c>
    </row>
    <row r="62" spans="1:9">
      <c r="A62" s="49">
        <v>46008</v>
      </c>
      <c r="B62" s="50" t="s">
        <v>200</v>
      </c>
      <c r="C62" s="51">
        <v>1380</v>
      </c>
      <c r="D62" s="50" t="s">
        <v>153</v>
      </c>
      <c r="E62" s="50" t="s">
        <v>49</v>
      </c>
      <c r="F62" s="50"/>
      <c r="G62" s="50"/>
      <c r="H62" s="52" t="s">
        <v>201</v>
      </c>
      <c r="I62" s="50" t="s">
        <v>139</v>
      </c>
    </row>
    <row r="63" spans="1:9" ht="16">
      <c r="A63" s="53">
        <v>46008</v>
      </c>
      <c r="B63" s="54" t="s">
        <v>182</v>
      </c>
      <c r="C63" s="55">
        <v>1380</v>
      </c>
      <c r="D63" s="54" t="s">
        <v>153</v>
      </c>
      <c r="E63" s="54" t="s">
        <v>49</v>
      </c>
      <c r="F63" s="57"/>
      <c r="G63" s="57"/>
      <c r="H63" s="58" t="s">
        <v>202</v>
      </c>
      <c r="I63" s="54" t="s">
        <v>139</v>
      </c>
    </row>
    <row r="64" spans="1:9" ht="16">
      <c r="A64" s="53">
        <v>46008</v>
      </c>
      <c r="B64" s="54" t="s">
        <v>164</v>
      </c>
      <c r="C64" s="55">
        <v>700</v>
      </c>
      <c r="D64" s="54" t="s">
        <v>153</v>
      </c>
      <c r="E64" s="54" t="s">
        <v>49</v>
      </c>
      <c r="F64" s="57"/>
      <c r="G64" s="57"/>
      <c r="H64" s="58" t="s">
        <v>203</v>
      </c>
      <c r="I64" s="54" t="s">
        <v>139</v>
      </c>
    </row>
    <row r="65" spans="1:9">
      <c r="A65" s="49">
        <v>46009</v>
      </c>
      <c r="B65" s="50" t="s">
        <v>168</v>
      </c>
      <c r="C65" s="51">
        <v>2100</v>
      </c>
      <c r="D65" s="50" t="s">
        <v>141</v>
      </c>
      <c r="E65" s="50" t="s">
        <v>49</v>
      </c>
      <c r="F65" s="50"/>
      <c r="G65" s="50"/>
      <c r="H65" s="52" t="s">
        <v>204</v>
      </c>
      <c r="I65" s="50" t="s">
        <v>139</v>
      </c>
    </row>
    <row r="66" spans="1:9" ht="16">
      <c r="A66" s="53">
        <v>46010</v>
      </c>
      <c r="B66" s="54" t="s">
        <v>205</v>
      </c>
      <c r="C66" s="55">
        <v>1380</v>
      </c>
      <c r="D66" s="54" t="s">
        <v>171</v>
      </c>
      <c r="E66" s="54" t="s">
        <v>49</v>
      </c>
      <c r="F66" s="57"/>
      <c r="G66" s="57"/>
      <c r="H66" s="58" t="s">
        <v>202</v>
      </c>
      <c r="I66" s="54" t="s">
        <v>139</v>
      </c>
    </row>
    <row r="67" spans="1:9">
      <c r="A67" s="49">
        <v>46010</v>
      </c>
      <c r="B67" s="50" t="s">
        <v>206</v>
      </c>
      <c r="C67" s="51">
        <v>1000</v>
      </c>
      <c r="D67" s="50" t="s">
        <v>153</v>
      </c>
      <c r="E67" s="50" t="s">
        <v>49</v>
      </c>
      <c r="F67" s="50" t="s">
        <v>207</v>
      </c>
      <c r="G67" s="50"/>
      <c r="H67" s="52" t="s">
        <v>208</v>
      </c>
      <c r="I67" s="50" t="s">
        <v>139</v>
      </c>
    </row>
    <row r="68" spans="1:9" ht="48">
      <c r="A68" s="53">
        <v>46011</v>
      </c>
      <c r="B68" s="54" t="s">
        <v>209</v>
      </c>
      <c r="C68" s="55">
        <v>3900</v>
      </c>
      <c r="D68" s="54" t="s">
        <v>153</v>
      </c>
      <c r="E68" s="54" t="s">
        <v>49</v>
      </c>
      <c r="F68" s="57"/>
      <c r="G68" s="57"/>
      <c r="H68" s="58" t="s">
        <v>210</v>
      </c>
      <c r="I68" s="54" t="s">
        <v>139</v>
      </c>
    </row>
    <row r="69" spans="1:9">
      <c r="A69" s="49">
        <v>46011</v>
      </c>
      <c r="B69" s="50" t="s">
        <v>211</v>
      </c>
      <c r="C69" s="51">
        <v>1400</v>
      </c>
      <c r="D69" s="50" t="s">
        <v>153</v>
      </c>
      <c r="E69" s="50" t="s">
        <v>49</v>
      </c>
      <c r="F69" s="50"/>
      <c r="G69" s="50"/>
      <c r="H69" s="52" t="s">
        <v>212</v>
      </c>
      <c r="I69" s="50" t="s">
        <v>139</v>
      </c>
    </row>
    <row r="70" spans="1:9" ht="28">
      <c r="A70" s="49">
        <v>46011</v>
      </c>
      <c r="B70" s="50" t="s">
        <v>50</v>
      </c>
      <c r="C70" s="51">
        <v>1400</v>
      </c>
      <c r="D70" s="50" t="s">
        <v>141</v>
      </c>
      <c r="E70" s="50" t="s">
        <v>50</v>
      </c>
      <c r="F70" s="50"/>
      <c r="G70" s="50"/>
      <c r="H70" s="52" t="s">
        <v>213</v>
      </c>
      <c r="I70" s="50" t="s">
        <v>139</v>
      </c>
    </row>
    <row r="71" spans="1:9" ht="16">
      <c r="A71" s="53">
        <v>46011</v>
      </c>
      <c r="B71" s="54" t="s">
        <v>190</v>
      </c>
      <c r="C71" s="55">
        <v>1400</v>
      </c>
      <c r="D71" s="54" t="s">
        <v>141</v>
      </c>
      <c r="E71" s="54" t="s">
        <v>49</v>
      </c>
      <c r="F71" s="57"/>
      <c r="G71" s="57"/>
      <c r="H71" s="58" t="s">
        <v>214</v>
      </c>
      <c r="I71" s="54" t="s">
        <v>139</v>
      </c>
    </row>
    <row r="72" spans="1:9" ht="42">
      <c r="A72" s="49">
        <v>46011</v>
      </c>
      <c r="B72" s="50" t="s">
        <v>215</v>
      </c>
      <c r="C72" s="51">
        <v>3700</v>
      </c>
      <c r="D72" s="50" t="s">
        <v>153</v>
      </c>
      <c r="E72" s="50" t="s">
        <v>49</v>
      </c>
      <c r="F72" s="50"/>
      <c r="G72" s="50"/>
      <c r="H72" s="52" t="s">
        <v>216</v>
      </c>
      <c r="I72" s="50" t="s">
        <v>139</v>
      </c>
    </row>
    <row r="73" spans="1:9" ht="48">
      <c r="A73" s="53">
        <v>46011</v>
      </c>
      <c r="B73" s="54" t="s">
        <v>217</v>
      </c>
      <c r="C73" s="55">
        <v>4529</v>
      </c>
      <c r="D73" s="54" t="s">
        <v>141</v>
      </c>
      <c r="E73" s="54" t="s">
        <v>50</v>
      </c>
      <c r="F73" s="57"/>
      <c r="G73" s="57"/>
      <c r="H73" s="58" t="s">
        <v>218</v>
      </c>
      <c r="I73" s="54" t="s">
        <v>139</v>
      </c>
    </row>
    <row r="74" spans="1:9">
      <c r="A74" s="49">
        <v>46013</v>
      </c>
      <c r="B74" s="50" t="s">
        <v>219</v>
      </c>
      <c r="C74" s="51">
        <v>580</v>
      </c>
      <c r="D74" s="50" t="s">
        <v>153</v>
      </c>
      <c r="E74" s="50" t="s">
        <v>49</v>
      </c>
      <c r="F74" s="50" t="s">
        <v>220</v>
      </c>
      <c r="G74" s="50"/>
      <c r="H74" s="52" t="s">
        <v>221</v>
      </c>
      <c r="I74" s="50" t="s">
        <v>139</v>
      </c>
    </row>
    <row r="75" spans="1:9" ht="16">
      <c r="A75" s="53">
        <v>46013</v>
      </c>
      <c r="B75" s="54" t="s">
        <v>222</v>
      </c>
      <c r="C75" s="55">
        <v>1380</v>
      </c>
      <c r="D75" s="54" t="s">
        <v>153</v>
      </c>
      <c r="E75" s="54" t="s">
        <v>49</v>
      </c>
      <c r="F75" s="57"/>
      <c r="G75" s="57"/>
      <c r="H75" s="58" t="s">
        <v>194</v>
      </c>
      <c r="I75" s="54" t="s">
        <v>139</v>
      </c>
    </row>
    <row r="76" spans="1:9" ht="16">
      <c r="A76" s="53">
        <v>46017</v>
      </c>
      <c r="B76" s="54" t="s">
        <v>223</v>
      </c>
      <c r="C76" s="55">
        <v>1380</v>
      </c>
      <c r="D76" s="54" t="s">
        <v>153</v>
      </c>
      <c r="E76" s="54" t="s">
        <v>49</v>
      </c>
      <c r="F76" s="57"/>
      <c r="G76" s="57"/>
      <c r="H76" s="58" t="s">
        <v>224</v>
      </c>
      <c r="I76" s="54" t="s">
        <v>139</v>
      </c>
    </row>
    <row r="77" spans="1:9">
      <c r="A77" s="49">
        <v>46017</v>
      </c>
      <c r="B77" s="50" t="s">
        <v>225</v>
      </c>
      <c r="C77" s="51">
        <v>1380</v>
      </c>
      <c r="D77" s="50" t="s">
        <v>153</v>
      </c>
      <c r="E77" s="50" t="s">
        <v>49</v>
      </c>
      <c r="F77" s="50"/>
      <c r="G77" s="50"/>
      <c r="H77" s="52" t="s">
        <v>226</v>
      </c>
      <c r="I77" s="50" t="s">
        <v>139</v>
      </c>
    </row>
    <row r="78" spans="1:9" ht="16">
      <c r="A78" s="53">
        <v>46017</v>
      </c>
      <c r="B78" s="54" t="s">
        <v>180</v>
      </c>
      <c r="C78" s="55">
        <v>690</v>
      </c>
      <c r="D78" s="54" t="s">
        <v>141</v>
      </c>
      <c r="E78" s="54" t="s">
        <v>49</v>
      </c>
      <c r="F78" s="57"/>
      <c r="G78" s="57"/>
      <c r="H78" s="58" t="s">
        <v>227</v>
      </c>
      <c r="I78" s="54" t="s">
        <v>139</v>
      </c>
    </row>
    <row r="79" spans="1:9">
      <c r="A79" s="49">
        <v>46017</v>
      </c>
      <c r="B79" s="50" t="s">
        <v>180</v>
      </c>
      <c r="C79" s="51">
        <v>690</v>
      </c>
      <c r="D79" s="50" t="s">
        <v>141</v>
      </c>
      <c r="E79" s="50" t="s">
        <v>50</v>
      </c>
      <c r="F79" s="50"/>
      <c r="G79" s="50"/>
      <c r="H79" s="52" t="s">
        <v>227</v>
      </c>
      <c r="I79" s="50" t="s">
        <v>139</v>
      </c>
    </row>
    <row r="80" spans="1:9" ht="16">
      <c r="A80" s="53">
        <v>46020</v>
      </c>
      <c r="B80" s="54" t="s">
        <v>152</v>
      </c>
      <c r="C80" s="55">
        <v>3200</v>
      </c>
      <c r="D80" s="54" t="s">
        <v>153</v>
      </c>
      <c r="E80" s="54" t="s">
        <v>49</v>
      </c>
      <c r="F80" s="57"/>
      <c r="G80" s="57"/>
      <c r="H80" s="58" t="s">
        <v>228</v>
      </c>
      <c r="I80" s="54" t="s">
        <v>139</v>
      </c>
    </row>
    <row r="81" spans="1:9" ht="28">
      <c r="A81" s="49">
        <v>46024</v>
      </c>
      <c r="B81" s="50" t="s">
        <v>229</v>
      </c>
      <c r="C81" s="51">
        <v>2750</v>
      </c>
      <c r="D81" s="50" t="s">
        <v>153</v>
      </c>
      <c r="E81" s="50" t="s">
        <v>49</v>
      </c>
      <c r="F81" s="50"/>
      <c r="G81" s="50"/>
      <c r="H81" s="52" t="s">
        <v>230</v>
      </c>
      <c r="I81" s="50" t="s">
        <v>139</v>
      </c>
    </row>
    <row r="82" spans="1:9" ht="16">
      <c r="A82" s="53">
        <v>46024</v>
      </c>
      <c r="B82" s="54" t="s">
        <v>231</v>
      </c>
      <c r="C82" s="55">
        <v>1400</v>
      </c>
      <c r="D82" s="54" t="s">
        <v>153</v>
      </c>
      <c r="E82" s="54" t="s">
        <v>49</v>
      </c>
      <c r="F82" s="57"/>
      <c r="G82" s="57"/>
      <c r="H82" s="58" t="s">
        <v>232</v>
      </c>
      <c r="I82" s="54" t="s">
        <v>139</v>
      </c>
    </row>
    <row r="83" spans="1:9">
      <c r="A83" s="49">
        <v>46024</v>
      </c>
      <c r="B83" s="50" t="s">
        <v>233</v>
      </c>
      <c r="C83" s="51">
        <v>1600</v>
      </c>
      <c r="D83" s="50" t="s">
        <v>153</v>
      </c>
      <c r="E83" s="50" t="s">
        <v>49</v>
      </c>
      <c r="F83" s="50"/>
      <c r="G83" s="50"/>
      <c r="H83" s="52" t="s">
        <v>234</v>
      </c>
      <c r="I83" s="50" t="s">
        <v>139</v>
      </c>
    </row>
    <row r="84" spans="1:9" ht="16">
      <c r="A84" s="53">
        <v>46024</v>
      </c>
      <c r="B84" s="54" t="s">
        <v>51</v>
      </c>
      <c r="C84" s="55">
        <v>1200</v>
      </c>
      <c r="D84" s="54" t="s">
        <v>153</v>
      </c>
      <c r="E84" s="54" t="s">
        <v>51</v>
      </c>
      <c r="F84" s="57"/>
      <c r="G84" s="57"/>
      <c r="H84" s="58" t="s">
        <v>235</v>
      </c>
      <c r="I84" s="54" t="s">
        <v>139</v>
      </c>
    </row>
    <row r="85" spans="1:9">
      <c r="A85" s="49">
        <v>46027</v>
      </c>
      <c r="B85" s="50" t="s">
        <v>236</v>
      </c>
      <c r="C85" s="51">
        <v>1250</v>
      </c>
      <c r="D85" s="50" t="s">
        <v>153</v>
      </c>
      <c r="E85" s="50" t="s">
        <v>49</v>
      </c>
      <c r="F85" s="50"/>
      <c r="G85" s="50"/>
      <c r="H85" s="52" t="s">
        <v>237</v>
      </c>
      <c r="I85" s="50" t="s">
        <v>139</v>
      </c>
    </row>
    <row r="86" spans="1:9">
      <c r="A86" s="49">
        <v>46028</v>
      </c>
      <c r="B86" s="50" t="s">
        <v>238</v>
      </c>
      <c r="C86" s="51">
        <v>1380</v>
      </c>
      <c r="D86" s="50" t="s">
        <v>153</v>
      </c>
      <c r="E86" s="50" t="s">
        <v>49</v>
      </c>
      <c r="F86" s="50"/>
      <c r="G86" s="50"/>
      <c r="H86" s="52" t="s">
        <v>239</v>
      </c>
      <c r="I86" s="50" t="s">
        <v>139</v>
      </c>
    </row>
    <row r="87" spans="1:9" ht="16">
      <c r="A87" s="53">
        <v>46029</v>
      </c>
      <c r="B87" s="54" t="s">
        <v>240</v>
      </c>
      <c r="C87" s="55">
        <v>1380</v>
      </c>
      <c r="D87" s="54" t="s">
        <v>153</v>
      </c>
      <c r="E87" s="54" t="s">
        <v>49</v>
      </c>
      <c r="F87" s="57"/>
      <c r="G87" s="57"/>
      <c r="H87" s="58" t="s">
        <v>226</v>
      </c>
      <c r="I87" s="54" t="s">
        <v>139</v>
      </c>
    </row>
    <row r="88" spans="1:9">
      <c r="A88" s="49">
        <v>46032</v>
      </c>
      <c r="B88" s="50" t="s">
        <v>241</v>
      </c>
      <c r="C88" s="51">
        <v>1100</v>
      </c>
      <c r="D88" s="50" t="s">
        <v>153</v>
      </c>
      <c r="E88" s="50" t="s">
        <v>49</v>
      </c>
      <c r="F88" s="50"/>
      <c r="G88" s="50"/>
      <c r="H88" s="52" t="s">
        <v>242</v>
      </c>
      <c r="I88" s="50" t="s">
        <v>139</v>
      </c>
    </row>
    <row r="89" spans="1:9" ht="16">
      <c r="A89" s="53">
        <v>46033</v>
      </c>
      <c r="B89" s="54" t="s">
        <v>243</v>
      </c>
      <c r="C89" s="55">
        <v>1380</v>
      </c>
      <c r="D89" s="54" t="s">
        <v>153</v>
      </c>
      <c r="E89" s="54" t="s">
        <v>49</v>
      </c>
      <c r="F89" s="57"/>
      <c r="G89" s="57"/>
      <c r="H89" s="58" t="s">
        <v>194</v>
      </c>
      <c r="I89" s="54" t="s">
        <v>139</v>
      </c>
    </row>
    <row r="90" spans="1:9">
      <c r="A90" s="49">
        <v>46033</v>
      </c>
      <c r="B90" s="50" t="s">
        <v>244</v>
      </c>
      <c r="C90" s="51">
        <v>1100</v>
      </c>
      <c r="D90" s="50" t="s">
        <v>153</v>
      </c>
      <c r="E90" s="50" t="s">
        <v>49</v>
      </c>
      <c r="F90" s="50"/>
      <c r="G90" s="50"/>
      <c r="H90" s="52" t="s">
        <v>242</v>
      </c>
      <c r="I90" s="50" t="s">
        <v>139</v>
      </c>
    </row>
    <row r="91" spans="1:9" ht="16">
      <c r="A91" s="53">
        <v>46034</v>
      </c>
      <c r="B91" s="54" t="s">
        <v>245</v>
      </c>
      <c r="C91" s="55">
        <v>1100</v>
      </c>
      <c r="D91" s="54" t="s">
        <v>153</v>
      </c>
      <c r="E91" s="54" t="s">
        <v>49</v>
      </c>
      <c r="F91" s="57"/>
      <c r="G91" s="57"/>
      <c r="H91" s="58" t="s">
        <v>242</v>
      </c>
      <c r="I91" s="54" t="s">
        <v>139</v>
      </c>
    </row>
    <row r="92" spans="1:9" ht="28">
      <c r="A92" s="49">
        <v>46034</v>
      </c>
      <c r="B92" s="50" t="s">
        <v>246</v>
      </c>
      <c r="C92" s="51">
        <v>3000</v>
      </c>
      <c r="D92" s="50" t="s">
        <v>141</v>
      </c>
      <c r="E92" s="50" t="s">
        <v>51</v>
      </c>
      <c r="F92" s="50"/>
      <c r="G92" s="50"/>
      <c r="H92" s="52" t="s">
        <v>247</v>
      </c>
      <c r="I92" s="50" t="s">
        <v>139</v>
      </c>
    </row>
    <row r="93" spans="1:9" ht="16">
      <c r="A93" s="53">
        <v>46035</v>
      </c>
      <c r="B93" s="54" t="s">
        <v>248</v>
      </c>
      <c r="C93" s="55">
        <v>1450</v>
      </c>
      <c r="D93" s="54" t="s">
        <v>138</v>
      </c>
      <c r="E93" s="54" t="s">
        <v>49</v>
      </c>
      <c r="F93" s="57"/>
      <c r="G93" s="57"/>
      <c r="H93" s="58" t="s">
        <v>249</v>
      </c>
      <c r="I93" s="54" t="s">
        <v>139</v>
      </c>
    </row>
    <row r="94" spans="1:9">
      <c r="A94" s="49">
        <v>46036</v>
      </c>
      <c r="B94" s="50" t="s">
        <v>250</v>
      </c>
      <c r="C94" s="51">
        <v>1599</v>
      </c>
      <c r="D94" s="50" t="s">
        <v>153</v>
      </c>
      <c r="E94" s="50" t="s">
        <v>49</v>
      </c>
      <c r="F94" s="50"/>
      <c r="G94" s="50"/>
      <c r="H94" s="52" t="s">
        <v>251</v>
      </c>
      <c r="I94" s="50" t="s">
        <v>139</v>
      </c>
    </row>
    <row r="95" spans="1:9" ht="16">
      <c r="A95" s="53">
        <v>46038</v>
      </c>
      <c r="B95" s="54" t="s">
        <v>252</v>
      </c>
      <c r="C95" s="55">
        <v>1100</v>
      </c>
      <c r="D95" s="54" t="s">
        <v>153</v>
      </c>
      <c r="E95" s="54" t="s">
        <v>49</v>
      </c>
      <c r="F95" s="57"/>
      <c r="G95" s="57"/>
      <c r="H95" s="58" t="s">
        <v>242</v>
      </c>
      <c r="I95" s="54" t="s">
        <v>139</v>
      </c>
    </row>
    <row r="96" spans="1:9">
      <c r="A96" s="49">
        <v>46038</v>
      </c>
      <c r="B96" s="50" t="s">
        <v>253</v>
      </c>
      <c r="C96" s="51">
        <v>1650</v>
      </c>
      <c r="D96" s="50" t="s">
        <v>153</v>
      </c>
      <c r="E96" s="50" t="s">
        <v>51</v>
      </c>
      <c r="F96" s="50"/>
      <c r="G96" s="50"/>
      <c r="H96" s="52" t="s">
        <v>254</v>
      </c>
      <c r="I96" s="50" t="s">
        <v>139</v>
      </c>
    </row>
    <row r="97" spans="1:9" ht="32">
      <c r="A97" s="53">
        <v>46039</v>
      </c>
      <c r="B97" s="54" t="s">
        <v>255</v>
      </c>
      <c r="C97" s="55">
        <v>2300</v>
      </c>
      <c r="D97" s="54" t="s">
        <v>141</v>
      </c>
      <c r="E97" s="54" t="s">
        <v>51</v>
      </c>
      <c r="F97" s="57"/>
      <c r="G97" s="57"/>
      <c r="H97" s="58" t="s">
        <v>256</v>
      </c>
      <c r="I97" s="54" t="s">
        <v>139</v>
      </c>
    </row>
    <row r="98" spans="1:9">
      <c r="A98" s="49">
        <v>46040</v>
      </c>
      <c r="B98" s="50" t="s">
        <v>257</v>
      </c>
      <c r="C98" s="51">
        <v>1399</v>
      </c>
      <c r="D98" s="50" t="s">
        <v>153</v>
      </c>
      <c r="E98" s="50" t="s">
        <v>49</v>
      </c>
      <c r="F98" s="50"/>
      <c r="G98" s="50"/>
      <c r="H98" s="52" t="s">
        <v>258</v>
      </c>
      <c r="I98" s="50" t="s">
        <v>139</v>
      </c>
    </row>
    <row r="99" spans="1:9" ht="16">
      <c r="A99" s="53">
        <v>46041</v>
      </c>
      <c r="B99" s="54" t="s">
        <v>259</v>
      </c>
      <c r="C99" s="55">
        <v>1100</v>
      </c>
      <c r="D99" s="54" t="s">
        <v>153</v>
      </c>
      <c r="E99" s="54" t="s">
        <v>49</v>
      </c>
      <c r="F99" s="57"/>
      <c r="G99" s="57"/>
      <c r="H99" s="58" t="s">
        <v>242</v>
      </c>
      <c r="I99" s="54" t="s">
        <v>139</v>
      </c>
    </row>
    <row r="100" spans="1:9">
      <c r="A100" s="49">
        <v>46042</v>
      </c>
      <c r="B100" s="50" t="s">
        <v>260</v>
      </c>
      <c r="C100" s="51">
        <v>1250</v>
      </c>
      <c r="D100" s="50" t="s">
        <v>153</v>
      </c>
      <c r="E100" s="50" t="s">
        <v>49</v>
      </c>
      <c r="F100" s="50"/>
      <c r="G100" s="50"/>
      <c r="H100" s="52" t="s">
        <v>261</v>
      </c>
      <c r="I100" s="50" t="s">
        <v>139</v>
      </c>
    </row>
    <row r="101" spans="1:9" ht="16">
      <c r="A101" s="53">
        <v>46043</v>
      </c>
      <c r="B101" s="54" t="s">
        <v>262</v>
      </c>
      <c r="C101" s="55">
        <v>1380</v>
      </c>
      <c r="D101" s="54" t="s">
        <v>153</v>
      </c>
      <c r="E101" s="54" t="s">
        <v>49</v>
      </c>
      <c r="F101" s="57"/>
      <c r="G101" s="57"/>
      <c r="H101" s="58" t="s">
        <v>263</v>
      </c>
      <c r="I101" s="54" t="s">
        <v>139</v>
      </c>
    </row>
    <row r="102" spans="1:9">
      <c r="A102" s="49">
        <v>46046</v>
      </c>
      <c r="B102" s="50" t="s">
        <v>264</v>
      </c>
      <c r="C102" s="51">
        <v>950</v>
      </c>
      <c r="D102" s="50" t="s">
        <v>153</v>
      </c>
      <c r="E102" s="50" t="s">
        <v>49</v>
      </c>
      <c r="F102" s="50"/>
      <c r="G102" s="50"/>
      <c r="H102" s="52" t="s">
        <v>265</v>
      </c>
      <c r="I102" s="50" t="s">
        <v>139</v>
      </c>
    </row>
    <row r="103" spans="1:9">
      <c r="A103" s="53">
        <v>46048</v>
      </c>
      <c r="B103" s="54" t="s">
        <v>266</v>
      </c>
      <c r="C103" s="55">
        <v>1380</v>
      </c>
      <c r="D103" s="54" t="s">
        <v>153</v>
      </c>
      <c r="E103" s="54" t="s">
        <v>49</v>
      </c>
      <c r="F103" s="57"/>
      <c r="G103" s="57"/>
      <c r="H103" s="52" t="s">
        <v>239</v>
      </c>
      <c r="I103" s="54" t="s">
        <v>139</v>
      </c>
    </row>
    <row r="104" spans="1:9">
      <c r="A104" s="49">
        <v>46048</v>
      </c>
      <c r="B104" s="50" t="s">
        <v>267</v>
      </c>
      <c r="C104" s="51">
        <v>2700</v>
      </c>
      <c r="D104" s="50" t="s">
        <v>153</v>
      </c>
      <c r="E104" s="50" t="s">
        <v>49</v>
      </c>
      <c r="F104" s="50"/>
      <c r="G104" s="50"/>
      <c r="H104" s="52" t="s">
        <v>268</v>
      </c>
      <c r="I104" s="50" t="s">
        <v>139</v>
      </c>
    </row>
    <row r="105" spans="1:9" ht="16">
      <c r="A105" s="53">
        <v>46049</v>
      </c>
      <c r="B105" s="54" t="s">
        <v>269</v>
      </c>
      <c r="C105" s="55">
        <v>1380</v>
      </c>
      <c r="D105" s="54" t="s">
        <v>153</v>
      </c>
      <c r="E105" s="54" t="s">
        <v>49</v>
      </c>
      <c r="F105" s="57"/>
      <c r="G105" s="57"/>
      <c r="H105" s="58" t="s">
        <v>226</v>
      </c>
      <c r="I105" s="54" t="s">
        <v>139</v>
      </c>
    </row>
    <row r="106" spans="1:9">
      <c r="A106" s="49">
        <v>46049</v>
      </c>
      <c r="B106" s="50" t="s">
        <v>270</v>
      </c>
      <c r="C106" s="51">
        <v>1380</v>
      </c>
      <c r="D106" s="50" t="s">
        <v>153</v>
      </c>
      <c r="E106" s="50" t="s">
        <v>49</v>
      </c>
      <c r="F106" s="50"/>
      <c r="G106" s="50"/>
      <c r="H106" s="52" t="s">
        <v>271</v>
      </c>
      <c r="I106" s="50" t="s">
        <v>139</v>
      </c>
    </row>
    <row r="107" spans="1:9" ht="16">
      <c r="A107" s="53">
        <v>46049</v>
      </c>
      <c r="B107" s="54" t="s">
        <v>272</v>
      </c>
      <c r="C107" s="55">
        <v>1200</v>
      </c>
      <c r="D107" s="54" t="s">
        <v>153</v>
      </c>
      <c r="E107" s="54" t="s">
        <v>49</v>
      </c>
      <c r="F107" s="57"/>
      <c r="G107" s="57"/>
      <c r="H107" s="58" t="s">
        <v>273</v>
      </c>
      <c r="I107" s="54" t="s">
        <v>139</v>
      </c>
    </row>
    <row r="108" spans="1:9">
      <c r="A108" s="49">
        <v>46050</v>
      </c>
      <c r="B108" s="50" t="s">
        <v>274</v>
      </c>
      <c r="C108" s="51">
        <v>1250</v>
      </c>
      <c r="D108" s="50" t="s">
        <v>153</v>
      </c>
      <c r="E108" s="50" t="s">
        <v>49</v>
      </c>
      <c r="F108" s="50"/>
      <c r="G108" s="50"/>
      <c r="H108" s="52" t="s">
        <v>275</v>
      </c>
      <c r="I108" s="50" t="s">
        <v>139</v>
      </c>
    </row>
    <row r="109" spans="1:9" ht="16">
      <c r="A109" s="53">
        <v>46051</v>
      </c>
      <c r="B109" s="54" t="s">
        <v>276</v>
      </c>
      <c r="C109" s="55">
        <v>1380</v>
      </c>
      <c r="D109" s="54" t="s">
        <v>153</v>
      </c>
      <c r="E109" s="54" t="s">
        <v>49</v>
      </c>
      <c r="F109" s="57"/>
      <c r="G109" s="57"/>
      <c r="H109" s="58" t="s">
        <v>239</v>
      </c>
      <c r="I109" s="54" t="s">
        <v>139</v>
      </c>
    </row>
    <row r="110" spans="1:9">
      <c r="A110" s="49">
        <v>46051</v>
      </c>
      <c r="B110" s="50" t="s">
        <v>277</v>
      </c>
      <c r="C110" s="51">
        <v>1380</v>
      </c>
      <c r="D110" s="50" t="s">
        <v>153</v>
      </c>
      <c r="E110" s="50" t="s">
        <v>49</v>
      </c>
      <c r="F110" s="50"/>
      <c r="G110" s="50"/>
      <c r="H110" s="52" t="s">
        <v>239</v>
      </c>
      <c r="I110" s="50" t="s">
        <v>139</v>
      </c>
    </row>
    <row r="111" spans="1:9" ht="16">
      <c r="A111" s="53">
        <v>46051</v>
      </c>
      <c r="B111" s="54" t="s">
        <v>255</v>
      </c>
      <c r="C111" s="55">
        <v>580</v>
      </c>
      <c r="D111" s="54" t="s">
        <v>278</v>
      </c>
      <c r="E111" s="54" t="s">
        <v>51</v>
      </c>
      <c r="F111" s="57"/>
      <c r="G111" s="57"/>
      <c r="H111" s="58" t="s">
        <v>279</v>
      </c>
      <c r="I111" s="54" t="s">
        <v>139</v>
      </c>
    </row>
    <row r="112" spans="1:9" ht="28">
      <c r="A112" s="49">
        <v>46054</v>
      </c>
      <c r="B112" s="50" t="s">
        <v>280</v>
      </c>
      <c r="C112" s="51">
        <v>1800</v>
      </c>
      <c r="D112" s="50" t="s">
        <v>153</v>
      </c>
      <c r="E112" s="50" t="s">
        <v>49</v>
      </c>
      <c r="F112" s="50"/>
      <c r="G112" s="50"/>
      <c r="H112" s="52" t="s">
        <v>281</v>
      </c>
      <c r="I112" s="50" t="s">
        <v>139</v>
      </c>
    </row>
    <row r="113" spans="1:9" ht="16">
      <c r="A113" s="53">
        <v>46054</v>
      </c>
      <c r="B113" s="54" t="s">
        <v>282</v>
      </c>
      <c r="C113" s="55">
        <v>1550</v>
      </c>
      <c r="D113" s="54" t="s">
        <v>153</v>
      </c>
      <c r="E113" s="54" t="s">
        <v>49</v>
      </c>
      <c r="F113" s="57"/>
      <c r="G113" s="57"/>
      <c r="H113" s="58" t="s">
        <v>251</v>
      </c>
      <c r="I113" s="54" t="s">
        <v>139</v>
      </c>
    </row>
    <row r="114" spans="1:9">
      <c r="A114" s="49">
        <v>46055</v>
      </c>
      <c r="B114" s="50" t="s">
        <v>148</v>
      </c>
      <c r="C114" s="51">
        <v>1380</v>
      </c>
      <c r="D114" s="50" t="s">
        <v>153</v>
      </c>
      <c r="E114" s="50" t="s">
        <v>49</v>
      </c>
      <c r="F114" s="50"/>
      <c r="G114" s="50"/>
      <c r="H114" s="52" t="s">
        <v>226</v>
      </c>
      <c r="I114" s="50" t="s">
        <v>139</v>
      </c>
    </row>
    <row r="115" spans="1:9" ht="16">
      <c r="A115" s="53">
        <v>46055</v>
      </c>
      <c r="B115" s="54" t="s">
        <v>161</v>
      </c>
      <c r="C115" s="55">
        <v>1380</v>
      </c>
      <c r="D115" s="54" t="s">
        <v>153</v>
      </c>
      <c r="E115" s="54" t="s">
        <v>49</v>
      </c>
      <c r="F115" s="57"/>
      <c r="G115" s="57"/>
      <c r="H115" s="58" t="s">
        <v>283</v>
      </c>
      <c r="I115" s="54" t="s">
        <v>139</v>
      </c>
    </row>
    <row r="116" spans="1:9">
      <c r="A116" s="49">
        <v>46060</v>
      </c>
      <c r="B116" s="50" t="s">
        <v>284</v>
      </c>
      <c r="C116" s="51">
        <v>1050</v>
      </c>
      <c r="D116" s="50" t="s">
        <v>153</v>
      </c>
      <c r="E116" s="50" t="s">
        <v>49</v>
      </c>
      <c r="F116" s="50"/>
      <c r="G116" s="50"/>
      <c r="H116" s="52" t="s">
        <v>285</v>
      </c>
      <c r="I116" s="50" t="s">
        <v>139</v>
      </c>
    </row>
    <row r="117" spans="1:9" ht="16">
      <c r="A117" s="53">
        <v>46062</v>
      </c>
      <c r="B117" s="54" t="s">
        <v>286</v>
      </c>
      <c r="C117" s="55">
        <v>1000</v>
      </c>
      <c r="D117" s="54" t="s">
        <v>153</v>
      </c>
      <c r="E117" s="54" t="s">
        <v>49</v>
      </c>
      <c r="F117" s="57"/>
      <c r="G117" s="57"/>
      <c r="H117" s="58" t="s">
        <v>287</v>
      </c>
      <c r="I117" s="54" t="s">
        <v>139</v>
      </c>
    </row>
    <row r="118" spans="1:9" ht="28">
      <c r="A118" s="49">
        <v>46065</v>
      </c>
      <c r="B118" s="50" t="s">
        <v>288</v>
      </c>
      <c r="C118" s="51">
        <v>799</v>
      </c>
      <c r="D118" s="50" t="s">
        <v>153</v>
      </c>
      <c r="E118" s="50" t="s">
        <v>49</v>
      </c>
      <c r="F118" s="50"/>
      <c r="G118" s="50"/>
      <c r="H118" s="52" t="s">
        <v>289</v>
      </c>
      <c r="I118" s="50" t="s">
        <v>139</v>
      </c>
    </row>
    <row r="119" spans="1:9" ht="16">
      <c r="A119" s="53">
        <v>46055</v>
      </c>
      <c r="B119" s="54" t="s">
        <v>290</v>
      </c>
      <c r="C119" s="55">
        <v>500</v>
      </c>
      <c r="D119" s="54" t="s">
        <v>153</v>
      </c>
      <c r="E119" s="54" t="s">
        <v>49</v>
      </c>
      <c r="F119" s="57"/>
      <c r="G119" s="57"/>
      <c r="H119" s="58" t="s">
        <v>109</v>
      </c>
      <c r="I119" s="54" t="s">
        <v>139</v>
      </c>
    </row>
    <row r="120" spans="1:9" ht="28">
      <c r="A120" s="49">
        <v>46070</v>
      </c>
      <c r="B120" s="50" t="s">
        <v>291</v>
      </c>
      <c r="C120" s="51">
        <v>1450</v>
      </c>
      <c r="D120" s="50" t="s">
        <v>292</v>
      </c>
      <c r="E120" s="50" t="s">
        <v>49</v>
      </c>
      <c r="F120" s="50"/>
      <c r="G120" s="50"/>
      <c r="H120" s="52" t="s">
        <v>293</v>
      </c>
      <c r="I120" s="50" t="s">
        <v>139</v>
      </c>
    </row>
    <row r="121" spans="1:9" ht="16">
      <c r="A121" s="53">
        <v>46073</v>
      </c>
      <c r="B121" s="54" t="s">
        <v>174</v>
      </c>
      <c r="C121" s="55">
        <v>1200</v>
      </c>
      <c r="D121" s="54" t="s">
        <v>153</v>
      </c>
      <c r="E121" s="54" t="s">
        <v>49</v>
      </c>
      <c r="F121" s="57"/>
      <c r="G121" s="57"/>
      <c r="H121" s="58" t="s">
        <v>294</v>
      </c>
      <c r="I121" s="54" t="s">
        <v>139</v>
      </c>
    </row>
    <row r="122" spans="1:9">
      <c r="A122" s="49">
        <v>46074</v>
      </c>
      <c r="B122" s="50" t="s">
        <v>295</v>
      </c>
      <c r="C122" s="51">
        <v>1200</v>
      </c>
      <c r="D122" s="50" t="s">
        <v>153</v>
      </c>
      <c r="E122" s="50" t="s">
        <v>49</v>
      </c>
      <c r="F122" s="50"/>
      <c r="G122" s="50"/>
      <c r="H122" s="52" t="s">
        <v>296</v>
      </c>
      <c r="I122" s="50" t="s">
        <v>139</v>
      </c>
    </row>
    <row r="123" spans="1:9" ht="16">
      <c r="A123" s="53">
        <v>46075</v>
      </c>
      <c r="B123" s="54" t="s">
        <v>297</v>
      </c>
      <c r="C123" s="55">
        <v>1380</v>
      </c>
      <c r="D123" s="54" t="s">
        <v>153</v>
      </c>
      <c r="E123" s="54" t="s">
        <v>49</v>
      </c>
      <c r="F123" s="57"/>
      <c r="G123" s="57"/>
      <c r="H123" s="58" t="s">
        <v>194</v>
      </c>
      <c r="I123" s="54" t="s">
        <v>139</v>
      </c>
    </row>
    <row r="124" spans="1:9" ht="28">
      <c r="A124" s="49">
        <v>46075</v>
      </c>
      <c r="B124" s="50" t="s">
        <v>298</v>
      </c>
      <c r="C124" s="51">
        <v>2550</v>
      </c>
      <c r="D124" s="50" t="s">
        <v>153</v>
      </c>
      <c r="E124" s="50" t="s">
        <v>49</v>
      </c>
      <c r="F124" s="50"/>
      <c r="G124" s="50"/>
      <c r="H124" s="52" t="s">
        <v>299</v>
      </c>
      <c r="I124" s="50" t="s">
        <v>139</v>
      </c>
    </row>
    <row r="125" spans="1:9" ht="32">
      <c r="A125" s="53">
        <v>46079</v>
      </c>
      <c r="B125" s="54" t="s">
        <v>144</v>
      </c>
      <c r="C125" s="55">
        <v>1350</v>
      </c>
      <c r="D125" s="54" t="s">
        <v>153</v>
      </c>
      <c r="E125" s="54" t="s">
        <v>49</v>
      </c>
      <c r="F125" s="57"/>
      <c r="G125" s="57"/>
      <c r="H125" s="58" t="s">
        <v>300</v>
      </c>
      <c r="I125" s="54" t="s">
        <v>139</v>
      </c>
    </row>
    <row r="126" spans="1:9">
      <c r="A126" s="49">
        <v>46079</v>
      </c>
      <c r="B126" s="50" t="s">
        <v>301</v>
      </c>
      <c r="C126" s="51">
        <v>500</v>
      </c>
      <c r="D126" s="50" t="s">
        <v>153</v>
      </c>
      <c r="E126" s="50" t="s">
        <v>49</v>
      </c>
      <c r="F126" s="50"/>
      <c r="G126" s="50"/>
      <c r="H126" s="52" t="s">
        <v>302</v>
      </c>
      <c r="I126" s="50" t="s">
        <v>139</v>
      </c>
    </row>
    <row r="127" spans="1:9">
      <c r="A127" s="53">
        <v>46090</v>
      </c>
      <c r="B127" s="54" t="s">
        <v>303</v>
      </c>
      <c r="C127" s="55">
        <v>850</v>
      </c>
      <c r="D127" s="54" t="s">
        <v>153</v>
      </c>
      <c r="E127" s="54" t="s">
        <v>49</v>
      </c>
      <c r="F127" s="57"/>
      <c r="G127" s="57"/>
      <c r="H127" s="92" t="s">
        <v>304</v>
      </c>
      <c r="I127" s="54" t="s">
        <v>139</v>
      </c>
    </row>
    <row r="128" spans="1:9">
      <c r="A128" s="49">
        <v>46090</v>
      </c>
      <c r="B128" s="50" t="s">
        <v>305</v>
      </c>
      <c r="C128" s="51">
        <v>1100</v>
      </c>
      <c r="D128" s="50" t="s">
        <v>153</v>
      </c>
      <c r="E128" s="50" t="s">
        <v>49</v>
      </c>
      <c r="F128" s="50"/>
      <c r="G128" s="50"/>
      <c r="H128" s="52" t="s">
        <v>306</v>
      </c>
      <c r="I128" s="50" t="s">
        <v>139</v>
      </c>
    </row>
    <row r="129" spans="1:9">
      <c r="A129" s="49">
        <v>46090</v>
      </c>
      <c r="B129" s="50" t="s">
        <v>307</v>
      </c>
      <c r="C129" s="51">
        <v>800</v>
      </c>
      <c r="D129" s="50" t="s">
        <v>153</v>
      </c>
      <c r="E129" s="50" t="s">
        <v>49</v>
      </c>
      <c r="F129" s="50"/>
      <c r="G129" s="50"/>
      <c r="H129" s="52" t="s">
        <v>308</v>
      </c>
      <c r="I129" s="50" t="s">
        <v>139</v>
      </c>
    </row>
    <row r="130" spans="1:9" ht="16">
      <c r="A130" s="53">
        <v>46091</v>
      </c>
      <c r="B130" s="54" t="s">
        <v>309</v>
      </c>
      <c r="C130" s="55">
        <v>1099</v>
      </c>
      <c r="D130" s="54" t="s">
        <v>153</v>
      </c>
      <c r="E130" s="54" t="s">
        <v>49</v>
      </c>
      <c r="F130" s="57"/>
      <c r="G130" s="57"/>
      <c r="H130" s="58" t="s">
        <v>310</v>
      </c>
      <c r="I130" s="54" t="s">
        <v>139</v>
      </c>
    </row>
    <row r="131" spans="1:9">
      <c r="A131" s="49">
        <v>46092</v>
      </c>
      <c r="B131" s="50" t="s">
        <v>298</v>
      </c>
      <c r="C131" s="51">
        <v>1200</v>
      </c>
      <c r="D131" s="50" t="s">
        <v>153</v>
      </c>
      <c r="E131" s="50" t="s">
        <v>49</v>
      </c>
      <c r="F131" s="50"/>
      <c r="G131" s="50"/>
      <c r="H131" s="52" t="s">
        <v>762</v>
      </c>
      <c r="I131" s="50" t="s">
        <v>139</v>
      </c>
    </row>
    <row r="132" spans="1:9" ht="16">
      <c r="A132" s="53">
        <v>46092</v>
      </c>
      <c r="B132" s="54" t="s">
        <v>312</v>
      </c>
      <c r="C132" s="55">
        <v>1099</v>
      </c>
      <c r="D132" s="54" t="s">
        <v>153</v>
      </c>
      <c r="E132" s="54" t="s">
        <v>49</v>
      </c>
      <c r="F132" s="57"/>
      <c r="G132" s="57"/>
      <c r="H132" s="58" t="s">
        <v>313</v>
      </c>
      <c r="I132" s="54" t="s">
        <v>139</v>
      </c>
    </row>
    <row r="133" spans="1:9" ht="28">
      <c r="A133" s="49">
        <v>46093</v>
      </c>
      <c r="B133" s="50" t="s">
        <v>206</v>
      </c>
      <c r="C133" s="51">
        <v>850</v>
      </c>
      <c r="D133" s="50" t="s">
        <v>153</v>
      </c>
      <c r="E133" s="50" t="s">
        <v>49</v>
      </c>
      <c r="F133" s="50"/>
      <c r="G133" s="50"/>
      <c r="H133" s="52" t="s">
        <v>314</v>
      </c>
      <c r="I133" s="50" t="s">
        <v>311</v>
      </c>
    </row>
    <row r="134" spans="1:9" ht="16">
      <c r="A134" s="53">
        <v>46093</v>
      </c>
      <c r="B134" s="54" t="s">
        <v>192</v>
      </c>
      <c r="C134" s="55">
        <v>650</v>
      </c>
      <c r="D134" s="54" t="s">
        <v>153</v>
      </c>
      <c r="E134" s="54" t="s">
        <v>49</v>
      </c>
      <c r="F134" s="57"/>
      <c r="G134" s="57"/>
      <c r="H134" s="58" t="s">
        <v>315</v>
      </c>
      <c r="I134" s="54" t="s">
        <v>139</v>
      </c>
    </row>
    <row r="135" spans="1:9">
      <c r="A135" s="49">
        <v>46097</v>
      </c>
      <c r="B135" s="50" t="s">
        <v>316</v>
      </c>
      <c r="C135" s="51">
        <v>1550</v>
      </c>
      <c r="D135" s="50" t="s">
        <v>153</v>
      </c>
      <c r="E135" s="50" t="s">
        <v>49</v>
      </c>
      <c r="F135" s="50"/>
      <c r="G135" s="50"/>
      <c r="H135" s="52" t="s">
        <v>317</v>
      </c>
      <c r="I135" s="50" t="s">
        <v>139</v>
      </c>
    </row>
    <row r="136" spans="1:9" ht="32">
      <c r="A136" s="53">
        <v>46097</v>
      </c>
      <c r="B136" s="54" t="s">
        <v>318</v>
      </c>
      <c r="C136" s="55">
        <v>850</v>
      </c>
      <c r="D136" s="54" t="s">
        <v>153</v>
      </c>
      <c r="E136" s="54" t="s">
        <v>49</v>
      </c>
      <c r="F136" s="57"/>
      <c r="G136" s="57"/>
      <c r="H136" s="58" t="s">
        <v>319</v>
      </c>
      <c r="I136" s="54" t="s">
        <v>139</v>
      </c>
    </row>
    <row r="137" spans="1:9">
      <c r="A137" s="49">
        <v>46100</v>
      </c>
      <c r="B137" s="50" t="s">
        <v>320</v>
      </c>
      <c r="C137" s="51">
        <v>1200</v>
      </c>
      <c r="D137" s="50" t="s">
        <v>153</v>
      </c>
      <c r="E137" s="50" t="s">
        <v>49</v>
      </c>
      <c r="F137" s="50"/>
      <c r="G137" s="50"/>
      <c r="H137" s="52" t="s">
        <v>114</v>
      </c>
      <c r="I137" s="50" t="s">
        <v>139</v>
      </c>
    </row>
    <row r="138" spans="1:9" ht="16">
      <c r="A138" s="53">
        <v>46104</v>
      </c>
      <c r="B138" s="54" t="s">
        <v>217</v>
      </c>
      <c r="C138" s="55">
        <v>1800</v>
      </c>
      <c r="D138" s="54" t="s">
        <v>141</v>
      </c>
      <c r="E138" s="54" t="s">
        <v>50</v>
      </c>
      <c r="F138" s="57"/>
      <c r="G138" s="57"/>
      <c r="H138" s="58" t="s">
        <v>321</v>
      </c>
      <c r="I138" s="54" t="s">
        <v>139</v>
      </c>
    </row>
    <row r="139" spans="1:9" ht="42">
      <c r="A139" s="49">
        <v>46105</v>
      </c>
      <c r="B139" s="50" t="s">
        <v>137</v>
      </c>
      <c r="C139" s="51">
        <v>3500</v>
      </c>
      <c r="D139" s="50" t="s">
        <v>153</v>
      </c>
      <c r="E139" s="50" t="s">
        <v>49</v>
      </c>
      <c r="F139" s="50"/>
      <c r="G139" s="50"/>
      <c r="H139" s="52" t="s">
        <v>322</v>
      </c>
      <c r="I139" s="50" t="s">
        <v>139</v>
      </c>
    </row>
    <row r="140" spans="1:9" ht="32">
      <c r="A140" s="53">
        <v>46113</v>
      </c>
      <c r="B140" s="54" t="s">
        <v>756</v>
      </c>
      <c r="C140" s="55">
        <v>3000</v>
      </c>
      <c r="D140" s="54" t="s">
        <v>141</v>
      </c>
      <c r="E140" s="54" t="s">
        <v>49</v>
      </c>
      <c r="F140" s="57"/>
      <c r="G140" s="57"/>
      <c r="H140" s="58" t="s">
        <v>757</v>
      </c>
      <c r="I140" s="54" t="s">
        <v>139</v>
      </c>
    </row>
    <row r="141" spans="1:9">
      <c r="A141" s="49">
        <v>46118</v>
      </c>
      <c r="B141" s="50" t="s">
        <v>137</v>
      </c>
      <c r="C141" s="51">
        <v>1450</v>
      </c>
      <c r="D141" s="50" t="s">
        <v>153</v>
      </c>
      <c r="E141" s="50" t="s">
        <v>49</v>
      </c>
      <c r="F141" s="50"/>
      <c r="G141" s="50"/>
      <c r="H141" s="52" t="s">
        <v>763</v>
      </c>
      <c r="I141" s="50" t="s">
        <v>139</v>
      </c>
    </row>
    <row r="142" spans="1:9" ht="16">
      <c r="A142" s="53">
        <v>46119</v>
      </c>
      <c r="B142" s="54" t="s">
        <v>764</v>
      </c>
      <c r="C142" s="55">
        <v>1200</v>
      </c>
      <c r="D142" s="54" t="s">
        <v>153</v>
      </c>
      <c r="E142" s="54" t="s">
        <v>49</v>
      </c>
      <c r="F142" s="57"/>
      <c r="G142" s="57"/>
      <c r="H142" s="58" t="s">
        <v>765</v>
      </c>
      <c r="I142" s="54" t="s">
        <v>139</v>
      </c>
    </row>
    <row r="143" spans="1:9">
      <c r="A143" s="49">
        <v>46120</v>
      </c>
      <c r="B143" s="50" t="s">
        <v>767</v>
      </c>
      <c r="C143" s="51">
        <v>1200</v>
      </c>
      <c r="D143" s="50" t="s">
        <v>153</v>
      </c>
      <c r="E143" s="50" t="s">
        <v>49</v>
      </c>
      <c r="F143" s="50"/>
      <c r="G143" s="50"/>
      <c r="H143" s="52" t="s">
        <v>768</v>
      </c>
      <c r="I143" s="50" t="s">
        <v>139</v>
      </c>
    </row>
    <row r="144" spans="1:9" ht="16">
      <c r="A144" s="53">
        <v>46120</v>
      </c>
      <c r="B144" s="54" t="s">
        <v>770</v>
      </c>
      <c r="C144" s="55">
        <v>1500</v>
      </c>
      <c r="D144" s="54" t="s">
        <v>153</v>
      </c>
      <c r="E144" s="54" t="s">
        <v>49</v>
      </c>
      <c r="F144" s="57"/>
      <c r="G144" s="57"/>
      <c r="H144" s="58" t="s">
        <v>771</v>
      </c>
      <c r="I144" s="54" t="s">
        <v>139</v>
      </c>
    </row>
    <row r="145" spans="1:9">
      <c r="A145" s="49">
        <v>46120</v>
      </c>
      <c r="B145" s="50" t="s">
        <v>49</v>
      </c>
      <c r="C145" s="51">
        <v>730</v>
      </c>
      <c r="D145" s="50" t="s">
        <v>141</v>
      </c>
      <c r="E145" s="50" t="s">
        <v>49</v>
      </c>
      <c r="F145" s="50"/>
      <c r="G145" s="50"/>
      <c r="H145" s="52" t="s">
        <v>784</v>
      </c>
      <c r="I145" s="50" t="s">
        <v>139</v>
      </c>
    </row>
    <row r="146" spans="1:9" ht="32">
      <c r="A146" s="53">
        <v>46122</v>
      </c>
      <c r="B146" s="54" t="s">
        <v>298</v>
      </c>
      <c r="C146" s="55">
        <v>2430</v>
      </c>
      <c r="D146" s="54"/>
      <c r="E146" s="54" t="s">
        <v>49</v>
      </c>
      <c r="F146" s="57"/>
      <c r="G146" s="57"/>
      <c r="H146" s="58" t="s">
        <v>794</v>
      </c>
      <c r="I146" s="54" t="s">
        <v>311</v>
      </c>
    </row>
    <row r="147" spans="1:9">
      <c r="A147" s="49">
        <v>46122</v>
      </c>
      <c r="B147" s="50" t="s">
        <v>796</v>
      </c>
      <c r="C147" s="51">
        <v>650</v>
      </c>
      <c r="D147" s="50" t="s">
        <v>153</v>
      </c>
      <c r="E147" s="50" t="s">
        <v>49</v>
      </c>
      <c r="F147" s="50"/>
      <c r="G147" s="50"/>
      <c r="H147" s="52" t="s">
        <v>795</v>
      </c>
      <c r="I147" s="50" t="s">
        <v>139</v>
      </c>
    </row>
    <row r="148" spans="1:9" ht="16">
      <c r="A148" s="53">
        <v>46122</v>
      </c>
      <c r="B148" s="54" t="s">
        <v>799</v>
      </c>
      <c r="C148" s="55">
        <v>500</v>
      </c>
      <c r="D148" s="54" t="s">
        <v>141</v>
      </c>
      <c r="E148" s="54" t="s">
        <v>49</v>
      </c>
      <c r="F148" s="57"/>
      <c r="G148" s="57"/>
      <c r="H148" s="58" t="s">
        <v>798</v>
      </c>
      <c r="I148" s="54" t="s">
        <v>139</v>
      </c>
    </row>
    <row r="149" spans="1:9">
      <c r="A149" s="49">
        <v>46122</v>
      </c>
      <c r="B149" s="50" t="s">
        <v>144</v>
      </c>
      <c r="C149" s="51">
        <v>1250</v>
      </c>
      <c r="D149" s="50"/>
      <c r="E149" s="50" t="s">
        <v>49</v>
      </c>
      <c r="F149" s="50"/>
      <c r="G149" s="50"/>
      <c r="H149" s="52" t="s">
        <v>775</v>
      </c>
      <c r="I149" s="50" t="s">
        <v>311</v>
      </c>
    </row>
    <row r="150" spans="1:9">
      <c r="A150" s="53"/>
      <c r="B150" s="54"/>
      <c r="C150" s="55"/>
      <c r="D150" s="54"/>
      <c r="E150" s="54"/>
      <c r="F150" s="57"/>
      <c r="G150" s="57"/>
      <c r="H150" s="58"/>
      <c r="I150" s="54"/>
    </row>
    <row r="151" spans="1:9">
      <c r="A151" s="49"/>
      <c r="B151" s="50"/>
      <c r="C151" s="51"/>
      <c r="D151" s="50"/>
      <c r="E151" s="50"/>
      <c r="F151" s="50"/>
      <c r="G151" s="50"/>
      <c r="H151" s="52"/>
      <c r="I151" s="50"/>
    </row>
    <row r="152" spans="1:9">
      <c r="A152" s="53"/>
      <c r="B152" s="54"/>
      <c r="C152" s="55"/>
      <c r="D152" s="54"/>
      <c r="E152" s="54"/>
      <c r="F152" s="57"/>
      <c r="G152" s="57"/>
      <c r="H152" s="58"/>
      <c r="I152" s="54"/>
    </row>
    <row r="153" spans="1:9">
      <c r="A153" s="49"/>
      <c r="B153" s="50"/>
      <c r="C153" s="51"/>
      <c r="D153" s="50"/>
      <c r="E153" s="50"/>
      <c r="F153" s="50"/>
      <c r="G153" s="50"/>
      <c r="H153" s="52"/>
      <c r="I153" s="50"/>
    </row>
    <row r="154" spans="1:9">
      <c r="A154" s="53"/>
      <c r="B154" s="54"/>
      <c r="C154" s="55"/>
      <c r="D154" s="54"/>
      <c r="E154" s="54"/>
      <c r="F154" s="57"/>
      <c r="G154" s="57"/>
      <c r="H154" s="58"/>
      <c r="I154" s="54"/>
    </row>
    <row r="155" spans="1:9">
      <c r="A155" s="49"/>
      <c r="B155" s="50"/>
      <c r="C155" s="51"/>
      <c r="D155" s="50"/>
      <c r="E155" s="50"/>
      <c r="F155" s="50"/>
      <c r="G155" s="50"/>
      <c r="H155" s="52"/>
      <c r="I155" s="50"/>
    </row>
    <row r="156" spans="1:9">
      <c r="A156" s="53"/>
      <c r="B156" s="54"/>
      <c r="C156" s="55"/>
      <c r="D156" s="54"/>
      <c r="E156" s="54"/>
      <c r="F156" s="57"/>
      <c r="G156" s="57"/>
      <c r="H156" s="58"/>
      <c r="I156" s="54"/>
    </row>
    <row r="157" spans="1:9">
      <c r="A157" s="49"/>
      <c r="B157" s="50"/>
      <c r="C157" s="51"/>
      <c r="D157" s="50"/>
      <c r="E157" s="50"/>
      <c r="F157" s="50"/>
      <c r="G157" s="50"/>
      <c r="H157" s="52"/>
      <c r="I157" s="50"/>
    </row>
    <row r="158" spans="1:9">
      <c r="A158" s="53"/>
      <c r="B158" s="54"/>
      <c r="C158" s="55"/>
      <c r="D158" s="54"/>
      <c r="E158" s="54"/>
      <c r="F158" s="57"/>
      <c r="G158" s="57"/>
      <c r="H158" s="58"/>
      <c r="I158" s="54"/>
    </row>
    <row r="159" spans="1:9">
      <c r="A159" s="49"/>
      <c r="B159" s="50"/>
      <c r="C159" s="51"/>
      <c r="D159" s="50"/>
      <c r="E159" s="50"/>
      <c r="F159" s="50"/>
      <c r="G159" s="50"/>
      <c r="H159" s="52"/>
      <c r="I159" s="50"/>
    </row>
    <row r="160" spans="1:9">
      <c r="A160" s="53"/>
      <c r="B160" s="54"/>
      <c r="C160" s="55"/>
      <c r="D160" s="54"/>
      <c r="E160" s="54"/>
      <c r="F160" s="57"/>
      <c r="G160" s="57"/>
      <c r="H160" s="58"/>
      <c r="I160" s="54"/>
    </row>
    <row r="161" spans="1:9">
      <c r="A161" s="49"/>
      <c r="B161" s="50"/>
      <c r="C161" s="51"/>
      <c r="D161" s="50"/>
      <c r="E161" s="50"/>
      <c r="F161" s="50"/>
      <c r="G161" s="50"/>
      <c r="H161" s="52"/>
      <c r="I161" s="50"/>
    </row>
    <row r="162" spans="1:9">
      <c r="A162" s="53"/>
      <c r="B162" s="54"/>
      <c r="C162" s="55"/>
      <c r="D162" s="54"/>
      <c r="E162" s="54"/>
      <c r="F162" s="57"/>
      <c r="G162" s="57"/>
      <c r="H162" s="58"/>
      <c r="I162" s="54"/>
    </row>
    <row r="163" spans="1:9">
      <c r="A163" s="49"/>
      <c r="B163" s="50"/>
      <c r="C163" s="51"/>
      <c r="D163" s="50"/>
      <c r="E163" s="50"/>
      <c r="F163" s="50"/>
      <c r="G163" s="50"/>
      <c r="H163" s="52"/>
      <c r="I163" s="50"/>
    </row>
    <row r="164" spans="1:9">
      <c r="A164" s="53"/>
      <c r="B164" s="54"/>
      <c r="C164" s="55"/>
      <c r="D164" s="54"/>
      <c r="E164" s="54"/>
      <c r="F164" s="57"/>
      <c r="G164" s="57"/>
      <c r="H164" s="58"/>
      <c r="I164" s="54"/>
    </row>
    <row r="165" spans="1:9">
      <c r="A165" s="49"/>
      <c r="B165" s="50"/>
      <c r="C165" s="51"/>
      <c r="D165" s="50"/>
      <c r="E165" s="50"/>
      <c r="F165" s="50"/>
      <c r="G165" s="50"/>
      <c r="H165" s="52"/>
      <c r="I165" s="50"/>
    </row>
    <row r="166" spans="1:9">
      <c r="A166" s="53"/>
      <c r="B166" s="54"/>
      <c r="C166" s="55"/>
      <c r="D166" s="54"/>
      <c r="E166" s="54"/>
      <c r="F166" s="57"/>
      <c r="G166" s="57"/>
      <c r="H166" s="58"/>
      <c r="I166" s="54"/>
    </row>
    <row r="167" spans="1:9">
      <c r="A167" s="49"/>
      <c r="B167" s="50"/>
      <c r="C167" s="51"/>
      <c r="D167" s="50"/>
      <c r="E167" s="50"/>
      <c r="F167" s="50"/>
      <c r="G167" s="50"/>
      <c r="H167" s="52"/>
      <c r="I167" s="50"/>
    </row>
    <row r="168" spans="1:9">
      <c r="A168" s="53"/>
      <c r="B168" s="54"/>
      <c r="C168" s="55"/>
      <c r="D168" s="54"/>
      <c r="E168" s="54"/>
      <c r="F168" s="57"/>
      <c r="G168" s="57"/>
      <c r="H168" s="58"/>
      <c r="I168" s="54"/>
    </row>
    <row r="169" spans="1:9">
      <c r="A169" s="49"/>
      <c r="B169" s="50"/>
      <c r="C169" s="51"/>
      <c r="D169" s="50"/>
      <c r="E169" s="50"/>
      <c r="F169" s="50"/>
      <c r="G169" s="50"/>
      <c r="H169" s="52"/>
      <c r="I169" s="50"/>
    </row>
    <row r="170" spans="1:9">
      <c r="A170" s="53"/>
      <c r="B170" s="54"/>
      <c r="C170" s="55"/>
      <c r="D170" s="54"/>
      <c r="E170" s="54"/>
      <c r="F170" s="57"/>
      <c r="G170" s="57"/>
      <c r="H170" s="58"/>
      <c r="I170" s="54"/>
    </row>
    <row r="171" spans="1:9">
      <c r="A171" s="49"/>
      <c r="B171" s="50"/>
      <c r="C171" s="51"/>
      <c r="D171" s="50"/>
      <c r="E171" s="50"/>
      <c r="F171" s="50"/>
      <c r="G171" s="50"/>
      <c r="H171" s="52"/>
      <c r="I171" s="50"/>
    </row>
    <row r="172" spans="1:9">
      <c r="A172" s="53"/>
      <c r="B172" s="54"/>
      <c r="C172" s="55"/>
      <c r="D172" s="54"/>
      <c r="E172" s="54"/>
      <c r="F172" s="57"/>
      <c r="G172" s="57"/>
      <c r="H172" s="58"/>
      <c r="I172" s="54"/>
    </row>
    <row r="173" spans="1:9">
      <c r="A173" s="49"/>
      <c r="B173" s="50"/>
      <c r="C173" s="51"/>
      <c r="D173" s="50"/>
      <c r="E173" s="50"/>
      <c r="F173" s="50"/>
      <c r="G173" s="50"/>
      <c r="H173" s="52"/>
      <c r="I173" s="50"/>
    </row>
    <row r="174" spans="1:9">
      <c r="A174" s="53"/>
      <c r="B174" s="54"/>
      <c r="C174" s="55"/>
      <c r="D174" s="54"/>
      <c r="E174" s="54"/>
      <c r="F174" s="57"/>
      <c r="G174" s="57"/>
      <c r="H174" s="58"/>
      <c r="I174" s="54"/>
    </row>
    <row r="175" spans="1:9">
      <c r="A175" s="49"/>
      <c r="B175" s="50"/>
      <c r="C175" s="51"/>
      <c r="D175" s="50"/>
      <c r="E175" s="50"/>
      <c r="F175" s="50"/>
      <c r="G175" s="50"/>
      <c r="H175" s="52"/>
      <c r="I175" s="50"/>
    </row>
    <row r="176" spans="1:9">
      <c r="A176" s="53"/>
      <c r="B176" s="54"/>
      <c r="C176" s="55"/>
      <c r="D176" s="54"/>
      <c r="E176" s="54"/>
      <c r="F176" s="57"/>
      <c r="G176" s="57"/>
      <c r="H176" s="58"/>
      <c r="I176" s="54"/>
    </row>
    <row r="177" spans="1:9">
      <c r="A177" s="49"/>
      <c r="B177" s="50"/>
      <c r="C177" s="51"/>
      <c r="D177" s="50"/>
      <c r="E177" s="50"/>
      <c r="F177" s="50"/>
      <c r="G177" s="50"/>
      <c r="H177" s="52"/>
      <c r="I177" s="50"/>
    </row>
    <row r="178" spans="1:9">
      <c r="A178" s="53"/>
      <c r="B178" s="54"/>
      <c r="C178" s="55"/>
      <c r="D178" s="54"/>
      <c r="E178" s="54"/>
      <c r="F178" s="57"/>
      <c r="G178" s="57"/>
      <c r="H178" s="58"/>
      <c r="I178" s="54"/>
    </row>
    <row r="179" spans="1:9">
      <c r="A179" s="49"/>
      <c r="B179" s="50"/>
      <c r="C179" s="51"/>
      <c r="D179" s="50"/>
      <c r="E179" s="50"/>
      <c r="F179" s="50"/>
      <c r="G179" s="50"/>
      <c r="H179" s="52"/>
      <c r="I179" s="50"/>
    </row>
    <row r="180" spans="1:9">
      <c r="A180" s="53"/>
      <c r="B180" s="54"/>
      <c r="C180" s="55"/>
      <c r="D180" s="54"/>
      <c r="E180" s="54"/>
      <c r="F180" s="57"/>
      <c r="G180" s="57"/>
      <c r="H180" s="58"/>
      <c r="I180" s="54"/>
    </row>
    <row r="181" spans="1:9">
      <c r="A181" s="49"/>
      <c r="B181" s="50"/>
      <c r="C181" s="51"/>
      <c r="D181" s="50"/>
      <c r="E181" s="50"/>
      <c r="F181" s="50"/>
      <c r="G181" s="50"/>
      <c r="H181" s="52"/>
      <c r="I181" s="50"/>
    </row>
    <row r="182" spans="1:9">
      <c r="A182" s="53"/>
      <c r="B182" s="54"/>
      <c r="C182" s="55"/>
      <c r="D182" s="54"/>
      <c r="E182" s="54"/>
      <c r="F182" s="57"/>
      <c r="G182" s="57"/>
      <c r="H182" s="58"/>
      <c r="I182" s="54"/>
    </row>
    <row r="183" spans="1:9">
      <c r="A183" s="49"/>
      <c r="B183" s="50"/>
      <c r="C183" s="51"/>
      <c r="D183" s="50"/>
      <c r="E183" s="50"/>
      <c r="F183" s="50"/>
      <c r="G183" s="50"/>
      <c r="H183" s="52"/>
      <c r="I183" s="50"/>
    </row>
    <row r="184" spans="1:9">
      <c r="A184" s="53"/>
      <c r="B184" s="54"/>
      <c r="C184" s="55"/>
      <c r="D184" s="54"/>
      <c r="E184" s="54"/>
      <c r="F184" s="57"/>
      <c r="G184" s="57"/>
      <c r="H184" s="58"/>
      <c r="I184" s="54"/>
    </row>
    <row r="185" spans="1:9">
      <c r="A185" s="49"/>
      <c r="B185" s="50"/>
      <c r="C185" s="51"/>
      <c r="D185" s="50"/>
      <c r="E185" s="50"/>
      <c r="F185" s="50"/>
      <c r="G185" s="50"/>
      <c r="H185" s="52"/>
      <c r="I185" s="50"/>
    </row>
    <row r="186" spans="1:9">
      <c r="A186" s="53"/>
      <c r="B186" s="54"/>
      <c r="C186" s="55"/>
      <c r="D186" s="54"/>
      <c r="E186" s="54"/>
      <c r="F186" s="57"/>
      <c r="G186" s="57"/>
      <c r="H186" s="58"/>
      <c r="I186" s="54"/>
    </row>
    <row r="187" spans="1:9">
      <c r="A187" s="53"/>
      <c r="B187" s="54"/>
      <c r="C187" s="55"/>
      <c r="D187" s="54"/>
      <c r="E187" s="54"/>
      <c r="F187" s="57"/>
      <c r="G187" s="57"/>
      <c r="H187" s="58"/>
      <c r="I187" s="54"/>
    </row>
    <row r="188" spans="1:9">
      <c r="A188" s="49"/>
      <c r="B188" s="50"/>
      <c r="C188" s="51"/>
      <c r="D188" s="50"/>
      <c r="E188" s="50"/>
      <c r="F188" s="50"/>
      <c r="G188" s="50"/>
      <c r="H188" s="52"/>
      <c r="I188" s="50"/>
    </row>
    <row r="189" spans="1:9">
      <c r="A189" s="53"/>
      <c r="B189" s="54"/>
      <c r="C189" s="55"/>
      <c r="D189" s="54"/>
      <c r="E189" s="54"/>
      <c r="F189" s="57"/>
      <c r="G189" s="57"/>
      <c r="H189" s="58"/>
      <c r="I189" s="54"/>
    </row>
    <row r="190" spans="1:9">
      <c r="A190" s="49"/>
      <c r="B190" s="50"/>
      <c r="C190" s="51"/>
      <c r="D190" s="50"/>
      <c r="E190" s="50"/>
      <c r="F190" s="50"/>
      <c r="G190" s="50"/>
      <c r="H190" s="52"/>
      <c r="I190" s="50"/>
    </row>
    <row r="191" spans="1:9">
      <c r="A191" s="53"/>
      <c r="B191" s="54"/>
      <c r="C191" s="55"/>
      <c r="D191" s="54"/>
      <c r="E191" s="54"/>
      <c r="F191" s="57"/>
      <c r="G191" s="57"/>
      <c r="H191" s="58"/>
      <c r="I191" s="54"/>
    </row>
    <row r="192" spans="1:9">
      <c r="A192" s="49"/>
      <c r="B192" s="50"/>
      <c r="C192" s="51"/>
      <c r="D192" s="50"/>
      <c r="E192" s="50"/>
      <c r="F192" s="50"/>
      <c r="G192" s="50"/>
      <c r="H192" s="52"/>
      <c r="I192" s="50"/>
    </row>
    <row r="193" spans="1:9">
      <c r="A193" s="53"/>
      <c r="B193" s="54"/>
      <c r="C193" s="55"/>
      <c r="D193" s="54"/>
      <c r="E193" s="54"/>
      <c r="F193" s="57"/>
      <c r="G193" s="57"/>
      <c r="H193" s="58"/>
      <c r="I193" s="54"/>
    </row>
    <row r="194" spans="1:9">
      <c r="A194" s="49"/>
      <c r="B194" s="50"/>
      <c r="C194" s="51"/>
      <c r="D194" s="50"/>
      <c r="E194" s="50"/>
      <c r="F194" s="50"/>
      <c r="G194" s="50"/>
      <c r="H194" s="52"/>
      <c r="I194" s="50"/>
    </row>
    <row r="195" spans="1:9">
      <c r="A195" s="53"/>
      <c r="B195" s="54"/>
      <c r="C195" s="55"/>
      <c r="D195" s="54"/>
      <c r="E195" s="54"/>
      <c r="F195" s="57"/>
      <c r="G195" s="57"/>
      <c r="H195" s="58"/>
      <c r="I195" s="54"/>
    </row>
    <row r="196" spans="1:9">
      <c r="A196" s="49"/>
      <c r="B196" s="50"/>
      <c r="C196" s="51"/>
      <c r="D196" s="50"/>
      <c r="E196" s="50"/>
      <c r="F196" s="50"/>
      <c r="G196" s="50"/>
      <c r="H196" s="52"/>
      <c r="I196" s="50"/>
    </row>
    <row r="197" spans="1:9">
      <c r="A197" s="53"/>
      <c r="B197" s="54"/>
      <c r="C197" s="55"/>
      <c r="D197" s="54"/>
      <c r="E197" s="54"/>
      <c r="F197" s="57"/>
      <c r="G197" s="57"/>
      <c r="H197" s="58"/>
      <c r="I197" s="54"/>
    </row>
    <row r="198" spans="1:9">
      <c r="A198" s="49"/>
      <c r="B198" s="50"/>
      <c r="C198" s="51"/>
      <c r="D198" s="50"/>
      <c r="E198" s="50"/>
      <c r="F198" s="50"/>
      <c r="G198" s="50"/>
      <c r="H198" s="52"/>
      <c r="I198" s="50"/>
    </row>
    <row r="199" spans="1:9">
      <c r="A199" s="53"/>
      <c r="B199" s="54"/>
      <c r="C199" s="55"/>
      <c r="D199" s="54"/>
      <c r="E199" s="54"/>
      <c r="F199" s="57"/>
      <c r="G199" s="57"/>
      <c r="H199" s="58"/>
      <c r="I199" s="54"/>
    </row>
    <row r="200" spans="1:9">
      <c r="A200" s="49"/>
      <c r="B200" s="50"/>
      <c r="C200" s="51"/>
      <c r="D200" s="50"/>
      <c r="E200" s="50"/>
      <c r="F200" s="50"/>
      <c r="G200" s="50"/>
      <c r="H200" s="52"/>
      <c r="I200" s="50"/>
    </row>
    <row r="201" spans="1:9">
      <c r="A201" s="53"/>
      <c r="B201" s="54"/>
      <c r="C201" s="55"/>
      <c r="D201" s="54"/>
      <c r="E201" s="54"/>
      <c r="F201" s="57"/>
      <c r="G201" s="57"/>
      <c r="H201" s="58"/>
      <c r="I201" s="54"/>
    </row>
    <row r="202" spans="1:9">
      <c r="A202" s="49"/>
      <c r="B202" s="50"/>
      <c r="C202" s="51"/>
      <c r="D202" s="50"/>
      <c r="E202" s="50"/>
      <c r="F202" s="50"/>
      <c r="G202" s="50"/>
      <c r="H202" s="52"/>
      <c r="I202" s="50"/>
    </row>
    <row r="203" spans="1:9">
      <c r="A203" s="53"/>
      <c r="B203" s="54"/>
      <c r="C203" s="55"/>
      <c r="D203" s="54"/>
      <c r="E203" s="54"/>
      <c r="F203" s="57"/>
      <c r="G203" s="57"/>
      <c r="H203" s="58"/>
      <c r="I203" s="54"/>
    </row>
    <row r="204" spans="1:9">
      <c r="A204" s="49"/>
      <c r="B204" s="50"/>
      <c r="C204" s="51"/>
      <c r="D204" s="50"/>
      <c r="E204" s="50"/>
      <c r="F204" s="50"/>
      <c r="G204" s="50"/>
      <c r="H204" s="52"/>
      <c r="I204" s="50"/>
    </row>
    <row r="205" spans="1:9">
      <c r="A205" s="53"/>
      <c r="B205" s="54"/>
      <c r="C205" s="55"/>
      <c r="D205" s="54"/>
      <c r="E205" s="54"/>
      <c r="F205" s="57"/>
      <c r="G205" s="57"/>
      <c r="H205" s="58"/>
      <c r="I205" s="54"/>
    </row>
    <row r="206" spans="1:9">
      <c r="A206" s="49"/>
      <c r="B206" s="50"/>
      <c r="C206" s="51"/>
      <c r="D206" s="50"/>
      <c r="E206" s="50"/>
      <c r="F206" s="50"/>
      <c r="G206" s="50"/>
      <c r="H206" s="52"/>
      <c r="I206" s="50"/>
    </row>
    <row r="207" spans="1:9">
      <c r="A207" s="53"/>
      <c r="B207" s="54"/>
      <c r="C207" s="55"/>
      <c r="D207" s="54"/>
      <c r="E207" s="54"/>
      <c r="F207" s="57"/>
      <c r="G207" s="57"/>
      <c r="H207" s="58"/>
      <c r="I207" s="54"/>
    </row>
    <row r="208" spans="1:9">
      <c r="A208" s="49"/>
      <c r="B208" s="50"/>
      <c r="C208" s="51"/>
      <c r="D208" s="50"/>
      <c r="E208" s="50"/>
      <c r="F208" s="50"/>
      <c r="G208" s="50"/>
      <c r="H208" s="52"/>
      <c r="I208" s="50"/>
    </row>
    <row r="209" spans="1:9">
      <c r="A209" s="53"/>
      <c r="B209" s="54"/>
      <c r="C209" s="55"/>
      <c r="D209" s="54"/>
      <c r="E209" s="54"/>
      <c r="F209" s="57"/>
      <c r="G209" s="57"/>
      <c r="H209" s="58"/>
      <c r="I209" s="54"/>
    </row>
    <row r="210" spans="1:9">
      <c r="A210" s="49"/>
      <c r="B210" s="50"/>
      <c r="C210" s="51"/>
      <c r="D210" s="50"/>
      <c r="E210" s="50"/>
      <c r="F210" s="50"/>
      <c r="G210" s="50"/>
      <c r="H210" s="52"/>
      <c r="I210" s="50"/>
    </row>
    <row r="211" spans="1:9">
      <c r="A211" s="53"/>
      <c r="B211" s="54"/>
      <c r="C211" s="55"/>
      <c r="D211" s="54"/>
      <c r="E211" s="54"/>
      <c r="F211" s="57"/>
      <c r="G211" s="57"/>
      <c r="H211" s="58"/>
      <c r="I211" s="54"/>
    </row>
    <row r="212" spans="1:9">
      <c r="A212" s="49"/>
      <c r="B212" s="50"/>
      <c r="C212" s="51"/>
      <c r="D212" s="50"/>
      <c r="E212" s="50"/>
      <c r="F212" s="50"/>
      <c r="G212" s="50"/>
      <c r="H212" s="52"/>
      <c r="I212" s="50"/>
    </row>
    <row r="213" spans="1:9">
      <c r="A213" s="53"/>
      <c r="B213" s="54"/>
      <c r="C213" s="55"/>
      <c r="D213" s="54"/>
      <c r="E213" s="54"/>
      <c r="F213" s="57"/>
      <c r="G213" s="57"/>
      <c r="H213" s="58"/>
      <c r="I213" s="54"/>
    </row>
    <row r="214" spans="1:9">
      <c r="A214" s="49"/>
      <c r="B214" s="50"/>
      <c r="C214" s="51"/>
      <c r="D214" s="50"/>
      <c r="E214" s="50"/>
      <c r="F214" s="50"/>
      <c r="G214" s="50"/>
      <c r="H214" s="52"/>
      <c r="I214" s="50"/>
    </row>
    <row r="215" spans="1:9">
      <c r="A215" s="53"/>
      <c r="B215" s="54"/>
      <c r="C215" s="55"/>
      <c r="D215" s="54"/>
      <c r="E215" s="54"/>
      <c r="F215" s="57"/>
      <c r="G215" s="57"/>
      <c r="H215" s="58"/>
      <c r="I215" s="54"/>
    </row>
    <row r="216" spans="1:9">
      <c r="A216" s="49"/>
      <c r="B216" s="50"/>
      <c r="C216" s="51"/>
      <c r="D216" s="50"/>
      <c r="E216" s="50"/>
      <c r="F216" s="50"/>
      <c r="G216" s="50"/>
      <c r="H216" s="52"/>
      <c r="I216" s="50"/>
    </row>
    <row r="217" spans="1:9">
      <c r="A217" s="53"/>
      <c r="B217" s="54"/>
      <c r="C217" s="55"/>
      <c r="D217" s="54"/>
      <c r="E217" s="54"/>
      <c r="F217" s="57"/>
      <c r="G217" s="57"/>
      <c r="H217" s="58"/>
      <c r="I217" s="54"/>
    </row>
    <row r="218" spans="1:9">
      <c r="A218" s="49"/>
      <c r="B218" s="50"/>
      <c r="C218" s="51"/>
      <c r="D218" s="50"/>
      <c r="E218" s="50"/>
      <c r="F218" s="50"/>
      <c r="G218" s="50"/>
      <c r="H218" s="52"/>
      <c r="I218" s="50"/>
    </row>
    <row r="219" spans="1:9">
      <c r="A219" s="53"/>
      <c r="B219" s="54"/>
      <c r="C219" s="55"/>
      <c r="D219" s="54"/>
      <c r="E219" s="54"/>
      <c r="F219" s="57"/>
      <c r="G219" s="57"/>
      <c r="H219" s="58"/>
      <c r="I219" s="54"/>
    </row>
    <row r="220" spans="1:9">
      <c r="A220" s="49"/>
      <c r="B220" s="50"/>
      <c r="C220" s="51"/>
      <c r="D220" s="50"/>
      <c r="E220" s="50"/>
      <c r="F220" s="50"/>
      <c r="G220" s="50"/>
      <c r="H220" s="52"/>
      <c r="I220" s="50"/>
    </row>
    <row r="221" spans="1:9">
      <c r="A221" s="53"/>
      <c r="B221" s="54"/>
      <c r="C221" s="55"/>
      <c r="D221" s="54"/>
      <c r="E221" s="54"/>
      <c r="F221" s="57"/>
      <c r="G221" s="57"/>
      <c r="H221" s="58"/>
      <c r="I221" s="54"/>
    </row>
    <row r="222" spans="1:9">
      <c r="A222" s="49"/>
      <c r="B222" s="50"/>
      <c r="C222" s="51"/>
      <c r="D222" s="50"/>
      <c r="E222" s="50"/>
      <c r="F222" s="50"/>
      <c r="G222" s="50"/>
      <c r="H222" s="52"/>
      <c r="I222" s="50"/>
    </row>
    <row r="223" spans="1:9">
      <c r="A223" s="53"/>
      <c r="B223" s="54"/>
      <c r="C223" s="55"/>
      <c r="D223" s="54"/>
      <c r="E223" s="54"/>
      <c r="F223" s="57"/>
      <c r="G223" s="57"/>
      <c r="H223" s="58"/>
      <c r="I223" s="54"/>
    </row>
    <row r="224" spans="1:9">
      <c r="A224" s="49"/>
      <c r="B224" s="50"/>
      <c r="C224" s="51"/>
      <c r="D224" s="50"/>
      <c r="E224" s="50"/>
      <c r="F224" s="50"/>
      <c r="G224" s="50"/>
      <c r="H224" s="52"/>
      <c r="I224" s="50"/>
    </row>
    <row r="225" spans="1:9">
      <c r="A225" s="53"/>
      <c r="B225" s="54"/>
      <c r="C225" s="55"/>
      <c r="D225" s="54"/>
      <c r="E225" s="54"/>
      <c r="F225" s="57"/>
      <c r="G225" s="57"/>
      <c r="H225" s="58"/>
      <c r="I225" s="54"/>
    </row>
    <row r="226" spans="1:9">
      <c r="A226" s="49"/>
      <c r="B226" s="50"/>
      <c r="C226" s="51"/>
      <c r="D226" s="50"/>
      <c r="E226" s="50"/>
      <c r="F226" s="50"/>
      <c r="G226" s="50"/>
      <c r="H226" s="52"/>
      <c r="I226" s="50"/>
    </row>
    <row r="227" spans="1:9">
      <c r="A227" s="53"/>
      <c r="B227" s="54"/>
      <c r="C227" s="55"/>
      <c r="D227" s="54"/>
      <c r="E227" s="54"/>
      <c r="F227" s="57"/>
      <c r="G227" s="57"/>
      <c r="H227" s="58"/>
      <c r="I227" s="54"/>
    </row>
    <row r="228" spans="1:9">
      <c r="A228" s="49"/>
      <c r="B228" s="50"/>
      <c r="C228" s="51"/>
      <c r="D228" s="50"/>
      <c r="E228" s="50"/>
      <c r="F228" s="50"/>
      <c r="G228" s="50"/>
      <c r="H228" s="52"/>
      <c r="I228" s="50"/>
    </row>
    <row r="229" spans="1:9">
      <c r="A229" s="53"/>
      <c r="B229" s="54"/>
      <c r="C229" s="55"/>
      <c r="D229" s="54"/>
      <c r="E229" s="54"/>
      <c r="F229" s="57"/>
      <c r="G229" s="57"/>
      <c r="H229" s="58"/>
      <c r="I229" s="54"/>
    </row>
    <row r="230" spans="1:9">
      <c r="A230" s="49"/>
      <c r="B230" s="50"/>
      <c r="C230" s="51"/>
      <c r="D230" s="50"/>
      <c r="E230" s="50"/>
      <c r="F230" s="50"/>
      <c r="G230" s="50"/>
      <c r="H230" s="52"/>
      <c r="I230" s="50"/>
    </row>
    <row r="231" spans="1:9">
      <c r="A231" s="53"/>
      <c r="B231" s="54"/>
      <c r="C231" s="55"/>
      <c r="D231" s="54"/>
      <c r="E231" s="54"/>
      <c r="F231" s="57"/>
      <c r="G231" s="57"/>
      <c r="H231" s="58"/>
      <c r="I231" s="54"/>
    </row>
    <row r="232" spans="1:9">
      <c r="A232" s="49"/>
      <c r="B232" s="50"/>
      <c r="C232" s="51"/>
      <c r="D232" s="50"/>
      <c r="E232" s="50"/>
      <c r="F232" s="50"/>
      <c r="G232" s="50"/>
      <c r="H232" s="52"/>
      <c r="I232" s="50"/>
    </row>
    <row r="233" spans="1:9">
      <c r="A233" s="53"/>
      <c r="B233" s="54"/>
      <c r="C233" s="55"/>
      <c r="D233" s="54"/>
      <c r="E233" s="54"/>
      <c r="F233" s="57"/>
      <c r="G233" s="57"/>
      <c r="H233" s="58"/>
      <c r="I233" s="54"/>
    </row>
    <row r="234" spans="1:9">
      <c r="A234" s="49"/>
      <c r="B234" s="50"/>
      <c r="C234" s="51"/>
      <c r="D234" s="50"/>
      <c r="E234" s="50"/>
      <c r="F234" s="50"/>
      <c r="G234" s="50"/>
      <c r="H234" s="52"/>
      <c r="I234" s="50"/>
    </row>
    <row r="235" spans="1:9">
      <c r="A235" s="53"/>
      <c r="B235" s="54"/>
      <c r="C235" s="55"/>
      <c r="D235" s="54"/>
      <c r="E235" s="54"/>
      <c r="F235" s="57"/>
      <c r="G235" s="57"/>
      <c r="H235" s="58"/>
      <c r="I235" s="54"/>
    </row>
    <row r="236" spans="1:9">
      <c r="A236" s="49"/>
      <c r="B236" s="50"/>
      <c r="C236" s="51"/>
      <c r="D236" s="50"/>
      <c r="E236" s="50"/>
      <c r="F236" s="50"/>
      <c r="G236" s="50"/>
      <c r="H236" s="52"/>
      <c r="I236" s="50"/>
    </row>
    <row r="237" spans="1:9">
      <c r="A237" s="53"/>
      <c r="B237" s="54"/>
      <c r="C237" s="55"/>
      <c r="D237" s="54"/>
      <c r="E237" s="54"/>
      <c r="F237" s="57"/>
      <c r="G237" s="57"/>
      <c r="H237" s="58"/>
      <c r="I237" s="54"/>
    </row>
    <row r="238" spans="1:9">
      <c r="A238" s="49"/>
      <c r="B238" s="50"/>
      <c r="C238" s="51"/>
      <c r="D238" s="50"/>
      <c r="E238" s="50"/>
      <c r="F238" s="50"/>
      <c r="G238" s="50"/>
      <c r="H238" s="52"/>
      <c r="I238" s="50"/>
    </row>
    <row r="239" spans="1:9">
      <c r="A239" s="53"/>
      <c r="B239" s="54"/>
      <c r="C239" s="55"/>
      <c r="D239" s="54"/>
      <c r="E239" s="54"/>
      <c r="F239" s="57"/>
      <c r="G239" s="57"/>
      <c r="H239" s="58"/>
      <c r="I239" s="54"/>
    </row>
    <row r="240" spans="1:9">
      <c r="A240" s="49"/>
      <c r="B240" s="50"/>
      <c r="C240" s="51"/>
      <c r="D240" s="50"/>
      <c r="E240" s="50"/>
      <c r="F240" s="50"/>
      <c r="G240" s="50"/>
      <c r="H240" s="52"/>
      <c r="I240" s="50"/>
    </row>
    <row r="241" spans="1:9">
      <c r="A241" s="53"/>
      <c r="B241" s="54"/>
      <c r="C241" s="55"/>
      <c r="D241" s="54"/>
      <c r="E241" s="54"/>
      <c r="F241" s="57"/>
      <c r="G241" s="57"/>
      <c r="H241" s="58"/>
      <c r="I241" s="54"/>
    </row>
    <row r="242" spans="1:9">
      <c r="A242" s="49"/>
      <c r="B242" s="50"/>
      <c r="C242" s="51"/>
      <c r="D242" s="50"/>
      <c r="E242" s="50"/>
      <c r="F242" s="50"/>
      <c r="G242" s="50"/>
      <c r="H242" s="52"/>
      <c r="I242" s="50"/>
    </row>
    <row r="243" spans="1:9">
      <c r="A243" s="53"/>
      <c r="B243" s="54"/>
      <c r="C243" s="55"/>
      <c r="D243" s="54"/>
      <c r="E243" s="54"/>
      <c r="F243" s="57"/>
      <c r="G243" s="57"/>
      <c r="H243" s="58"/>
      <c r="I243" s="54"/>
    </row>
    <row r="244" spans="1:9">
      <c r="A244" s="49"/>
      <c r="B244" s="50"/>
      <c r="C244" s="51"/>
      <c r="D244" s="50"/>
      <c r="E244" s="50"/>
      <c r="F244" s="50"/>
      <c r="G244" s="50"/>
      <c r="H244" s="52"/>
      <c r="I244" s="50"/>
    </row>
    <row r="245" spans="1:9">
      <c r="A245" s="53"/>
      <c r="B245" s="54"/>
      <c r="C245" s="55"/>
      <c r="D245" s="54"/>
      <c r="E245" s="54"/>
      <c r="F245" s="57"/>
      <c r="G245" s="57"/>
      <c r="H245" s="58"/>
      <c r="I245" s="54"/>
    </row>
    <row r="246" spans="1:9">
      <c r="A246" s="49"/>
      <c r="B246" s="50"/>
      <c r="C246" s="51"/>
      <c r="D246" s="50"/>
      <c r="E246" s="50"/>
      <c r="F246" s="50"/>
      <c r="G246" s="50"/>
      <c r="H246" s="52"/>
      <c r="I246" s="50"/>
    </row>
    <row r="247" spans="1:9">
      <c r="A247" s="53"/>
      <c r="B247" s="54"/>
      <c r="C247" s="55"/>
      <c r="D247" s="54"/>
      <c r="E247" s="54"/>
      <c r="F247" s="57"/>
      <c r="G247" s="57"/>
      <c r="H247" s="58"/>
      <c r="I247" s="54"/>
    </row>
    <row r="248" spans="1:9">
      <c r="A248" s="49"/>
      <c r="B248" s="50"/>
      <c r="C248" s="51"/>
      <c r="D248" s="50"/>
      <c r="E248" s="50"/>
      <c r="F248" s="50"/>
      <c r="G248" s="50"/>
      <c r="H248" s="52"/>
      <c r="I248" s="50"/>
    </row>
    <row r="249" spans="1:9">
      <c r="A249" s="53"/>
      <c r="B249" s="54"/>
      <c r="C249" s="55"/>
      <c r="D249" s="54"/>
      <c r="E249" s="54"/>
      <c r="F249" s="57"/>
      <c r="G249" s="57"/>
      <c r="H249" s="58"/>
      <c r="I249" s="54"/>
    </row>
    <row r="250" spans="1:9">
      <c r="A250" s="49"/>
      <c r="B250" s="50"/>
      <c r="C250" s="51"/>
      <c r="D250" s="50"/>
      <c r="E250" s="50"/>
      <c r="F250" s="50"/>
      <c r="G250" s="50"/>
      <c r="H250" s="52"/>
      <c r="I250" s="50"/>
    </row>
    <row r="251" spans="1:9">
      <c r="A251" s="53"/>
      <c r="B251" s="54"/>
      <c r="C251" s="55"/>
      <c r="D251" s="54"/>
      <c r="E251" s="54"/>
      <c r="F251" s="57"/>
      <c r="G251" s="57"/>
      <c r="H251" s="58"/>
      <c r="I251" s="54"/>
    </row>
    <row r="252" spans="1:9">
      <c r="A252" s="49"/>
      <c r="B252" s="50"/>
      <c r="C252" s="51"/>
      <c r="D252" s="50"/>
      <c r="E252" s="50"/>
      <c r="F252" s="50"/>
      <c r="G252" s="50"/>
      <c r="H252" s="52"/>
      <c r="I252" s="50"/>
    </row>
    <row r="253" spans="1:9">
      <c r="A253" s="53"/>
      <c r="B253" s="54"/>
      <c r="C253" s="55"/>
      <c r="D253" s="54"/>
      <c r="E253" s="54"/>
      <c r="F253" s="57"/>
      <c r="G253" s="57"/>
      <c r="H253" s="58"/>
      <c r="I253" s="54"/>
    </row>
    <row r="254" spans="1:9">
      <c r="A254" s="49"/>
      <c r="B254" s="50"/>
      <c r="C254" s="51"/>
      <c r="D254" s="50"/>
      <c r="E254" s="50"/>
      <c r="F254" s="50"/>
      <c r="G254" s="50"/>
      <c r="H254" s="52"/>
      <c r="I254" s="50"/>
    </row>
    <row r="255" spans="1:9">
      <c r="A255" s="53"/>
      <c r="B255" s="54"/>
      <c r="C255" s="55"/>
      <c r="D255" s="54"/>
      <c r="E255" s="54"/>
      <c r="F255" s="57"/>
      <c r="G255" s="57"/>
      <c r="H255" s="58"/>
      <c r="I255" s="54"/>
    </row>
    <row r="256" spans="1:9">
      <c r="A256" s="49"/>
      <c r="B256" s="50"/>
      <c r="C256" s="51"/>
      <c r="D256" s="50"/>
      <c r="E256" s="50"/>
      <c r="F256" s="50"/>
      <c r="G256" s="50"/>
      <c r="H256" s="52"/>
      <c r="I256" s="50"/>
    </row>
    <row r="257" spans="1:9">
      <c r="A257" s="53"/>
      <c r="B257" s="54"/>
      <c r="C257" s="55"/>
      <c r="D257" s="54"/>
      <c r="E257" s="54"/>
      <c r="F257" s="57"/>
      <c r="G257" s="57"/>
      <c r="H257" s="58"/>
      <c r="I257" s="54"/>
    </row>
    <row r="258" spans="1:9">
      <c r="A258" s="49"/>
      <c r="B258" s="50"/>
      <c r="C258" s="51"/>
      <c r="D258" s="50"/>
      <c r="E258" s="50"/>
      <c r="F258" s="50"/>
      <c r="G258" s="50"/>
      <c r="H258" s="52"/>
      <c r="I258" s="50"/>
    </row>
    <row r="259" spans="1:9">
      <c r="A259" s="53"/>
      <c r="B259" s="54"/>
      <c r="C259" s="55"/>
      <c r="D259" s="54"/>
      <c r="E259" s="54"/>
      <c r="F259" s="57"/>
      <c r="G259" s="57"/>
      <c r="H259" s="58"/>
      <c r="I259" s="54"/>
    </row>
    <row r="260" spans="1:9">
      <c r="A260" s="49"/>
      <c r="B260" s="50"/>
      <c r="C260" s="51"/>
      <c r="D260" s="50"/>
      <c r="E260" s="50"/>
      <c r="F260" s="50"/>
      <c r="G260" s="50"/>
      <c r="H260" s="52"/>
      <c r="I260" s="50"/>
    </row>
    <row r="261" spans="1:9">
      <c r="A261" s="60"/>
      <c r="B261" s="61"/>
      <c r="C261" s="62"/>
      <c r="D261" s="61"/>
      <c r="E261" s="61"/>
      <c r="I261" s="61"/>
    </row>
  </sheetData>
  <autoFilter ref="A1:I140" xr:uid="{00000000-0001-0000-0400-000000000000}"/>
  <dataValidations count="1">
    <dataValidation type="list" allowBlank="1" showInputMessage="1" showErrorMessage="1" sqref="G2:G1261" xr:uid="{00000000-0002-0000-0400-000000000000}">
      <formula1>"Ordered,Pending,Completed,Cancelled"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4"/>
  <sheetViews>
    <sheetView zoomScaleNormal="100" workbookViewId="0">
      <pane ySplit="1" topLeftCell="A146" activePane="bottomLeft" state="frozen"/>
      <selection pane="bottomLeft" activeCell="B165" sqref="B165"/>
    </sheetView>
  </sheetViews>
  <sheetFormatPr baseColWidth="10" defaultColWidth="7" defaultRowHeight="14"/>
  <cols>
    <col min="1" max="1" width="10" style="63" customWidth="1"/>
    <col min="2" max="2" width="94.33203125" style="63" customWidth="1"/>
    <col min="3" max="3" width="13.83203125" style="63" customWidth="1"/>
    <col min="4" max="4" width="16.33203125" style="63" customWidth="1"/>
    <col min="5" max="5" width="14.33203125" style="63" customWidth="1"/>
    <col min="6" max="6" width="8.1640625" style="63" customWidth="1"/>
    <col min="7" max="7" width="11.1640625" style="63" customWidth="1"/>
    <col min="8" max="8" width="13.5" style="63" customWidth="1"/>
    <col min="9" max="9" width="15.1640625" style="63" customWidth="1"/>
    <col min="10" max="10" width="13.83203125" style="63" customWidth="1"/>
    <col min="11" max="11" width="13.6640625" style="63" customWidth="1"/>
    <col min="12" max="12" width="59" style="63" customWidth="1"/>
    <col min="13" max="13" width="20.6640625" style="63" customWidth="1"/>
    <col min="14" max="14" width="13" style="63" customWidth="1"/>
    <col min="15" max="15" width="22.33203125" style="63" customWidth="1"/>
    <col min="16" max="16" width="41" style="63" customWidth="1"/>
    <col min="17" max="17" width="14.83203125" style="63" customWidth="1"/>
    <col min="18" max="18" width="11.1640625" style="63" customWidth="1"/>
    <col min="19" max="20" width="10" style="64" customWidth="1"/>
    <col min="21" max="16384" width="7" style="63"/>
  </cols>
  <sheetData>
    <row r="1" spans="1:20" s="66" customFormat="1" ht="34">
      <c r="A1" s="65" t="s">
        <v>323</v>
      </c>
      <c r="B1" s="65" t="s">
        <v>324</v>
      </c>
      <c r="C1" s="65" t="s">
        <v>93</v>
      </c>
      <c r="D1" s="65" t="s">
        <v>325</v>
      </c>
      <c r="E1" s="65" t="s">
        <v>326</v>
      </c>
      <c r="F1" s="65" t="s">
        <v>80</v>
      </c>
      <c r="G1" s="65" t="s">
        <v>82</v>
      </c>
      <c r="H1" s="65" t="s">
        <v>327</v>
      </c>
      <c r="I1" s="65" t="s">
        <v>328</v>
      </c>
      <c r="J1" s="65" t="s">
        <v>329</v>
      </c>
      <c r="K1" s="65" t="s">
        <v>330</v>
      </c>
      <c r="L1" s="65" t="s">
        <v>331</v>
      </c>
      <c r="M1" s="65" t="s">
        <v>132</v>
      </c>
      <c r="N1" s="65" t="s">
        <v>136</v>
      </c>
      <c r="O1" s="65" t="s">
        <v>133</v>
      </c>
      <c r="P1" s="65" t="s">
        <v>134</v>
      </c>
      <c r="Q1" s="65" t="s">
        <v>135</v>
      </c>
      <c r="R1" s="65" t="s">
        <v>332</v>
      </c>
      <c r="S1" s="65" t="s">
        <v>333</v>
      </c>
      <c r="T1" s="65" t="s">
        <v>334</v>
      </c>
    </row>
    <row r="2" spans="1:20" s="69" customFormat="1" ht="15">
      <c r="A2" s="67" t="s">
        <v>335</v>
      </c>
      <c r="B2" s="67" t="s">
        <v>336</v>
      </c>
      <c r="C2" s="67" t="s">
        <v>95</v>
      </c>
      <c r="D2" s="68">
        <v>779</v>
      </c>
      <c r="E2" s="68">
        <v>1250</v>
      </c>
      <c r="F2" s="68">
        <v>1</v>
      </c>
      <c r="G2" s="68">
        <v>0</v>
      </c>
      <c r="H2" s="67">
        <f t="shared" ref="H2:H33" si="0">F2+IF(LEN(G2)=0,0,G2)</f>
        <v>1</v>
      </c>
      <c r="I2" s="67">
        <f>IF(D2&lt;&gt;"",D2,IFERROR(E2/(IFERROR(SUM(Sales!C:C),0))*(IFERROR(SUM(Purchases!C:C),0)),0))</f>
        <v>779</v>
      </c>
      <c r="J2" s="67">
        <f t="shared" ref="J2:J33" si="1">F2*I2</f>
        <v>779</v>
      </c>
      <c r="K2" s="67">
        <f t="shared" ref="K2:K33" si="2">IF(LEN(G2)=0,0,G2)*I2</f>
        <v>0</v>
      </c>
      <c r="L2" s="67" t="s">
        <v>137</v>
      </c>
      <c r="M2" s="67" t="s">
        <v>49</v>
      </c>
      <c r="N2" s="67" t="s">
        <v>337</v>
      </c>
      <c r="O2" s="67"/>
      <c r="P2" s="67"/>
      <c r="Q2" s="67"/>
      <c r="R2" s="67"/>
      <c r="S2" s="67"/>
      <c r="T2" s="67"/>
    </row>
    <row r="3" spans="1:20" ht="15">
      <c r="A3" s="59" t="s">
        <v>338</v>
      </c>
      <c r="B3" s="59" t="s">
        <v>339</v>
      </c>
      <c r="C3" s="59" t="s">
        <v>95</v>
      </c>
      <c r="D3" s="70">
        <v>1096</v>
      </c>
      <c r="E3" s="70">
        <v>1600</v>
      </c>
      <c r="F3" s="70">
        <v>1</v>
      </c>
      <c r="G3" s="70">
        <v>0</v>
      </c>
      <c r="H3" s="59">
        <f t="shared" si="0"/>
        <v>1</v>
      </c>
      <c r="I3" s="59">
        <f>IF(D3&lt;&gt;"",D3,IFERROR(E3/(IFERROR(SUM(Sales!C:C),0))*(IFERROR(SUM(Purchases!C:C),0)),0))</f>
        <v>1096</v>
      </c>
      <c r="J3" s="59">
        <f t="shared" si="1"/>
        <v>1096</v>
      </c>
      <c r="K3" s="59">
        <f t="shared" si="2"/>
        <v>0</v>
      </c>
      <c r="L3" s="59" t="s">
        <v>140</v>
      </c>
      <c r="M3" s="59" t="s">
        <v>49</v>
      </c>
      <c r="N3" s="59" t="s">
        <v>337</v>
      </c>
      <c r="O3" s="59"/>
      <c r="P3" s="59"/>
      <c r="Q3" s="59"/>
      <c r="R3" s="59"/>
      <c r="S3" s="59"/>
      <c r="T3" s="59"/>
    </row>
    <row r="4" spans="1:20" ht="15">
      <c r="A4" s="67" t="s">
        <v>340</v>
      </c>
      <c r="B4" s="71" t="s">
        <v>341</v>
      </c>
      <c r="C4" s="71" t="s">
        <v>95</v>
      </c>
      <c r="D4" s="72">
        <v>1048</v>
      </c>
      <c r="E4" s="72">
        <v>2000</v>
      </c>
      <c r="F4" s="72">
        <v>1</v>
      </c>
      <c r="G4" s="72">
        <v>0</v>
      </c>
      <c r="H4" s="71">
        <f t="shared" si="0"/>
        <v>1</v>
      </c>
      <c r="I4" s="71">
        <f>IF(D4&lt;&gt;"",D4,IFERROR(E4/(IFERROR(SUM(Sales!C:C),0))*(IFERROR(SUM(Purchases!C:C),0)),0))</f>
        <v>1048</v>
      </c>
      <c r="J4" s="71">
        <f t="shared" si="1"/>
        <v>1048</v>
      </c>
      <c r="K4" s="71">
        <f t="shared" si="2"/>
        <v>0</v>
      </c>
      <c r="L4" s="71" t="s">
        <v>143</v>
      </c>
      <c r="M4" s="71" t="s">
        <v>49</v>
      </c>
      <c r="N4" s="71" t="s">
        <v>337</v>
      </c>
      <c r="O4" s="71"/>
      <c r="P4" s="71"/>
      <c r="Q4" s="71"/>
      <c r="R4" s="71"/>
      <c r="S4" s="71"/>
      <c r="T4" s="71"/>
    </row>
    <row r="5" spans="1:20" ht="15">
      <c r="A5" s="59" t="s">
        <v>342</v>
      </c>
      <c r="B5" s="59" t="s">
        <v>343</v>
      </c>
      <c r="C5" s="59" t="s">
        <v>95</v>
      </c>
      <c r="D5" s="70">
        <v>887</v>
      </c>
      <c r="E5" s="70">
        <v>1600</v>
      </c>
      <c r="F5" s="70">
        <v>1</v>
      </c>
      <c r="G5" s="70">
        <v>0</v>
      </c>
      <c r="H5" s="59">
        <f t="shared" si="0"/>
        <v>1</v>
      </c>
      <c r="I5" s="59">
        <f>IF(D5&lt;&gt;"",D5,IFERROR(E5/(IFERROR(SUM(Sales!C:C),0))*(IFERROR(SUM(Purchases!C:C),0)),0))</f>
        <v>887</v>
      </c>
      <c r="J5" s="59">
        <f t="shared" si="1"/>
        <v>887</v>
      </c>
      <c r="K5" s="59">
        <f t="shared" si="2"/>
        <v>0</v>
      </c>
      <c r="L5" s="59" t="s">
        <v>144</v>
      </c>
      <c r="M5" s="59" t="s">
        <v>49</v>
      </c>
      <c r="N5" s="59" t="s">
        <v>337</v>
      </c>
      <c r="O5" s="59"/>
      <c r="P5" s="59"/>
      <c r="Q5" s="59"/>
      <c r="R5" s="59"/>
      <c r="S5" s="59"/>
      <c r="T5" s="59"/>
    </row>
    <row r="6" spans="1:20" ht="15">
      <c r="A6" s="67" t="s">
        <v>344</v>
      </c>
      <c r="B6" s="71" t="s">
        <v>345</v>
      </c>
      <c r="C6" s="71" t="s">
        <v>95</v>
      </c>
      <c r="D6" s="72">
        <v>372</v>
      </c>
      <c r="E6" s="72">
        <v>750</v>
      </c>
      <c r="F6" s="72">
        <v>1</v>
      </c>
      <c r="G6" s="72">
        <v>0</v>
      </c>
      <c r="H6" s="71">
        <f t="shared" si="0"/>
        <v>1</v>
      </c>
      <c r="I6" s="71">
        <f>IF(D6&lt;&gt;"",D6,IFERROR(E6/(IFERROR(SUM(Sales!C:C),0))*(IFERROR(SUM(Purchases!C:C),0)),0))</f>
        <v>372</v>
      </c>
      <c r="J6" s="71">
        <f t="shared" si="1"/>
        <v>372</v>
      </c>
      <c r="K6" s="71">
        <f t="shared" si="2"/>
        <v>0</v>
      </c>
      <c r="L6" s="71" t="s">
        <v>346</v>
      </c>
      <c r="M6" s="71" t="s">
        <v>49</v>
      </c>
      <c r="N6" s="71" t="s">
        <v>337</v>
      </c>
      <c r="O6" s="71"/>
      <c r="P6" s="71"/>
      <c r="Q6" s="71"/>
      <c r="R6" s="71"/>
      <c r="S6" s="71"/>
      <c r="T6" s="71"/>
    </row>
    <row r="7" spans="1:20" ht="15">
      <c r="A7" s="59" t="s">
        <v>347</v>
      </c>
      <c r="B7" s="59" t="s">
        <v>348</v>
      </c>
      <c r="C7" s="59" t="s">
        <v>95</v>
      </c>
      <c r="D7" s="70">
        <v>625</v>
      </c>
      <c r="E7" s="70">
        <v>1000</v>
      </c>
      <c r="F7" s="70">
        <v>1</v>
      </c>
      <c r="G7" s="70">
        <v>0</v>
      </c>
      <c r="H7" s="59">
        <f t="shared" si="0"/>
        <v>1</v>
      </c>
      <c r="I7" s="59">
        <f>IF(D7&lt;&gt;"",D7,IFERROR(E7/(IFERROR(SUM(Sales!C:C),0))*(IFERROR(SUM(Purchases!C:C),0)),0))</f>
        <v>625</v>
      </c>
      <c r="J7" s="59">
        <f t="shared" si="1"/>
        <v>625</v>
      </c>
      <c r="K7" s="59">
        <f t="shared" si="2"/>
        <v>0</v>
      </c>
      <c r="L7" s="59" t="s">
        <v>146</v>
      </c>
      <c r="M7" s="59" t="s">
        <v>49</v>
      </c>
      <c r="N7" s="59" t="s">
        <v>337</v>
      </c>
      <c r="O7" s="59"/>
      <c r="P7" s="59"/>
      <c r="Q7" s="59"/>
      <c r="R7" s="59"/>
      <c r="S7" s="59"/>
      <c r="T7" s="59"/>
    </row>
    <row r="8" spans="1:20" ht="15">
      <c r="A8" s="67" t="s">
        <v>349</v>
      </c>
      <c r="B8" s="71" t="s">
        <v>350</v>
      </c>
      <c r="C8" s="71" t="s">
        <v>95</v>
      </c>
      <c r="D8" s="72">
        <v>1559</v>
      </c>
      <c r="E8" s="72">
        <v>2600</v>
      </c>
      <c r="F8" s="72">
        <v>1</v>
      </c>
      <c r="G8" s="72">
        <v>0</v>
      </c>
      <c r="H8" s="71">
        <f t="shared" si="0"/>
        <v>1</v>
      </c>
      <c r="I8" s="71">
        <f>IF(D8&lt;&gt;"",D8,IFERROR(E8/(IFERROR(SUM(Sales!C:C),0))*(IFERROR(SUM(Purchases!C:C),0)),0))</f>
        <v>1559</v>
      </c>
      <c r="J8" s="71">
        <f t="shared" si="1"/>
        <v>1559</v>
      </c>
      <c r="K8" s="71">
        <f t="shared" si="2"/>
        <v>0</v>
      </c>
      <c r="L8" s="71" t="s">
        <v>146</v>
      </c>
      <c r="M8" s="71" t="s">
        <v>49</v>
      </c>
      <c r="N8" s="71" t="s">
        <v>337</v>
      </c>
      <c r="O8" s="71"/>
      <c r="P8" s="71"/>
      <c r="Q8" s="71"/>
      <c r="R8" s="71"/>
      <c r="S8" s="71"/>
      <c r="T8" s="71"/>
    </row>
    <row r="9" spans="1:20" ht="15">
      <c r="A9" s="59" t="s">
        <v>351</v>
      </c>
      <c r="B9" s="59" t="s">
        <v>352</v>
      </c>
      <c r="C9" s="59" t="s">
        <v>96</v>
      </c>
      <c r="D9" s="70">
        <v>839</v>
      </c>
      <c r="E9" s="70">
        <v>1000</v>
      </c>
      <c r="F9" s="70">
        <v>1</v>
      </c>
      <c r="G9" s="70">
        <v>0</v>
      </c>
      <c r="H9" s="59">
        <f t="shared" si="0"/>
        <v>1</v>
      </c>
      <c r="I9" s="59">
        <f>IF(D9&lt;&gt;"",D9,IFERROR(E9/(IFERROR(SUM(Sales!C:C),0))*(IFERROR(SUM(Purchases!C:C),0)),0))</f>
        <v>839</v>
      </c>
      <c r="J9" s="59">
        <f t="shared" si="1"/>
        <v>839</v>
      </c>
      <c r="K9" s="59">
        <f t="shared" si="2"/>
        <v>0</v>
      </c>
      <c r="L9" s="59" t="s">
        <v>146</v>
      </c>
      <c r="M9" s="59" t="s">
        <v>49</v>
      </c>
      <c r="N9" s="59" t="s">
        <v>337</v>
      </c>
      <c r="O9" s="59"/>
      <c r="P9" s="59"/>
      <c r="Q9" s="59"/>
      <c r="R9" s="59"/>
      <c r="S9" s="59"/>
      <c r="T9" s="59"/>
    </row>
    <row r="10" spans="1:20" ht="15">
      <c r="A10" s="67" t="s">
        <v>353</v>
      </c>
      <c r="B10" s="71" t="s">
        <v>341</v>
      </c>
      <c r="C10" s="71" t="s">
        <v>95</v>
      </c>
      <c r="D10" s="72">
        <v>1148</v>
      </c>
      <c r="E10" s="72">
        <v>2000</v>
      </c>
      <c r="F10" s="72">
        <v>1</v>
      </c>
      <c r="G10" s="72">
        <v>0</v>
      </c>
      <c r="H10" s="71">
        <f t="shared" si="0"/>
        <v>1</v>
      </c>
      <c r="I10" s="71">
        <f>IF(D10&lt;&gt;"",D10,IFERROR(E10/(IFERROR(SUM(Sales!C:C),0))*(IFERROR(SUM(Purchases!C:C),0)),0))</f>
        <v>1148</v>
      </c>
      <c r="J10" s="71">
        <f t="shared" si="1"/>
        <v>1148</v>
      </c>
      <c r="K10" s="71">
        <f t="shared" si="2"/>
        <v>0</v>
      </c>
      <c r="L10" s="71" t="s">
        <v>147</v>
      </c>
      <c r="M10" s="71" t="s">
        <v>49</v>
      </c>
      <c r="N10" s="71" t="s">
        <v>337</v>
      </c>
      <c r="O10" s="71"/>
      <c r="P10" s="71"/>
      <c r="Q10" s="71"/>
      <c r="R10" s="71"/>
      <c r="S10" s="71"/>
      <c r="T10" s="71"/>
    </row>
    <row r="11" spans="1:20" ht="15">
      <c r="A11" s="59" t="s">
        <v>354</v>
      </c>
      <c r="B11" s="59" t="s">
        <v>355</v>
      </c>
      <c r="C11" s="59" t="s">
        <v>95</v>
      </c>
      <c r="D11" s="70">
        <v>1252</v>
      </c>
      <c r="E11" s="70">
        <v>1800</v>
      </c>
      <c r="F11" s="70">
        <v>2</v>
      </c>
      <c r="G11" s="70">
        <v>0</v>
      </c>
      <c r="H11" s="59">
        <f t="shared" si="0"/>
        <v>2</v>
      </c>
      <c r="I11" s="59">
        <f>IF(D11&lt;&gt;"",D11,IFERROR(E11/(IFERROR(SUM(Sales!C:C),0))*(IFERROR(SUM(Purchases!C:C),0)),0))</f>
        <v>1252</v>
      </c>
      <c r="J11" s="59">
        <f t="shared" si="1"/>
        <v>2504</v>
      </c>
      <c r="K11" s="59">
        <f t="shared" si="2"/>
        <v>0</v>
      </c>
      <c r="L11" s="59" t="s">
        <v>356</v>
      </c>
      <c r="M11" s="59" t="s">
        <v>49</v>
      </c>
      <c r="N11" s="59" t="s">
        <v>337</v>
      </c>
      <c r="O11" s="59"/>
      <c r="P11" s="59"/>
      <c r="Q11" s="59"/>
      <c r="R11" s="59"/>
      <c r="S11" s="59"/>
      <c r="T11" s="59"/>
    </row>
    <row r="12" spans="1:20" ht="15">
      <c r="A12" s="67" t="s">
        <v>357</v>
      </c>
      <c r="B12" s="71" t="s">
        <v>358</v>
      </c>
      <c r="C12" s="71" t="s">
        <v>96</v>
      </c>
      <c r="D12" s="72">
        <v>1096</v>
      </c>
      <c r="E12" s="72">
        <v>1600</v>
      </c>
      <c r="F12" s="72">
        <v>1</v>
      </c>
      <c r="G12" s="72">
        <v>0</v>
      </c>
      <c r="H12" s="71">
        <f t="shared" si="0"/>
        <v>1</v>
      </c>
      <c r="I12" s="71">
        <f>IF(D12&lt;&gt;"",D12,IFERROR(E12/(IFERROR(SUM(Sales!C:C),0))*(IFERROR(SUM(Purchases!C:C),0)),0))</f>
        <v>1096</v>
      </c>
      <c r="J12" s="71">
        <f t="shared" si="1"/>
        <v>1096</v>
      </c>
      <c r="K12" s="71">
        <f t="shared" si="2"/>
        <v>0</v>
      </c>
      <c r="L12" s="71" t="s">
        <v>148</v>
      </c>
      <c r="M12" s="71" t="s">
        <v>49</v>
      </c>
      <c r="N12" s="71" t="s">
        <v>337</v>
      </c>
      <c r="O12" s="71"/>
      <c r="P12" s="71"/>
      <c r="Q12" s="71"/>
      <c r="R12" s="71"/>
      <c r="S12" s="71"/>
      <c r="T12" s="71"/>
    </row>
    <row r="13" spans="1:20" ht="15">
      <c r="A13" s="59" t="s">
        <v>359</v>
      </c>
      <c r="B13" s="59" t="s">
        <v>360</v>
      </c>
      <c r="C13" s="59" t="s">
        <v>96</v>
      </c>
      <c r="D13" s="70">
        <v>1096</v>
      </c>
      <c r="E13" s="70">
        <v>1600</v>
      </c>
      <c r="F13" s="70">
        <v>1</v>
      </c>
      <c r="G13" s="70">
        <v>0</v>
      </c>
      <c r="H13" s="59">
        <f t="shared" si="0"/>
        <v>1</v>
      </c>
      <c r="I13" s="59">
        <f>IF(D13&lt;&gt;"",D13,IFERROR(E13/(IFERROR(SUM(Sales!C:C),0))*(IFERROR(SUM(Purchases!C:C),0)),0))</f>
        <v>1096</v>
      </c>
      <c r="J13" s="59">
        <f t="shared" si="1"/>
        <v>1096</v>
      </c>
      <c r="K13" s="59">
        <f t="shared" si="2"/>
        <v>0</v>
      </c>
      <c r="L13" s="59" t="s">
        <v>149</v>
      </c>
      <c r="M13" s="59" t="s">
        <v>49</v>
      </c>
      <c r="N13" s="59" t="s">
        <v>337</v>
      </c>
      <c r="O13" s="59"/>
      <c r="P13" s="59"/>
      <c r="Q13" s="59"/>
      <c r="R13" s="59"/>
      <c r="S13" s="59"/>
      <c r="T13" s="59"/>
    </row>
    <row r="14" spans="1:20" ht="15">
      <c r="A14" s="67" t="s">
        <v>361</v>
      </c>
      <c r="B14" s="71" t="s">
        <v>362</v>
      </c>
      <c r="C14" s="71" t="s">
        <v>96</v>
      </c>
      <c r="D14" s="72">
        <v>1080</v>
      </c>
      <c r="E14" s="72">
        <v>1600</v>
      </c>
      <c r="F14" s="72">
        <v>1</v>
      </c>
      <c r="G14" s="72">
        <v>0</v>
      </c>
      <c r="H14" s="71">
        <f t="shared" si="0"/>
        <v>1</v>
      </c>
      <c r="I14" s="71">
        <f>IF(D14&lt;&gt;"",D14,IFERROR(E14/(IFERROR(SUM(Sales!C:C),0))*(IFERROR(SUM(Purchases!C:C),0)),0))</f>
        <v>1080</v>
      </c>
      <c r="J14" s="71">
        <f t="shared" si="1"/>
        <v>1080</v>
      </c>
      <c r="K14" s="71">
        <f t="shared" si="2"/>
        <v>0</v>
      </c>
      <c r="L14" s="71" t="s">
        <v>151</v>
      </c>
      <c r="M14" s="71" t="s">
        <v>49</v>
      </c>
      <c r="N14" s="71" t="s">
        <v>337</v>
      </c>
      <c r="O14" s="71"/>
      <c r="P14" s="71"/>
      <c r="Q14" s="71"/>
      <c r="R14" s="71"/>
      <c r="S14" s="71"/>
      <c r="T14" s="71"/>
    </row>
    <row r="15" spans="1:20" ht="15">
      <c r="A15" s="59" t="s">
        <v>363</v>
      </c>
      <c r="B15" s="59" t="s">
        <v>364</v>
      </c>
      <c r="C15" s="59" t="s">
        <v>96</v>
      </c>
      <c r="D15" s="70">
        <v>839</v>
      </c>
      <c r="E15" s="70">
        <v>1200</v>
      </c>
      <c r="F15" s="70">
        <v>1</v>
      </c>
      <c r="G15" s="70">
        <v>0</v>
      </c>
      <c r="H15" s="59">
        <f t="shared" si="0"/>
        <v>1</v>
      </c>
      <c r="I15" s="59">
        <f>IF(D15&lt;&gt;"",D15,IFERROR(E15/(IFERROR(SUM(Sales!C:C),0))*(IFERROR(SUM(Purchases!C:C),0)),0))</f>
        <v>839</v>
      </c>
      <c r="J15" s="59">
        <f t="shared" si="1"/>
        <v>839</v>
      </c>
      <c r="K15" s="59">
        <f t="shared" si="2"/>
        <v>0</v>
      </c>
      <c r="L15" s="59" t="s">
        <v>151</v>
      </c>
      <c r="M15" s="59" t="s">
        <v>49</v>
      </c>
      <c r="N15" s="59" t="s">
        <v>337</v>
      </c>
      <c r="O15" s="59"/>
      <c r="P15" s="59"/>
      <c r="Q15" s="59"/>
      <c r="R15" s="59"/>
      <c r="S15" s="59"/>
      <c r="T15" s="59"/>
    </row>
    <row r="16" spans="1:20" s="73" customFormat="1" ht="15">
      <c r="A16" s="67" t="s">
        <v>365</v>
      </c>
      <c r="B16" s="71" t="s">
        <v>366</v>
      </c>
      <c r="C16" s="71" t="s">
        <v>96</v>
      </c>
      <c r="D16" s="72">
        <v>995</v>
      </c>
      <c r="E16" s="72">
        <v>1200</v>
      </c>
      <c r="F16" s="72">
        <v>1</v>
      </c>
      <c r="G16" s="72">
        <v>0</v>
      </c>
      <c r="H16" s="71">
        <f t="shared" si="0"/>
        <v>1</v>
      </c>
      <c r="I16" s="71">
        <f>IF(D16&lt;&gt;"",D16,IFERROR(E16/(IFERROR(SUM(Sales!C:C),0))*(IFERROR(SUM(Purchases!C:C),0)),0))</f>
        <v>995</v>
      </c>
      <c r="J16" s="71">
        <f t="shared" si="1"/>
        <v>995</v>
      </c>
      <c r="K16" s="71">
        <f t="shared" si="2"/>
        <v>0</v>
      </c>
      <c r="L16" s="71" t="s">
        <v>151</v>
      </c>
      <c r="M16" s="71" t="s">
        <v>49</v>
      </c>
      <c r="N16" s="71" t="s">
        <v>337</v>
      </c>
      <c r="O16" s="71"/>
      <c r="P16" s="71"/>
      <c r="Q16" s="71"/>
      <c r="R16" s="71"/>
      <c r="S16" s="71"/>
      <c r="T16" s="71"/>
    </row>
    <row r="17" spans="1:20" ht="15">
      <c r="A17" s="59" t="s">
        <v>367</v>
      </c>
      <c r="B17" s="59" t="s">
        <v>368</v>
      </c>
      <c r="C17" s="59" t="s">
        <v>95</v>
      </c>
      <c r="D17" s="70">
        <v>779</v>
      </c>
      <c r="E17" s="70">
        <v>1200</v>
      </c>
      <c r="F17" s="70">
        <v>1</v>
      </c>
      <c r="G17" s="70">
        <v>0</v>
      </c>
      <c r="H17" s="59">
        <f t="shared" si="0"/>
        <v>1</v>
      </c>
      <c r="I17" s="59">
        <f>IF(D17&lt;&gt;"",D17,IFERROR(E17/(IFERROR(SUM(Sales!C:C),0))*(IFERROR(SUM(Purchases!C:C),0)),0))</f>
        <v>779</v>
      </c>
      <c r="J17" s="59">
        <f t="shared" si="1"/>
        <v>779</v>
      </c>
      <c r="K17" s="59">
        <f t="shared" si="2"/>
        <v>0</v>
      </c>
      <c r="L17" s="59" t="s">
        <v>152</v>
      </c>
      <c r="M17" s="59" t="s">
        <v>49</v>
      </c>
      <c r="N17" s="59" t="s">
        <v>337</v>
      </c>
      <c r="O17" s="59"/>
      <c r="P17" s="59"/>
      <c r="Q17" s="59"/>
      <c r="R17" s="59"/>
      <c r="S17" s="59"/>
      <c r="T17" s="59"/>
    </row>
    <row r="18" spans="1:20" ht="15">
      <c r="A18" s="67" t="s">
        <v>369</v>
      </c>
      <c r="B18" s="71" t="s">
        <v>350</v>
      </c>
      <c r="C18" s="71" t="s">
        <v>95</v>
      </c>
      <c r="D18" s="72">
        <v>1559</v>
      </c>
      <c r="E18" s="72">
        <v>2700</v>
      </c>
      <c r="F18" s="72">
        <v>1</v>
      </c>
      <c r="G18" s="72">
        <v>0</v>
      </c>
      <c r="H18" s="71">
        <f t="shared" si="0"/>
        <v>1</v>
      </c>
      <c r="I18" s="71">
        <f>IF(D18&lt;&gt;"",D18,IFERROR(E18/(IFERROR(SUM(Sales!C:C),0))*(IFERROR(SUM(Purchases!C:C),0)),0))</f>
        <v>1559</v>
      </c>
      <c r="J18" s="71">
        <f t="shared" si="1"/>
        <v>1559</v>
      </c>
      <c r="K18" s="71">
        <f t="shared" si="2"/>
        <v>0</v>
      </c>
      <c r="L18" s="71" t="s">
        <v>152</v>
      </c>
      <c r="M18" s="71" t="s">
        <v>49</v>
      </c>
      <c r="N18" s="71" t="s">
        <v>337</v>
      </c>
      <c r="O18" s="71"/>
      <c r="P18" s="71"/>
      <c r="Q18" s="71"/>
      <c r="R18" s="71"/>
      <c r="S18" s="71"/>
      <c r="T18" s="71"/>
    </row>
    <row r="19" spans="1:20" ht="15">
      <c r="A19" s="59" t="s">
        <v>370</v>
      </c>
      <c r="B19" s="59" t="s">
        <v>371</v>
      </c>
      <c r="C19" s="59" t="s">
        <v>96</v>
      </c>
      <c r="D19" s="70">
        <v>1096</v>
      </c>
      <c r="E19" s="70">
        <v>1600</v>
      </c>
      <c r="F19" s="70">
        <v>1</v>
      </c>
      <c r="G19" s="70">
        <v>0</v>
      </c>
      <c r="H19" s="59">
        <f t="shared" si="0"/>
        <v>1</v>
      </c>
      <c r="I19" s="59">
        <f>IF(D19&lt;&gt;"",D19,IFERROR(E19/(IFERROR(SUM(Sales!C:C),0))*(IFERROR(SUM(Purchases!C:C),0)),0))</f>
        <v>1096</v>
      </c>
      <c r="J19" s="59">
        <f t="shared" si="1"/>
        <v>1096</v>
      </c>
      <c r="K19" s="59">
        <f t="shared" si="2"/>
        <v>0</v>
      </c>
      <c r="L19" s="59" t="s">
        <v>152</v>
      </c>
      <c r="M19" s="59" t="s">
        <v>49</v>
      </c>
      <c r="N19" s="59" t="s">
        <v>337</v>
      </c>
      <c r="O19" s="59"/>
      <c r="P19" s="59"/>
      <c r="Q19" s="59"/>
      <c r="R19" s="59"/>
      <c r="S19" s="59"/>
      <c r="T19" s="59"/>
    </row>
    <row r="20" spans="1:20" s="73" customFormat="1" ht="15">
      <c r="A20" s="67" t="s">
        <v>372</v>
      </c>
      <c r="B20" s="71" t="s">
        <v>366</v>
      </c>
      <c r="C20" s="71" t="s">
        <v>96</v>
      </c>
      <c r="D20" s="72">
        <v>995</v>
      </c>
      <c r="E20" s="72">
        <v>1400</v>
      </c>
      <c r="F20" s="72">
        <v>1</v>
      </c>
      <c r="G20" s="72">
        <v>0</v>
      </c>
      <c r="H20" s="71">
        <f t="shared" si="0"/>
        <v>1</v>
      </c>
      <c r="I20" s="71">
        <f>IF(D20&lt;&gt;"",D20,IFERROR(E20/(IFERROR(SUM(Sales!C:C),0))*(IFERROR(SUM(Purchases!C:C),0)),0))</f>
        <v>995</v>
      </c>
      <c r="J20" s="71">
        <f t="shared" si="1"/>
        <v>995</v>
      </c>
      <c r="K20" s="71">
        <f t="shared" si="2"/>
        <v>0</v>
      </c>
      <c r="L20" s="71" t="s">
        <v>152</v>
      </c>
      <c r="M20" s="71" t="s">
        <v>49</v>
      </c>
      <c r="N20" s="71" t="s">
        <v>337</v>
      </c>
      <c r="O20" s="71"/>
      <c r="P20" s="71"/>
      <c r="Q20" s="71"/>
      <c r="R20" s="71"/>
      <c r="S20" s="71"/>
      <c r="T20" s="71"/>
    </row>
    <row r="21" spans="1:20" ht="15">
      <c r="A21" s="59" t="s">
        <v>373</v>
      </c>
      <c r="B21" s="59" t="s">
        <v>352</v>
      </c>
      <c r="C21" s="59" t="s">
        <v>96</v>
      </c>
      <c r="D21" s="70">
        <v>839</v>
      </c>
      <c r="E21" s="70">
        <v>1100</v>
      </c>
      <c r="F21" s="70">
        <v>1</v>
      </c>
      <c r="G21" s="70">
        <v>0</v>
      </c>
      <c r="H21" s="59">
        <f t="shared" si="0"/>
        <v>1</v>
      </c>
      <c r="I21" s="59">
        <f>IF(D21&lt;&gt;"",D21,IFERROR(E21/(IFERROR(SUM(Sales!C:C),0))*(IFERROR(SUM(Purchases!C:C),0)),0))</f>
        <v>839</v>
      </c>
      <c r="J21" s="59">
        <f t="shared" si="1"/>
        <v>839</v>
      </c>
      <c r="K21" s="59">
        <f t="shared" si="2"/>
        <v>0</v>
      </c>
      <c r="L21" s="59" t="s">
        <v>152</v>
      </c>
      <c r="M21" s="59" t="s">
        <v>49</v>
      </c>
      <c r="N21" s="59" t="s">
        <v>337</v>
      </c>
      <c r="O21" s="59"/>
      <c r="P21" s="59"/>
      <c r="Q21" s="59"/>
      <c r="R21" s="59"/>
      <c r="S21" s="59"/>
      <c r="T21" s="59"/>
    </row>
    <row r="22" spans="1:20" ht="15">
      <c r="A22" s="67" t="s">
        <v>374</v>
      </c>
      <c r="B22" s="71" t="s">
        <v>375</v>
      </c>
      <c r="C22" s="71" t="s">
        <v>95</v>
      </c>
      <c r="D22" s="72">
        <v>887</v>
      </c>
      <c r="E22" s="72">
        <v>1300</v>
      </c>
      <c r="F22" s="72">
        <v>1</v>
      </c>
      <c r="G22" s="72">
        <v>0</v>
      </c>
      <c r="H22" s="71">
        <f t="shared" si="0"/>
        <v>1</v>
      </c>
      <c r="I22" s="71">
        <f>IF(D22&lt;&gt;"",D22,IFERROR(E22/(IFERROR(SUM(Sales!C:C),0))*(IFERROR(SUM(Purchases!C:C),0)),0))</f>
        <v>887</v>
      </c>
      <c r="J22" s="71">
        <f t="shared" si="1"/>
        <v>887</v>
      </c>
      <c r="K22" s="71">
        <f t="shared" si="2"/>
        <v>0</v>
      </c>
      <c r="L22" s="71" t="s">
        <v>143</v>
      </c>
      <c r="M22" s="71" t="s">
        <v>49</v>
      </c>
      <c r="N22" s="71" t="s">
        <v>337</v>
      </c>
      <c r="O22" s="71"/>
      <c r="P22" s="71"/>
      <c r="Q22" s="71"/>
      <c r="R22" s="71"/>
      <c r="S22" s="71"/>
      <c r="T22" s="71"/>
    </row>
    <row r="23" spans="1:20" ht="15">
      <c r="A23" s="59" t="s">
        <v>376</v>
      </c>
      <c r="B23" s="59" t="s">
        <v>109</v>
      </c>
      <c r="C23" s="59" t="s">
        <v>95</v>
      </c>
      <c r="D23" s="70">
        <v>562</v>
      </c>
      <c r="E23" s="70">
        <v>900</v>
      </c>
      <c r="F23" s="70">
        <v>3</v>
      </c>
      <c r="G23" s="70">
        <v>0</v>
      </c>
      <c r="H23" s="59">
        <f t="shared" si="0"/>
        <v>3</v>
      </c>
      <c r="I23" s="59">
        <f>IF(D23&lt;&gt;"",D23,IFERROR(E23/(IFERROR(SUM(Sales!C:C),0))*(IFERROR(SUM(Purchases!C:C),0)),0))</f>
        <v>562</v>
      </c>
      <c r="J23" s="59">
        <f t="shared" si="1"/>
        <v>1686</v>
      </c>
      <c r="K23" s="59">
        <f t="shared" si="2"/>
        <v>0</v>
      </c>
      <c r="L23" s="59" t="s">
        <v>377</v>
      </c>
      <c r="M23" s="59" t="s">
        <v>49</v>
      </c>
      <c r="N23" s="59" t="s">
        <v>337</v>
      </c>
      <c r="O23" s="59"/>
      <c r="P23" s="59"/>
      <c r="Q23" s="59"/>
      <c r="R23" s="59"/>
      <c r="S23" s="59"/>
      <c r="T23" s="59"/>
    </row>
    <row r="24" spans="1:20" ht="15">
      <c r="A24" s="67" t="s">
        <v>378</v>
      </c>
      <c r="B24" s="71" t="s">
        <v>345</v>
      </c>
      <c r="C24" s="71" t="s">
        <v>95</v>
      </c>
      <c r="D24" s="72">
        <v>372</v>
      </c>
      <c r="E24" s="72">
        <v>750</v>
      </c>
      <c r="F24" s="72">
        <v>1</v>
      </c>
      <c r="G24" s="72">
        <v>0</v>
      </c>
      <c r="H24" s="71">
        <f t="shared" si="0"/>
        <v>1</v>
      </c>
      <c r="I24" s="71">
        <f>IF(D24&lt;&gt;"",D24,IFERROR(E24/(IFERROR(SUM(Sales!C:C),0))*(IFERROR(SUM(Purchases!C:C),0)),0))</f>
        <v>372</v>
      </c>
      <c r="J24" s="71">
        <f t="shared" si="1"/>
        <v>372</v>
      </c>
      <c r="K24" s="71">
        <f t="shared" si="2"/>
        <v>0</v>
      </c>
      <c r="L24" s="71" t="s">
        <v>155</v>
      </c>
      <c r="M24" s="71" t="s">
        <v>49</v>
      </c>
      <c r="N24" s="71" t="s">
        <v>337</v>
      </c>
      <c r="O24" s="71"/>
      <c r="P24" s="71"/>
      <c r="Q24" s="71"/>
      <c r="R24" s="71"/>
      <c r="S24" s="71"/>
      <c r="T24" s="71"/>
    </row>
    <row r="25" spans="1:20" ht="15">
      <c r="A25" s="59" t="s">
        <v>379</v>
      </c>
      <c r="B25" s="59" t="s">
        <v>345</v>
      </c>
      <c r="C25" s="59" t="s">
        <v>95</v>
      </c>
      <c r="D25" s="70">
        <v>372</v>
      </c>
      <c r="E25" s="70">
        <v>700</v>
      </c>
      <c r="F25" s="70">
        <v>1</v>
      </c>
      <c r="G25" s="70">
        <v>0</v>
      </c>
      <c r="H25" s="59">
        <f t="shared" si="0"/>
        <v>1</v>
      </c>
      <c r="I25" s="59">
        <f>IF(D25&lt;&gt;"",D25,IFERROR(E25/(IFERROR(SUM(Sales!C:C),0))*(IFERROR(SUM(Purchases!C:C),0)),0))</f>
        <v>372</v>
      </c>
      <c r="J25" s="59">
        <f t="shared" si="1"/>
        <v>372</v>
      </c>
      <c r="K25" s="59">
        <f t="shared" si="2"/>
        <v>0</v>
      </c>
      <c r="L25" s="59" t="s">
        <v>156</v>
      </c>
      <c r="M25" s="59" t="s">
        <v>49</v>
      </c>
      <c r="N25" s="59" t="s">
        <v>337</v>
      </c>
      <c r="O25" s="59"/>
      <c r="P25" s="59"/>
      <c r="Q25" s="59"/>
      <c r="R25" s="59"/>
      <c r="S25" s="59"/>
      <c r="T25" s="59"/>
    </row>
    <row r="26" spans="1:20" ht="15">
      <c r="A26" s="67" t="s">
        <v>380</v>
      </c>
      <c r="B26" s="71" t="s">
        <v>381</v>
      </c>
      <c r="C26" s="71" t="s">
        <v>95</v>
      </c>
      <c r="D26" s="72">
        <v>1669</v>
      </c>
      <c r="E26" s="72">
        <v>2200</v>
      </c>
      <c r="F26" s="72">
        <v>1</v>
      </c>
      <c r="G26" s="72">
        <v>0</v>
      </c>
      <c r="H26" s="71">
        <f t="shared" si="0"/>
        <v>1</v>
      </c>
      <c r="I26" s="71">
        <f>IF(D26&lt;&gt;"",D26,IFERROR(E26/(IFERROR(SUM(Sales!C:C),0))*(IFERROR(SUM(Purchases!C:C),0)),0))</f>
        <v>1669</v>
      </c>
      <c r="J26" s="71">
        <f t="shared" si="1"/>
        <v>1669</v>
      </c>
      <c r="K26" s="71">
        <f t="shared" si="2"/>
        <v>0</v>
      </c>
      <c r="L26" s="71" t="s">
        <v>157</v>
      </c>
      <c r="M26" s="71" t="s">
        <v>49</v>
      </c>
      <c r="N26" s="71" t="s">
        <v>337</v>
      </c>
      <c r="O26" s="71"/>
      <c r="P26" s="71"/>
      <c r="Q26" s="71"/>
      <c r="R26" s="71"/>
      <c r="S26" s="71"/>
      <c r="T26" s="71"/>
    </row>
    <row r="27" spans="1:20" ht="15">
      <c r="A27" s="59" t="s">
        <v>382</v>
      </c>
      <c r="B27" s="59" t="s">
        <v>345</v>
      </c>
      <c r="C27" s="59" t="s">
        <v>95</v>
      </c>
      <c r="D27" s="70">
        <v>372</v>
      </c>
      <c r="E27" s="70">
        <v>700</v>
      </c>
      <c r="F27" s="70">
        <v>1</v>
      </c>
      <c r="G27" s="70">
        <v>0</v>
      </c>
      <c r="H27" s="59">
        <f t="shared" si="0"/>
        <v>1</v>
      </c>
      <c r="I27" s="59">
        <f>IF(D27&lt;&gt;"",D27,IFERROR(E27/(IFERROR(SUM(Sales!C:C),0))*(IFERROR(SUM(Purchases!C:C),0)),0))</f>
        <v>372</v>
      </c>
      <c r="J27" s="59">
        <f t="shared" si="1"/>
        <v>372</v>
      </c>
      <c r="K27" s="59">
        <f t="shared" si="2"/>
        <v>0</v>
      </c>
      <c r="L27" s="59" t="s">
        <v>157</v>
      </c>
      <c r="M27" s="59" t="s">
        <v>49</v>
      </c>
      <c r="N27" s="59" t="s">
        <v>337</v>
      </c>
      <c r="O27" s="59"/>
      <c r="P27" s="59"/>
      <c r="Q27" s="59"/>
      <c r="R27" s="59"/>
      <c r="S27" s="59"/>
      <c r="T27" s="59"/>
    </row>
    <row r="28" spans="1:20" ht="15">
      <c r="A28" s="67" t="s">
        <v>383</v>
      </c>
      <c r="B28" s="71" t="s">
        <v>384</v>
      </c>
      <c r="C28" s="71" t="s">
        <v>95</v>
      </c>
      <c r="D28" s="72">
        <v>1669</v>
      </c>
      <c r="E28" s="72">
        <v>2600</v>
      </c>
      <c r="F28" s="72">
        <v>1</v>
      </c>
      <c r="G28" s="72">
        <v>0</v>
      </c>
      <c r="H28" s="71">
        <f t="shared" si="0"/>
        <v>1</v>
      </c>
      <c r="I28" s="71">
        <f>IF(D28&lt;&gt;"",D28,IFERROR(E28/(IFERROR(SUM(Sales!C:C),0))*(IFERROR(SUM(Purchases!C:C),0)),0))</f>
        <v>1669</v>
      </c>
      <c r="J28" s="71">
        <f t="shared" si="1"/>
        <v>1669</v>
      </c>
      <c r="K28" s="71">
        <f t="shared" si="2"/>
        <v>0</v>
      </c>
      <c r="L28" s="71" t="s">
        <v>158</v>
      </c>
      <c r="M28" s="71" t="s">
        <v>49</v>
      </c>
      <c r="N28" s="71" t="s">
        <v>337</v>
      </c>
      <c r="O28" s="71"/>
      <c r="P28" s="71"/>
      <c r="Q28" s="71"/>
      <c r="R28" s="71"/>
      <c r="S28" s="71"/>
      <c r="T28" s="71"/>
    </row>
    <row r="29" spans="1:20" s="73" customFormat="1" ht="15">
      <c r="A29" s="59" t="s">
        <v>385</v>
      </c>
      <c r="B29" s="59" t="s">
        <v>386</v>
      </c>
      <c r="C29" s="59" t="s">
        <v>96</v>
      </c>
      <c r="D29" s="70">
        <v>995</v>
      </c>
      <c r="E29" s="70">
        <v>1000</v>
      </c>
      <c r="F29" s="70">
        <v>1</v>
      </c>
      <c r="G29" s="70">
        <v>0</v>
      </c>
      <c r="H29" s="59">
        <f t="shared" si="0"/>
        <v>1</v>
      </c>
      <c r="I29" s="59">
        <f>IF(D29&lt;&gt;"",D29,IFERROR(E29/(IFERROR(SUM(Sales!C:C),0))*(IFERROR(SUM(Purchases!C:C),0)),0))</f>
        <v>995</v>
      </c>
      <c r="J29" s="59">
        <f t="shared" si="1"/>
        <v>995</v>
      </c>
      <c r="K29" s="59">
        <f t="shared" si="2"/>
        <v>0</v>
      </c>
      <c r="L29" s="59" t="s">
        <v>160</v>
      </c>
      <c r="M29" s="59" t="s">
        <v>49</v>
      </c>
      <c r="N29" s="59" t="s">
        <v>337</v>
      </c>
      <c r="O29" s="59"/>
      <c r="P29" s="59"/>
      <c r="Q29" s="59"/>
      <c r="R29" s="59"/>
      <c r="S29" s="59"/>
      <c r="T29" s="59"/>
    </row>
    <row r="30" spans="1:20" ht="15">
      <c r="A30" s="67" t="s">
        <v>387</v>
      </c>
      <c r="B30" s="71" t="s">
        <v>388</v>
      </c>
      <c r="C30" s="71" t="s">
        <v>95</v>
      </c>
      <c r="D30" s="72">
        <v>1476</v>
      </c>
      <c r="E30" s="72">
        <v>1800</v>
      </c>
      <c r="F30" s="72">
        <v>1</v>
      </c>
      <c r="G30" s="72">
        <v>0</v>
      </c>
      <c r="H30" s="71">
        <f t="shared" si="0"/>
        <v>1</v>
      </c>
      <c r="I30" s="71">
        <f>IF(D30&lt;&gt;"",D30,IFERROR(E30/(IFERROR(SUM(Sales!C:C),0))*(IFERROR(SUM(Purchases!C:C),0)),0))</f>
        <v>1476</v>
      </c>
      <c r="J30" s="71">
        <f t="shared" si="1"/>
        <v>1476</v>
      </c>
      <c r="K30" s="71">
        <f t="shared" si="2"/>
        <v>0</v>
      </c>
      <c r="L30" s="71" t="s">
        <v>161</v>
      </c>
      <c r="M30" s="71" t="s">
        <v>49</v>
      </c>
      <c r="N30" s="71" t="s">
        <v>337</v>
      </c>
      <c r="O30" s="71"/>
      <c r="P30" s="71"/>
      <c r="Q30" s="71"/>
      <c r="R30" s="71"/>
      <c r="S30" s="71"/>
      <c r="T30" s="71"/>
    </row>
    <row r="31" spans="1:20" s="73" customFormat="1" ht="15">
      <c r="A31" s="59" t="s">
        <v>389</v>
      </c>
      <c r="B31" s="59" t="s">
        <v>390</v>
      </c>
      <c r="C31" s="59" t="s">
        <v>96</v>
      </c>
      <c r="D31" s="70">
        <v>525</v>
      </c>
      <c r="E31" s="70">
        <v>600</v>
      </c>
      <c r="F31" s="70">
        <v>1</v>
      </c>
      <c r="G31" s="70">
        <v>0</v>
      </c>
      <c r="H31" s="59">
        <f t="shared" si="0"/>
        <v>1</v>
      </c>
      <c r="I31" s="59">
        <f>IF(D31&lt;&gt;"",D31,IFERROR(E31/(IFERROR(SUM(Sales!C:C),0))*(IFERROR(SUM(Purchases!C:C),0)),0))</f>
        <v>525</v>
      </c>
      <c r="J31" s="59">
        <f t="shared" si="1"/>
        <v>525</v>
      </c>
      <c r="K31" s="59">
        <f t="shared" si="2"/>
        <v>0</v>
      </c>
      <c r="L31" s="59" t="s">
        <v>162</v>
      </c>
      <c r="M31" s="59" t="s">
        <v>49</v>
      </c>
      <c r="N31" s="59" t="s">
        <v>337</v>
      </c>
      <c r="O31" s="59"/>
      <c r="P31" s="59"/>
      <c r="Q31" s="59"/>
      <c r="R31" s="59"/>
      <c r="S31" s="59"/>
      <c r="T31" s="59"/>
    </row>
    <row r="32" spans="1:20" s="73" customFormat="1" ht="15">
      <c r="A32" s="67" t="s">
        <v>391</v>
      </c>
      <c r="B32" s="71" t="s">
        <v>392</v>
      </c>
      <c r="C32" s="71" t="s">
        <v>96</v>
      </c>
      <c r="D32" s="72">
        <v>839</v>
      </c>
      <c r="E32" s="72">
        <v>1000</v>
      </c>
      <c r="F32" s="72">
        <v>1</v>
      </c>
      <c r="G32" s="72">
        <v>0</v>
      </c>
      <c r="H32" s="71">
        <f t="shared" si="0"/>
        <v>1</v>
      </c>
      <c r="I32" s="71">
        <f>IF(D32&lt;&gt;"",D32,IFERROR(E32/(IFERROR(SUM(Sales!C:C),0))*(IFERROR(SUM(Purchases!C:C),0)),0))</f>
        <v>839</v>
      </c>
      <c r="J32" s="71">
        <f t="shared" si="1"/>
        <v>839</v>
      </c>
      <c r="K32" s="71">
        <f t="shared" si="2"/>
        <v>0</v>
      </c>
      <c r="L32" s="71" t="s">
        <v>162</v>
      </c>
      <c r="M32" s="71" t="s">
        <v>49</v>
      </c>
      <c r="N32" s="71" t="s">
        <v>337</v>
      </c>
      <c r="O32" s="71"/>
      <c r="P32" s="71"/>
      <c r="Q32" s="71"/>
      <c r="R32" s="71"/>
      <c r="S32" s="71"/>
      <c r="T32" s="71"/>
    </row>
    <row r="33" spans="1:20" s="73" customFormat="1" ht="15">
      <c r="A33" s="59" t="s">
        <v>393</v>
      </c>
      <c r="B33" s="59" t="s">
        <v>390</v>
      </c>
      <c r="C33" s="59" t="s">
        <v>96</v>
      </c>
      <c r="D33" s="70">
        <v>525</v>
      </c>
      <c r="E33" s="70">
        <v>800</v>
      </c>
      <c r="F33" s="70">
        <v>1</v>
      </c>
      <c r="G33" s="70">
        <v>0</v>
      </c>
      <c r="H33" s="59">
        <f t="shared" si="0"/>
        <v>1</v>
      </c>
      <c r="I33" s="59">
        <f>IF(D33&lt;&gt;"",D33,IFERROR(E33/(IFERROR(SUM(Sales!C:C),0))*(IFERROR(SUM(Purchases!C:C),0)),0))</f>
        <v>525</v>
      </c>
      <c r="J33" s="59">
        <f t="shared" si="1"/>
        <v>525</v>
      </c>
      <c r="K33" s="59">
        <f t="shared" si="2"/>
        <v>0</v>
      </c>
      <c r="L33" s="59" t="s">
        <v>163</v>
      </c>
      <c r="M33" s="59" t="s">
        <v>49</v>
      </c>
      <c r="N33" s="59" t="s">
        <v>337</v>
      </c>
      <c r="O33" s="59"/>
      <c r="P33" s="59"/>
      <c r="Q33" s="59"/>
      <c r="R33" s="59"/>
      <c r="S33" s="59"/>
      <c r="T33" s="59"/>
    </row>
    <row r="34" spans="1:20" ht="15">
      <c r="A34" s="67" t="s">
        <v>394</v>
      </c>
      <c r="B34" s="71" t="s">
        <v>355</v>
      </c>
      <c r="C34" s="71" t="s">
        <v>95</v>
      </c>
      <c r="D34" s="72">
        <v>867</v>
      </c>
      <c r="E34" s="72">
        <v>1300</v>
      </c>
      <c r="F34" s="72">
        <v>1</v>
      </c>
      <c r="G34" s="72">
        <v>0</v>
      </c>
      <c r="H34" s="71">
        <f t="shared" ref="H34:H65" si="3">F34+IF(LEN(G34)=0,0,G34)</f>
        <v>1</v>
      </c>
      <c r="I34" s="71">
        <f>IF(D34&lt;&gt;"",D34,IFERROR(E34/(IFERROR(SUM(Sales!C:C),0))*(IFERROR(SUM(Purchases!C:C),0)),0))</f>
        <v>867</v>
      </c>
      <c r="J34" s="71">
        <f t="shared" ref="J34:J65" si="4">F34*I34</f>
        <v>867</v>
      </c>
      <c r="K34" s="71">
        <f t="shared" ref="K34:K65" si="5">IF(LEN(G34)=0,0,G34)*I34</f>
        <v>0</v>
      </c>
      <c r="L34" s="71" t="s">
        <v>163</v>
      </c>
      <c r="M34" s="71" t="s">
        <v>49</v>
      </c>
      <c r="N34" s="71" t="s">
        <v>337</v>
      </c>
      <c r="O34" s="71"/>
      <c r="P34" s="71"/>
      <c r="Q34" s="71"/>
      <c r="R34" s="71"/>
      <c r="S34" s="71"/>
      <c r="T34" s="71"/>
    </row>
    <row r="35" spans="1:20" ht="15">
      <c r="A35" s="59" t="s">
        <v>395</v>
      </c>
      <c r="B35" s="59" t="s">
        <v>396</v>
      </c>
      <c r="C35" s="59" t="s">
        <v>95</v>
      </c>
      <c r="D35" s="70">
        <v>1165</v>
      </c>
      <c r="E35" s="70">
        <v>1500</v>
      </c>
      <c r="F35" s="70">
        <v>1</v>
      </c>
      <c r="G35" s="70">
        <v>0</v>
      </c>
      <c r="H35" s="59">
        <f t="shared" si="3"/>
        <v>1</v>
      </c>
      <c r="I35" s="59">
        <f>IF(D35&lt;&gt;"",D35,IFERROR(E35/(IFERROR(SUM(Sales!C:C),0))*(IFERROR(SUM(Purchases!C:C),0)),0))</f>
        <v>1165</v>
      </c>
      <c r="J35" s="59">
        <f t="shared" si="4"/>
        <v>1165</v>
      </c>
      <c r="K35" s="59">
        <f t="shared" si="5"/>
        <v>0</v>
      </c>
      <c r="L35" s="59" t="s">
        <v>164</v>
      </c>
      <c r="M35" s="59" t="s">
        <v>49</v>
      </c>
      <c r="N35" s="59" t="s">
        <v>337</v>
      </c>
      <c r="O35" s="59"/>
      <c r="P35" s="59"/>
      <c r="Q35" s="59"/>
      <c r="R35" s="59"/>
      <c r="S35" s="59"/>
      <c r="T35" s="59"/>
    </row>
    <row r="36" spans="1:20" ht="15">
      <c r="A36" s="67" t="s">
        <v>397</v>
      </c>
      <c r="B36" s="71" t="s">
        <v>398</v>
      </c>
      <c r="C36" s="71" t="s">
        <v>95</v>
      </c>
      <c r="D36" s="72">
        <v>1250</v>
      </c>
      <c r="E36" s="72">
        <v>1400</v>
      </c>
      <c r="F36" s="72">
        <v>1</v>
      </c>
      <c r="G36" s="72">
        <v>0</v>
      </c>
      <c r="H36" s="71">
        <f t="shared" si="3"/>
        <v>1</v>
      </c>
      <c r="I36" s="71">
        <f>IF(D36&lt;&gt;"",D36,IFERROR(E36/(IFERROR(SUM(Sales!C:C),0))*(IFERROR(SUM(Purchases!C:C),0)),0))</f>
        <v>1250</v>
      </c>
      <c r="J36" s="71">
        <f t="shared" si="4"/>
        <v>1250</v>
      </c>
      <c r="K36" s="71">
        <f t="shared" si="5"/>
        <v>0</v>
      </c>
      <c r="L36" s="71" t="s">
        <v>165</v>
      </c>
      <c r="M36" s="71" t="s">
        <v>49</v>
      </c>
      <c r="N36" s="71" t="s">
        <v>337</v>
      </c>
      <c r="O36" s="71"/>
      <c r="P36" s="71"/>
      <c r="Q36" s="71"/>
      <c r="R36" s="71"/>
      <c r="S36" s="71"/>
      <c r="T36" s="71"/>
    </row>
    <row r="37" spans="1:20" ht="15">
      <c r="A37" s="59" t="s">
        <v>399</v>
      </c>
      <c r="B37" s="59" t="s">
        <v>400</v>
      </c>
      <c r="C37" s="59" t="s">
        <v>96</v>
      </c>
      <c r="D37" s="70">
        <v>1941</v>
      </c>
      <c r="E37" s="70">
        <v>1800</v>
      </c>
      <c r="F37" s="70">
        <v>1</v>
      </c>
      <c r="G37" s="70">
        <v>0</v>
      </c>
      <c r="H37" s="59">
        <f t="shared" si="3"/>
        <v>1</v>
      </c>
      <c r="I37" s="59">
        <f>IF(D37&lt;&gt;"",D37,IFERROR(E37/(IFERROR(SUM(Sales!C:C),0))*(IFERROR(SUM(Purchases!C:C),0)),0))</f>
        <v>1941</v>
      </c>
      <c r="J37" s="59">
        <f t="shared" si="4"/>
        <v>1941</v>
      </c>
      <c r="K37" s="59">
        <f t="shared" si="5"/>
        <v>0</v>
      </c>
      <c r="L37" s="59" t="s">
        <v>166</v>
      </c>
      <c r="M37" s="59" t="s">
        <v>49</v>
      </c>
      <c r="N37" s="59" t="s">
        <v>337</v>
      </c>
      <c r="O37" s="59"/>
      <c r="P37" s="59"/>
      <c r="Q37" s="59"/>
      <c r="R37" s="59"/>
      <c r="S37" s="59"/>
      <c r="T37" s="59"/>
    </row>
    <row r="38" spans="1:20" ht="15">
      <c r="A38" s="67" t="s">
        <v>401</v>
      </c>
      <c r="B38" s="71" t="s">
        <v>402</v>
      </c>
      <c r="C38" s="71" t="s">
        <v>95</v>
      </c>
      <c r="D38" s="72">
        <v>1094</v>
      </c>
      <c r="E38" s="72">
        <v>1700</v>
      </c>
      <c r="F38" s="72">
        <v>1</v>
      </c>
      <c r="G38" s="72">
        <v>0</v>
      </c>
      <c r="H38" s="71">
        <f t="shared" si="3"/>
        <v>1</v>
      </c>
      <c r="I38" s="71">
        <f>IF(D38&lt;&gt;"",D38,IFERROR(E38/(IFERROR(SUM(Sales!C:C),0))*(IFERROR(SUM(Purchases!C:C),0)),0))</f>
        <v>1094</v>
      </c>
      <c r="J38" s="71">
        <f t="shared" si="4"/>
        <v>1094</v>
      </c>
      <c r="K38" s="71">
        <f t="shared" si="5"/>
        <v>0</v>
      </c>
      <c r="L38" s="71" t="s">
        <v>166</v>
      </c>
      <c r="M38" s="71" t="s">
        <v>49</v>
      </c>
      <c r="N38" s="71" t="s">
        <v>337</v>
      </c>
      <c r="O38" s="71"/>
      <c r="P38" s="71"/>
      <c r="Q38" s="71"/>
      <c r="R38" s="71"/>
      <c r="S38" s="71"/>
      <c r="T38" s="71"/>
    </row>
    <row r="39" spans="1:20" ht="15">
      <c r="A39" s="59" t="s">
        <v>403</v>
      </c>
      <c r="B39" s="59" t="s">
        <v>390</v>
      </c>
      <c r="C39" s="59" t="s">
        <v>96</v>
      </c>
      <c r="D39" s="70">
        <v>525</v>
      </c>
      <c r="E39" s="70">
        <v>800</v>
      </c>
      <c r="F39" s="70">
        <v>1</v>
      </c>
      <c r="G39" s="70">
        <v>0</v>
      </c>
      <c r="H39" s="59">
        <f t="shared" si="3"/>
        <v>1</v>
      </c>
      <c r="I39" s="59">
        <f>IF(D39&lt;&gt;"",D39,IFERROR(E39/(IFERROR(SUM(Sales!C:C),0))*(IFERROR(SUM(Purchases!C:C),0)),0))</f>
        <v>525</v>
      </c>
      <c r="J39" s="59">
        <f t="shared" si="4"/>
        <v>525</v>
      </c>
      <c r="K39" s="59">
        <f t="shared" si="5"/>
        <v>0</v>
      </c>
      <c r="L39" s="59" t="s">
        <v>167</v>
      </c>
      <c r="M39" s="59" t="s">
        <v>49</v>
      </c>
      <c r="N39" s="59" t="s">
        <v>337</v>
      </c>
      <c r="O39" s="59"/>
      <c r="P39" s="59"/>
      <c r="Q39" s="59"/>
      <c r="R39" s="59"/>
      <c r="S39" s="59"/>
      <c r="T39" s="59"/>
    </row>
    <row r="40" spans="1:20" ht="15">
      <c r="A40" s="67" t="s">
        <v>404</v>
      </c>
      <c r="B40" s="71" t="s">
        <v>405</v>
      </c>
      <c r="C40" s="71" t="s">
        <v>96</v>
      </c>
      <c r="D40" s="72">
        <v>1096</v>
      </c>
      <c r="E40" s="72">
        <v>1600</v>
      </c>
      <c r="F40" s="72">
        <v>1</v>
      </c>
      <c r="G40" s="72">
        <v>0</v>
      </c>
      <c r="H40" s="71">
        <f t="shared" si="3"/>
        <v>1</v>
      </c>
      <c r="I40" s="71">
        <f>IF(D40&lt;&gt;"",D40,IFERROR(E40/(IFERROR(SUM(Sales!C:C),0))*(IFERROR(SUM(Purchases!C:C),0)),0))</f>
        <v>1096</v>
      </c>
      <c r="J40" s="71">
        <f t="shared" si="4"/>
        <v>1096</v>
      </c>
      <c r="K40" s="71">
        <f t="shared" si="5"/>
        <v>0</v>
      </c>
      <c r="L40" s="71" t="s">
        <v>167</v>
      </c>
      <c r="M40" s="71" t="s">
        <v>49</v>
      </c>
      <c r="N40" s="71" t="s">
        <v>337</v>
      </c>
      <c r="O40" s="71"/>
      <c r="P40" s="71"/>
      <c r="Q40" s="71"/>
      <c r="R40" s="71"/>
      <c r="S40" s="71"/>
      <c r="T40" s="71"/>
    </row>
    <row r="41" spans="1:20" s="73" customFormat="1" ht="15">
      <c r="A41" s="59" t="s">
        <v>406</v>
      </c>
      <c r="B41" s="59" t="s">
        <v>366</v>
      </c>
      <c r="C41" s="59" t="s">
        <v>95</v>
      </c>
      <c r="D41" s="70">
        <v>995</v>
      </c>
      <c r="E41" s="70">
        <v>1000</v>
      </c>
      <c r="F41" s="70">
        <v>1</v>
      </c>
      <c r="G41" s="70">
        <v>0</v>
      </c>
      <c r="H41" s="59">
        <f t="shared" si="3"/>
        <v>1</v>
      </c>
      <c r="I41" s="59">
        <f>IF(D41&lt;&gt;"",D41,IFERROR(E41/(IFERROR(SUM(Sales!C:C),0))*(IFERROR(SUM(Purchases!C:C),0)),0))</f>
        <v>995</v>
      </c>
      <c r="J41" s="59">
        <f t="shared" si="4"/>
        <v>995</v>
      </c>
      <c r="K41" s="59">
        <f t="shared" si="5"/>
        <v>0</v>
      </c>
      <c r="L41" s="59" t="s">
        <v>168</v>
      </c>
      <c r="M41" s="59" t="s">
        <v>49</v>
      </c>
      <c r="N41" s="59" t="s">
        <v>337</v>
      </c>
      <c r="O41" s="59"/>
      <c r="P41" s="59"/>
      <c r="Q41" s="59"/>
      <c r="R41" s="59"/>
      <c r="S41" s="59"/>
      <c r="T41" s="59"/>
    </row>
    <row r="42" spans="1:20" ht="15">
      <c r="A42" s="67" t="s">
        <v>407</v>
      </c>
      <c r="B42" s="71" t="s">
        <v>408</v>
      </c>
      <c r="C42" s="71" t="s">
        <v>96</v>
      </c>
      <c r="D42" s="72">
        <v>1096</v>
      </c>
      <c r="E42" s="72">
        <v>1550</v>
      </c>
      <c r="F42" s="72">
        <v>1</v>
      </c>
      <c r="G42" s="72">
        <v>0</v>
      </c>
      <c r="H42" s="71">
        <f t="shared" si="3"/>
        <v>1</v>
      </c>
      <c r="I42" s="71">
        <f>IF(D42&lt;&gt;"",D42,IFERROR(E42/(IFERROR(SUM(Sales!C:C),0))*(IFERROR(SUM(Purchases!C:C),0)),0))</f>
        <v>1096</v>
      </c>
      <c r="J42" s="71">
        <f t="shared" si="4"/>
        <v>1096</v>
      </c>
      <c r="K42" s="71">
        <f t="shared" si="5"/>
        <v>0</v>
      </c>
      <c r="L42" s="71" t="s">
        <v>169</v>
      </c>
      <c r="M42" s="71" t="s">
        <v>49</v>
      </c>
      <c r="N42" s="71" t="s">
        <v>337</v>
      </c>
      <c r="O42" s="71"/>
      <c r="P42" s="71"/>
      <c r="Q42" s="71"/>
      <c r="R42" s="71"/>
      <c r="S42" s="71"/>
      <c r="T42" s="71"/>
    </row>
    <row r="43" spans="1:20" ht="15">
      <c r="A43" s="59" t="s">
        <v>409</v>
      </c>
      <c r="B43" s="59" t="s">
        <v>410</v>
      </c>
      <c r="C43" s="59" t="s">
        <v>96</v>
      </c>
      <c r="D43" s="70">
        <v>839</v>
      </c>
      <c r="E43" s="70">
        <v>950</v>
      </c>
      <c r="F43" s="70">
        <v>1</v>
      </c>
      <c r="G43" s="70">
        <v>0</v>
      </c>
      <c r="H43" s="59">
        <f t="shared" si="3"/>
        <v>1</v>
      </c>
      <c r="I43" s="59">
        <f>IF(D43&lt;&gt;"",D43,IFERROR(E43/(IFERROR(SUM(Sales!C:C),0))*(IFERROR(SUM(Purchases!C:C),0)),0))</f>
        <v>839</v>
      </c>
      <c r="J43" s="59">
        <f t="shared" si="4"/>
        <v>839</v>
      </c>
      <c r="K43" s="59">
        <f t="shared" si="5"/>
        <v>0</v>
      </c>
      <c r="L43" s="59" t="s">
        <v>169</v>
      </c>
      <c r="M43" s="59" t="s">
        <v>49</v>
      </c>
      <c r="N43" s="59" t="s">
        <v>337</v>
      </c>
      <c r="O43" s="59"/>
      <c r="P43" s="59"/>
      <c r="Q43" s="59"/>
      <c r="R43" s="59"/>
      <c r="S43" s="59"/>
      <c r="T43" s="59"/>
    </row>
    <row r="44" spans="1:20" ht="15">
      <c r="A44" s="67" t="s">
        <v>411</v>
      </c>
      <c r="B44" s="71" t="s">
        <v>396</v>
      </c>
      <c r="C44" s="71" t="s">
        <v>96</v>
      </c>
      <c r="D44" s="72">
        <v>1165</v>
      </c>
      <c r="E44" s="72">
        <v>1500</v>
      </c>
      <c r="F44" s="72">
        <v>2</v>
      </c>
      <c r="G44" s="72">
        <v>0</v>
      </c>
      <c r="H44" s="71">
        <f t="shared" si="3"/>
        <v>2</v>
      </c>
      <c r="I44" s="71">
        <f>IF(D44&lt;&gt;"",D44,IFERROR(E44/(IFERROR(SUM(Sales!C:C),0))*(IFERROR(SUM(Purchases!C:C),0)),0))</f>
        <v>1165</v>
      </c>
      <c r="J44" s="71">
        <f t="shared" si="4"/>
        <v>2330</v>
      </c>
      <c r="K44" s="71">
        <f t="shared" si="5"/>
        <v>0</v>
      </c>
      <c r="L44" s="71" t="s">
        <v>412</v>
      </c>
      <c r="M44" s="71" t="s">
        <v>49</v>
      </c>
      <c r="N44" s="71" t="s">
        <v>337</v>
      </c>
      <c r="O44" s="71" t="s">
        <v>207</v>
      </c>
      <c r="P44" s="71"/>
      <c r="Q44" s="71" t="s">
        <v>413</v>
      </c>
      <c r="R44" s="71"/>
      <c r="S44" s="71"/>
      <c r="T44" s="71"/>
    </row>
    <row r="45" spans="1:20" s="73" customFormat="1" ht="15">
      <c r="A45" s="59" t="s">
        <v>414</v>
      </c>
      <c r="B45" s="59" t="s">
        <v>415</v>
      </c>
      <c r="C45" s="59" t="s">
        <v>95</v>
      </c>
      <c r="D45" s="70">
        <v>1048</v>
      </c>
      <c r="E45" s="70">
        <v>1900</v>
      </c>
      <c r="F45" s="70">
        <v>1</v>
      </c>
      <c r="G45" s="70">
        <v>0</v>
      </c>
      <c r="H45" s="59">
        <f t="shared" si="3"/>
        <v>1</v>
      </c>
      <c r="I45" s="59">
        <f>IF(D45&lt;&gt;"",D45,IFERROR(E45/(IFERROR(SUM(Sales!C:C),0))*(IFERROR(SUM(Purchases!C:C),0)),0))</f>
        <v>1048</v>
      </c>
      <c r="J45" s="59">
        <f t="shared" si="4"/>
        <v>1048</v>
      </c>
      <c r="K45" s="59">
        <f t="shared" si="5"/>
        <v>0</v>
      </c>
      <c r="L45" s="59" t="s">
        <v>170</v>
      </c>
      <c r="M45" s="59" t="s">
        <v>49</v>
      </c>
      <c r="N45" s="59" t="s">
        <v>337</v>
      </c>
      <c r="O45" s="59"/>
      <c r="P45" s="59"/>
      <c r="Q45" s="59"/>
      <c r="R45" s="59"/>
      <c r="S45" s="59"/>
      <c r="T45" s="59"/>
    </row>
    <row r="46" spans="1:20" s="73" customFormat="1" ht="15">
      <c r="A46" s="67" t="s">
        <v>416</v>
      </c>
      <c r="B46" s="71" t="s">
        <v>417</v>
      </c>
      <c r="C46" s="71" t="s">
        <v>95</v>
      </c>
      <c r="D46" s="72">
        <v>372</v>
      </c>
      <c r="E46" s="72">
        <v>650</v>
      </c>
      <c r="F46" s="72">
        <v>1</v>
      </c>
      <c r="G46" s="72">
        <v>0</v>
      </c>
      <c r="H46" s="71">
        <f t="shared" si="3"/>
        <v>1</v>
      </c>
      <c r="I46" s="71">
        <f>IF(D46&lt;&gt;"",D46,IFERROR(E46/(IFERROR(SUM(Sales!C:C),0))*(IFERROR(SUM(Purchases!C:C),0)),0))</f>
        <v>372</v>
      </c>
      <c r="J46" s="71">
        <f t="shared" si="4"/>
        <v>372</v>
      </c>
      <c r="K46" s="71">
        <f t="shared" si="5"/>
        <v>0</v>
      </c>
      <c r="L46" s="71" t="s">
        <v>170</v>
      </c>
      <c r="M46" s="71" t="s">
        <v>49</v>
      </c>
      <c r="N46" s="71" t="s">
        <v>337</v>
      </c>
      <c r="O46" s="71"/>
      <c r="P46" s="71"/>
      <c r="Q46" s="71"/>
      <c r="R46" s="71"/>
      <c r="S46" s="71"/>
      <c r="T46" s="71"/>
    </row>
    <row r="47" spans="1:20" s="73" customFormat="1" ht="15">
      <c r="A47" s="59" t="s">
        <v>418</v>
      </c>
      <c r="B47" s="59" t="s">
        <v>419</v>
      </c>
      <c r="C47" s="59" t="s">
        <v>95</v>
      </c>
      <c r="D47" s="70">
        <v>1094</v>
      </c>
      <c r="E47" s="70">
        <v>1400</v>
      </c>
      <c r="F47" s="70">
        <v>4</v>
      </c>
      <c r="G47" s="70">
        <v>1</v>
      </c>
      <c r="H47" s="59">
        <f t="shared" si="3"/>
        <v>5</v>
      </c>
      <c r="I47" s="59">
        <f>IF(D47&lt;&gt;"",D47,IFERROR(E47/(IFERROR(SUM(Sales!C:C),0))*(IFERROR(SUM(Purchases!C:C),0)),0))</f>
        <v>1094</v>
      </c>
      <c r="J47" s="59">
        <f t="shared" si="4"/>
        <v>4376</v>
      </c>
      <c r="K47" s="59">
        <f t="shared" si="5"/>
        <v>1094</v>
      </c>
      <c r="L47" s="59" t="s">
        <v>420</v>
      </c>
      <c r="M47" s="59" t="s">
        <v>421</v>
      </c>
      <c r="N47" s="59" t="s">
        <v>422</v>
      </c>
      <c r="O47" s="59"/>
      <c r="P47" s="59"/>
      <c r="Q47" s="59"/>
      <c r="R47" s="59"/>
      <c r="S47" s="59"/>
      <c r="T47" s="59"/>
    </row>
    <row r="48" spans="1:20" s="73" customFormat="1" ht="15">
      <c r="A48" s="67" t="s">
        <v>423</v>
      </c>
      <c r="B48" s="71" t="s">
        <v>424</v>
      </c>
      <c r="C48" s="71" t="s">
        <v>95</v>
      </c>
      <c r="D48" s="72">
        <v>779</v>
      </c>
      <c r="E48" s="72">
        <v>1000</v>
      </c>
      <c r="F48" s="72">
        <v>1</v>
      </c>
      <c r="G48" s="72">
        <v>0</v>
      </c>
      <c r="H48" s="71">
        <f t="shared" si="3"/>
        <v>1</v>
      </c>
      <c r="I48" s="71">
        <f>IF(D48&lt;&gt;"",D48,IFERROR(E48/(IFERROR(SUM(Sales!C:C),0))*(IFERROR(SUM(Purchases!C:C),0)),0))</f>
        <v>779</v>
      </c>
      <c r="J48" s="71">
        <f t="shared" si="4"/>
        <v>779</v>
      </c>
      <c r="K48" s="71">
        <f t="shared" si="5"/>
        <v>0</v>
      </c>
      <c r="L48" s="71" t="s">
        <v>170</v>
      </c>
      <c r="M48" s="71" t="s">
        <v>49</v>
      </c>
      <c r="N48" s="71" t="s">
        <v>337</v>
      </c>
      <c r="O48" s="71"/>
      <c r="P48" s="71"/>
      <c r="Q48" s="71"/>
      <c r="R48" s="71"/>
      <c r="S48" s="71"/>
      <c r="T48" s="71"/>
    </row>
    <row r="49" spans="1:20" s="73" customFormat="1" ht="15">
      <c r="A49" s="59" t="s">
        <v>425</v>
      </c>
      <c r="B49" s="59" t="s">
        <v>426</v>
      </c>
      <c r="C49" s="59" t="s">
        <v>95</v>
      </c>
      <c r="D49" s="70">
        <v>895</v>
      </c>
      <c r="E49" s="70">
        <v>1400</v>
      </c>
      <c r="F49" s="70">
        <v>1</v>
      </c>
      <c r="G49" s="70">
        <v>0</v>
      </c>
      <c r="H49" s="59">
        <f t="shared" si="3"/>
        <v>1</v>
      </c>
      <c r="I49" s="59">
        <f>IF(D49&lt;&gt;"",D49,IFERROR(E49/(IFERROR(SUM(Sales!C:C),0))*(IFERROR(SUM(Purchases!C:C),0)),0))</f>
        <v>895</v>
      </c>
      <c r="J49" s="59">
        <f t="shared" si="4"/>
        <v>895</v>
      </c>
      <c r="K49" s="59">
        <f t="shared" si="5"/>
        <v>0</v>
      </c>
      <c r="L49" s="59" t="s">
        <v>170</v>
      </c>
      <c r="M49" s="59" t="s">
        <v>49</v>
      </c>
      <c r="N49" s="59" t="s">
        <v>337</v>
      </c>
      <c r="O49" s="59"/>
      <c r="P49" s="59" t="s">
        <v>427</v>
      </c>
      <c r="Q49" s="59"/>
      <c r="R49" s="59"/>
      <c r="S49" s="59"/>
      <c r="T49" s="59"/>
    </row>
    <row r="50" spans="1:20" ht="15">
      <c r="A50" s="67" t="s">
        <v>428</v>
      </c>
      <c r="B50" s="71" t="s">
        <v>429</v>
      </c>
      <c r="C50" s="71" t="s">
        <v>96</v>
      </c>
      <c r="D50" s="72">
        <v>1145</v>
      </c>
      <c r="E50" s="72">
        <v>1400</v>
      </c>
      <c r="F50" s="72">
        <v>1</v>
      </c>
      <c r="G50" s="72">
        <v>0</v>
      </c>
      <c r="H50" s="71">
        <f t="shared" si="3"/>
        <v>1</v>
      </c>
      <c r="I50" s="71">
        <f>IF(D50&lt;&gt;"",D50,IFERROR(E50/(IFERROR(SUM(Sales!C:C),0))*(IFERROR(SUM(Purchases!C:C),0)),0))</f>
        <v>1145</v>
      </c>
      <c r="J50" s="71">
        <f t="shared" si="4"/>
        <v>1145</v>
      </c>
      <c r="K50" s="71">
        <f t="shared" si="5"/>
        <v>0</v>
      </c>
      <c r="L50" s="71" t="s">
        <v>51</v>
      </c>
      <c r="M50" s="71" t="s">
        <v>49</v>
      </c>
      <c r="N50" s="71" t="s">
        <v>337</v>
      </c>
      <c r="O50" s="71"/>
      <c r="P50" s="71"/>
      <c r="Q50" s="71"/>
      <c r="R50" s="71"/>
      <c r="S50" s="71"/>
      <c r="T50" s="71"/>
    </row>
    <row r="51" spans="1:20" ht="15">
      <c r="A51" s="59" t="s">
        <v>430</v>
      </c>
      <c r="B51" s="59" t="s">
        <v>396</v>
      </c>
      <c r="C51" s="59" t="s">
        <v>96</v>
      </c>
      <c r="D51" s="70">
        <v>1165</v>
      </c>
      <c r="E51" s="70">
        <v>1400</v>
      </c>
      <c r="F51" s="70">
        <v>1</v>
      </c>
      <c r="G51" s="70">
        <v>0</v>
      </c>
      <c r="H51" s="59">
        <f t="shared" si="3"/>
        <v>1</v>
      </c>
      <c r="I51" s="59">
        <f>IF(D51&lt;&gt;"",D51,IFERROR(E51/(IFERROR(SUM(Sales!C:C),0))*(IFERROR(SUM(Purchases!C:C),0)),0))</f>
        <v>1165</v>
      </c>
      <c r="J51" s="59">
        <f t="shared" si="4"/>
        <v>1165</v>
      </c>
      <c r="K51" s="59">
        <f t="shared" si="5"/>
        <v>0</v>
      </c>
      <c r="L51" s="59" t="s">
        <v>51</v>
      </c>
      <c r="M51" s="59" t="s">
        <v>49</v>
      </c>
      <c r="N51" s="59" t="s">
        <v>337</v>
      </c>
      <c r="O51" s="59"/>
      <c r="P51" s="59"/>
      <c r="Q51" s="59"/>
      <c r="R51" s="59"/>
      <c r="S51" s="59"/>
      <c r="T51" s="59"/>
    </row>
    <row r="52" spans="1:20" ht="15">
      <c r="A52" s="67" t="s">
        <v>431</v>
      </c>
      <c r="B52" s="71" t="s">
        <v>289</v>
      </c>
      <c r="C52" s="71" t="s">
        <v>96</v>
      </c>
      <c r="D52" s="72">
        <v>1200</v>
      </c>
      <c r="E52" s="72">
        <v>799</v>
      </c>
      <c r="F52" s="72">
        <v>1</v>
      </c>
      <c r="G52" s="72">
        <v>3</v>
      </c>
      <c r="H52" s="71">
        <f t="shared" si="3"/>
        <v>4</v>
      </c>
      <c r="I52" s="71">
        <f>IF(D52&lt;&gt;"",D52,IFERROR(E52/(IFERROR(SUM(Sales!C:C),0))*(IFERROR(SUM(Purchases!C:C),0)),0))</f>
        <v>1200</v>
      </c>
      <c r="J52" s="71">
        <f t="shared" si="4"/>
        <v>1200</v>
      </c>
      <c r="K52" s="71">
        <f t="shared" si="5"/>
        <v>3600</v>
      </c>
      <c r="L52" s="71" t="s">
        <v>288</v>
      </c>
      <c r="M52" s="71"/>
      <c r="N52" s="71" t="s">
        <v>422</v>
      </c>
      <c r="O52" s="71" t="s">
        <v>432</v>
      </c>
      <c r="P52" s="71" t="s">
        <v>433</v>
      </c>
      <c r="Q52" s="71"/>
      <c r="R52" s="71"/>
      <c r="S52" s="71"/>
      <c r="T52" s="71"/>
    </row>
    <row r="53" spans="1:20" ht="15">
      <c r="A53" s="59" t="s">
        <v>434</v>
      </c>
      <c r="B53" s="59" t="s">
        <v>287</v>
      </c>
      <c r="C53" s="59" t="s">
        <v>96</v>
      </c>
      <c r="D53" s="70">
        <v>1941</v>
      </c>
      <c r="E53" s="70">
        <v>1250</v>
      </c>
      <c r="F53" s="70">
        <v>2</v>
      </c>
      <c r="G53" s="70">
        <v>1</v>
      </c>
      <c r="H53" s="59">
        <f t="shared" si="3"/>
        <v>3</v>
      </c>
      <c r="I53" s="59">
        <f>IF(D53&lt;&gt;"",D53,IFERROR(E53/(IFERROR(SUM(Sales!C:C),0))*(IFERROR(SUM(Purchases!C:C),0)),0))</f>
        <v>1941</v>
      </c>
      <c r="J53" s="59">
        <f t="shared" si="4"/>
        <v>3882</v>
      </c>
      <c r="K53" s="59">
        <f t="shared" si="5"/>
        <v>1941</v>
      </c>
      <c r="L53" s="59" t="s">
        <v>435</v>
      </c>
      <c r="M53" s="59"/>
      <c r="N53" s="59" t="s">
        <v>311</v>
      </c>
      <c r="O53" s="59" t="s">
        <v>220</v>
      </c>
      <c r="P53" s="59" t="s">
        <v>436</v>
      </c>
      <c r="Q53" s="59"/>
      <c r="R53" s="59"/>
      <c r="S53" s="59"/>
      <c r="T53" s="59"/>
    </row>
    <row r="54" spans="1:20" s="76" customFormat="1" ht="15">
      <c r="A54" s="67" t="s">
        <v>437</v>
      </c>
      <c r="B54" s="74" t="s">
        <v>438</v>
      </c>
      <c r="C54" s="74" t="s">
        <v>96</v>
      </c>
      <c r="D54" s="75">
        <v>1476</v>
      </c>
      <c r="E54" s="75">
        <v>1600</v>
      </c>
      <c r="F54" s="75">
        <v>0</v>
      </c>
      <c r="G54" s="75">
        <v>2</v>
      </c>
      <c r="H54" s="74">
        <f t="shared" si="3"/>
        <v>2</v>
      </c>
      <c r="I54" s="74">
        <f>IF(D54&lt;&gt;"",D54,IFERROR(E54/(IFERROR(SUM(Sales!C:C),0))*(IFERROR(SUM(Purchases!C:C),0)),0))</f>
        <v>1476</v>
      </c>
      <c r="J54" s="74">
        <f t="shared" si="4"/>
        <v>0</v>
      </c>
      <c r="K54" s="74">
        <f t="shared" si="5"/>
        <v>2952</v>
      </c>
      <c r="L54" s="74"/>
      <c r="M54" s="74"/>
      <c r="N54" s="74" t="s">
        <v>311</v>
      </c>
      <c r="O54" s="74" t="s">
        <v>198</v>
      </c>
      <c r="P54" s="74" t="s">
        <v>439</v>
      </c>
      <c r="Q54" s="71" t="s">
        <v>440</v>
      </c>
      <c r="R54" s="74"/>
      <c r="S54" s="74"/>
      <c r="T54" s="74"/>
    </row>
    <row r="55" spans="1:20" ht="15">
      <c r="A55" s="59" t="s">
        <v>441</v>
      </c>
      <c r="B55" s="59" t="s">
        <v>442</v>
      </c>
      <c r="C55" s="59" t="s">
        <v>96</v>
      </c>
      <c r="D55" s="70">
        <v>995</v>
      </c>
      <c r="E55" s="70">
        <v>1000</v>
      </c>
      <c r="F55" s="70">
        <v>1</v>
      </c>
      <c r="G55" s="70">
        <v>1</v>
      </c>
      <c r="H55" s="59">
        <f t="shared" si="3"/>
        <v>2</v>
      </c>
      <c r="I55" s="59">
        <f>IF(D55&lt;&gt;"",D55,IFERROR(E55/(IFERROR(SUM(Sales!C:C),0))*(IFERROR(SUM(Purchases!C:C),0)),0))</f>
        <v>995</v>
      </c>
      <c r="J55" s="59">
        <f t="shared" si="4"/>
        <v>995</v>
      </c>
      <c r="K55" s="59">
        <f t="shared" si="5"/>
        <v>995</v>
      </c>
      <c r="L55" s="59" t="s">
        <v>443</v>
      </c>
      <c r="M55" s="59" t="s">
        <v>49</v>
      </c>
      <c r="N55" s="59" t="s">
        <v>422</v>
      </c>
      <c r="O55" s="59" t="s">
        <v>198</v>
      </c>
      <c r="P55" s="59"/>
      <c r="Q55" s="59"/>
      <c r="R55" s="59"/>
      <c r="S55" s="59"/>
      <c r="T55" s="59"/>
    </row>
    <row r="56" spans="1:20" ht="15">
      <c r="A56" s="67" t="s">
        <v>444</v>
      </c>
      <c r="B56" s="71" t="s">
        <v>352</v>
      </c>
      <c r="C56" s="71" t="s">
        <v>96</v>
      </c>
      <c r="D56" s="72">
        <v>839</v>
      </c>
      <c r="E56" s="72">
        <v>1000</v>
      </c>
      <c r="F56" s="72">
        <v>1</v>
      </c>
      <c r="G56" s="72">
        <v>0</v>
      </c>
      <c r="H56" s="71">
        <f t="shared" si="3"/>
        <v>1</v>
      </c>
      <c r="I56" s="71">
        <f>IF(D56&lt;&gt;"",D56,IFERROR(E56/(IFERROR(SUM(Sales!C:C),0))*(IFERROR(SUM(Purchases!C:C),0)),0))</f>
        <v>839</v>
      </c>
      <c r="J56" s="71">
        <f t="shared" si="4"/>
        <v>839</v>
      </c>
      <c r="K56" s="71">
        <f t="shared" si="5"/>
        <v>0</v>
      </c>
      <c r="L56" s="71" t="s">
        <v>51</v>
      </c>
      <c r="M56" s="71" t="s">
        <v>49</v>
      </c>
      <c r="N56" s="71" t="s">
        <v>337</v>
      </c>
      <c r="O56" s="71" t="s">
        <v>445</v>
      </c>
      <c r="P56" s="71"/>
      <c r="Q56" s="71"/>
      <c r="R56" s="71"/>
      <c r="S56" s="71"/>
      <c r="T56" s="71"/>
    </row>
    <row r="57" spans="1:20" ht="15">
      <c r="A57" s="59" t="s">
        <v>446</v>
      </c>
      <c r="B57" s="59" t="s">
        <v>447</v>
      </c>
      <c r="C57" s="59" t="s">
        <v>96</v>
      </c>
      <c r="D57" s="70">
        <v>1095</v>
      </c>
      <c r="E57" s="70">
        <v>1400</v>
      </c>
      <c r="F57" s="70">
        <v>0</v>
      </c>
      <c r="G57" s="70">
        <v>3</v>
      </c>
      <c r="H57" s="59">
        <f t="shared" si="3"/>
        <v>3</v>
      </c>
      <c r="I57" s="59">
        <f>IF(D57&lt;&gt;"",D57,IFERROR(E57/(IFERROR(SUM(Sales!C:C),0))*(IFERROR(SUM(Purchases!C:C),0)),0))</f>
        <v>1095</v>
      </c>
      <c r="J57" s="59">
        <f t="shared" si="4"/>
        <v>0</v>
      </c>
      <c r="K57" s="59">
        <f t="shared" si="5"/>
        <v>3285</v>
      </c>
      <c r="L57" s="59"/>
      <c r="M57" s="59"/>
      <c r="N57" s="59" t="s">
        <v>311</v>
      </c>
      <c r="O57" s="59" t="s">
        <v>448</v>
      </c>
      <c r="P57" s="59"/>
      <c r="Q57" s="59"/>
      <c r="R57" s="59"/>
      <c r="S57" s="59"/>
      <c r="T57" s="59"/>
    </row>
    <row r="58" spans="1:20" ht="15">
      <c r="A58" s="67" t="s">
        <v>449</v>
      </c>
      <c r="B58" s="71" t="s">
        <v>450</v>
      </c>
      <c r="C58" s="71" t="s">
        <v>96</v>
      </c>
      <c r="D58" s="72">
        <v>839</v>
      </c>
      <c r="E58" s="72">
        <v>1000</v>
      </c>
      <c r="F58" s="72">
        <v>0</v>
      </c>
      <c r="G58" s="72">
        <v>2</v>
      </c>
      <c r="H58" s="71">
        <f t="shared" si="3"/>
        <v>2</v>
      </c>
      <c r="I58" s="71">
        <f>IF(D58&lt;&gt;"",D58,IFERROR(E58/(IFERROR(SUM(Sales!C:C),0))*(IFERROR(SUM(Purchases!C:C),0)),0))</f>
        <v>839</v>
      </c>
      <c r="J58" s="71">
        <f t="shared" si="4"/>
        <v>0</v>
      </c>
      <c r="K58" s="71">
        <f t="shared" si="5"/>
        <v>1678</v>
      </c>
      <c r="L58" s="71"/>
      <c r="M58" s="71"/>
      <c r="N58" s="71" t="s">
        <v>311</v>
      </c>
      <c r="O58" s="71" t="s">
        <v>451</v>
      </c>
      <c r="P58" s="71"/>
      <c r="Q58" s="71"/>
      <c r="R58" s="71"/>
      <c r="S58" s="71"/>
      <c r="T58" s="71"/>
    </row>
    <row r="59" spans="1:20" ht="15">
      <c r="A59" s="59" t="s">
        <v>452</v>
      </c>
      <c r="B59" s="59" t="s">
        <v>429</v>
      </c>
      <c r="C59" s="59" t="s">
        <v>96</v>
      </c>
      <c r="D59" s="70">
        <v>1145</v>
      </c>
      <c r="E59" s="70">
        <v>1500</v>
      </c>
      <c r="F59" s="70">
        <v>1</v>
      </c>
      <c r="G59" s="70">
        <v>2</v>
      </c>
      <c r="H59" s="59">
        <f t="shared" si="3"/>
        <v>3</v>
      </c>
      <c r="I59" s="59">
        <f>IF(D59&lt;&gt;"",D59,IFERROR(E59/(IFERROR(SUM(Sales!C:C),0))*(IFERROR(SUM(Purchases!C:C),0)),0))</f>
        <v>1145</v>
      </c>
      <c r="J59" s="59">
        <f t="shared" si="4"/>
        <v>1145</v>
      </c>
      <c r="K59" s="59">
        <f t="shared" si="5"/>
        <v>2290</v>
      </c>
      <c r="L59" s="59" t="s">
        <v>453</v>
      </c>
      <c r="M59" s="59"/>
      <c r="N59" s="59" t="s">
        <v>422</v>
      </c>
      <c r="O59" s="59" t="s">
        <v>454</v>
      </c>
      <c r="P59" s="59" t="s">
        <v>455</v>
      </c>
      <c r="Q59" s="59"/>
      <c r="R59" s="59"/>
      <c r="S59" s="59"/>
      <c r="T59" s="59"/>
    </row>
    <row r="60" spans="1:20" ht="15">
      <c r="A60" s="67" t="s">
        <v>456</v>
      </c>
      <c r="B60" s="71" t="s">
        <v>457</v>
      </c>
      <c r="C60" s="71" t="s">
        <v>96</v>
      </c>
      <c r="D60" s="72">
        <v>1080</v>
      </c>
      <c r="E60" s="72">
        <v>1400</v>
      </c>
      <c r="F60" s="72">
        <v>1</v>
      </c>
      <c r="G60" s="72">
        <v>1</v>
      </c>
      <c r="H60" s="71">
        <f t="shared" si="3"/>
        <v>2</v>
      </c>
      <c r="I60" s="71">
        <f>IF(D60&lt;&gt;"",D60,IFERROR(E60/(IFERROR(SUM(Sales!C:C),0))*(IFERROR(SUM(Purchases!C:C),0)),0))</f>
        <v>1080</v>
      </c>
      <c r="J60" s="71">
        <f t="shared" si="4"/>
        <v>1080</v>
      </c>
      <c r="K60" s="71">
        <f t="shared" si="5"/>
        <v>1080</v>
      </c>
      <c r="L60" s="71" t="s">
        <v>458</v>
      </c>
      <c r="M60" s="71" t="s">
        <v>49</v>
      </c>
      <c r="N60" s="71" t="s">
        <v>337</v>
      </c>
      <c r="O60" s="71"/>
      <c r="P60" s="71" t="s">
        <v>459</v>
      </c>
      <c r="Q60" s="71"/>
      <c r="R60" s="71"/>
      <c r="S60" s="71"/>
      <c r="T60" s="71"/>
    </row>
    <row r="61" spans="1:20" ht="45">
      <c r="A61" s="59" t="s">
        <v>460</v>
      </c>
      <c r="B61" s="59" t="s">
        <v>408</v>
      </c>
      <c r="C61" s="59" t="s">
        <v>96</v>
      </c>
      <c r="D61" s="70">
        <v>1096</v>
      </c>
      <c r="E61" s="70">
        <v>1600</v>
      </c>
      <c r="F61" s="70">
        <v>2</v>
      </c>
      <c r="G61" s="70">
        <v>4</v>
      </c>
      <c r="H61" s="59">
        <f t="shared" si="3"/>
        <v>6</v>
      </c>
      <c r="I61" s="59">
        <f>IF(D61&lt;&gt;"",D61,IFERROR(E61/(IFERROR(SUM(Sales!C:C),0))*(IFERROR(SUM(Purchases!C:C),0)),0))</f>
        <v>1096</v>
      </c>
      <c r="J61" s="59">
        <f t="shared" si="4"/>
        <v>2192</v>
      </c>
      <c r="K61" s="59">
        <f t="shared" si="5"/>
        <v>4384</v>
      </c>
      <c r="L61" s="59" t="s">
        <v>461</v>
      </c>
      <c r="M61" s="59"/>
      <c r="N61" s="59" t="s">
        <v>422</v>
      </c>
      <c r="O61" s="59" t="s">
        <v>462</v>
      </c>
      <c r="P61" s="59" t="s">
        <v>463</v>
      </c>
      <c r="Q61" s="59" t="s">
        <v>464</v>
      </c>
      <c r="R61" s="59"/>
      <c r="S61" s="59"/>
      <c r="T61" s="59"/>
    </row>
    <row r="62" spans="1:20" ht="15">
      <c r="A62" s="67" t="s">
        <v>465</v>
      </c>
      <c r="B62" s="71" t="s">
        <v>109</v>
      </c>
      <c r="C62" s="71" t="s">
        <v>95</v>
      </c>
      <c r="D62" s="72">
        <v>562</v>
      </c>
      <c r="E62" s="72">
        <v>750</v>
      </c>
      <c r="F62" s="72">
        <v>1</v>
      </c>
      <c r="G62" s="72">
        <v>1</v>
      </c>
      <c r="H62" s="71">
        <f t="shared" si="3"/>
        <v>2</v>
      </c>
      <c r="I62" s="71">
        <f>IF(D62&lt;&gt;"",D62,IFERROR(E62/(IFERROR(SUM(Sales!C:C),0))*(IFERROR(SUM(Purchases!C:C),0)),0))</f>
        <v>562</v>
      </c>
      <c r="J62" s="71">
        <f t="shared" si="4"/>
        <v>562</v>
      </c>
      <c r="K62" s="71">
        <f t="shared" si="5"/>
        <v>562</v>
      </c>
      <c r="L62" s="71" t="s">
        <v>466</v>
      </c>
      <c r="M62" s="71"/>
      <c r="N62" s="71" t="s">
        <v>422</v>
      </c>
      <c r="O62" s="71"/>
      <c r="P62" s="71"/>
      <c r="Q62" s="71"/>
      <c r="R62" s="71"/>
      <c r="S62" s="71"/>
      <c r="T62" s="71"/>
    </row>
    <row r="63" spans="1:20" ht="15">
      <c r="A63" s="59" t="s">
        <v>467</v>
      </c>
      <c r="B63" s="59" t="s">
        <v>343</v>
      </c>
      <c r="C63" s="59" t="s">
        <v>95</v>
      </c>
      <c r="D63" s="70">
        <v>525</v>
      </c>
      <c r="E63" s="70">
        <v>700</v>
      </c>
      <c r="F63" s="70">
        <v>1</v>
      </c>
      <c r="G63" s="70">
        <v>0</v>
      </c>
      <c r="H63" s="59">
        <f t="shared" si="3"/>
        <v>1</v>
      </c>
      <c r="I63" s="59">
        <f>IF(D63&lt;&gt;"",D63,IFERROR(E63/(IFERROR(SUM(Sales!C:C),0))*(IFERROR(SUM(Purchases!C:C),0)),0))</f>
        <v>525</v>
      </c>
      <c r="J63" s="59">
        <f t="shared" si="4"/>
        <v>525</v>
      </c>
      <c r="K63" s="59">
        <f t="shared" si="5"/>
        <v>0</v>
      </c>
      <c r="L63" s="59" t="s">
        <v>168</v>
      </c>
      <c r="M63" s="59"/>
      <c r="N63" s="59" t="s">
        <v>337</v>
      </c>
      <c r="O63" s="59"/>
      <c r="P63" s="59"/>
      <c r="Q63" s="59"/>
      <c r="R63" s="59"/>
      <c r="S63" s="59"/>
      <c r="T63" s="59"/>
    </row>
    <row r="64" spans="1:20" ht="15">
      <c r="A64" s="67" t="s">
        <v>468</v>
      </c>
      <c r="B64" s="71" t="s">
        <v>343</v>
      </c>
      <c r="C64" s="71" t="s">
        <v>95</v>
      </c>
      <c r="D64" s="72">
        <v>972</v>
      </c>
      <c r="E64" s="72">
        <v>1600</v>
      </c>
      <c r="F64" s="72">
        <v>1</v>
      </c>
      <c r="G64" s="72">
        <v>0</v>
      </c>
      <c r="H64" s="71">
        <f t="shared" si="3"/>
        <v>1</v>
      </c>
      <c r="I64" s="71">
        <f>IF(D64&lt;&gt;"",D64,IFERROR(E64/(IFERROR(SUM(Sales!C:C),0))*(IFERROR(SUM(Purchases!C:C),0)),0))</f>
        <v>972</v>
      </c>
      <c r="J64" s="71">
        <f t="shared" si="4"/>
        <v>972</v>
      </c>
      <c r="K64" s="71">
        <f t="shared" si="5"/>
        <v>0</v>
      </c>
      <c r="L64" s="71" t="s">
        <v>192</v>
      </c>
      <c r="M64" s="71"/>
      <c r="N64" s="71" t="s">
        <v>337</v>
      </c>
      <c r="O64" s="71"/>
      <c r="P64" s="71"/>
      <c r="Q64" s="71"/>
      <c r="R64" s="71"/>
      <c r="S64" s="71"/>
      <c r="T64" s="71"/>
    </row>
    <row r="65" spans="1:20" ht="15">
      <c r="A65" s="59" t="s">
        <v>469</v>
      </c>
      <c r="B65" s="59" t="s">
        <v>470</v>
      </c>
      <c r="C65" s="59" t="s">
        <v>95</v>
      </c>
      <c r="D65" s="70">
        <v>1602</v>
      </c>
      <c r="E65" s="70">
        <v>1800</v>
      </c>
      <c r="F65" s="70">
        <v>0</v>
      </c>
      <c r="G65" s="70">
        <v>1</v>
      </c>
      <c r="H65" s="59">
        <f t="shared" si="3"/>
        <v>1</v>
      </c>
      <c r="I65" s="59">
        <f>IF(D65&lt;&gt;"",D65,IFERROR(E65/(IFERROR(SUM(Sales!C:C),0))*(IFERROR(SUM(Purchases!C:C),0)),0))</f>
        <v>1602</v>
      </c>
      <c r="J65" s="59">
        <f t="shared" si="4"/>
        <v>0</v>
      </c>
      <c r="K65" s="59">
        <f t="shared" si="5"/>
        <v>1602</v>
      </c>
      <c r="L65" s="59"/>
      <c r="M65" s="59"/>
      <c r="N65" s="59" t="s">
        <v>311</v>
      </c>
      <c r="O65" s="59"/>
      <c r="P65" s="59"/>
      <c r="Q65" s="59"/>
      <c r="R65" s="59"/>
      <c r="S65" s="59"/>
      <c r="T65" s="59"/>
    </row>
    <row r="66" spans="1:20" ht="15">
      <c r="A66" s="67" t="s">
        <v>471</v>
      </c>
      <c r="B66" s="71" t="s">
        <v>472</v>
      </c>
      <c r="C66" s="71" t="s">
        <v>95</v>
      </c>
      <c r="D66" s="72">
        <v>779</v>
      </c>
      <c r="E66" s="72">
        <v>900</v>
      </c>
      <c r="F66" s="72">
        <v>2</v>
      </c>
      <c r="G66" s="72">
        <v>2</v>
      </c>
      <c r="H66" s="71">
        <f t="shared" ref="H66:H97" si="6">F66+IF(LEN(G66)=0,0,G66)</f>
        <v>4</v>
      </c>
      <c r="I66" s="71">
        <f>IF(D66&lt;&gt;"",D66,IFERROR(E66/(IFERROR(SUM(Sales!C:C),0))*(IFERROR(SUM(Purchases!C:C),0)),0))</f>
        <v>779</v>
      </c>
      <c r="J66" s="71">
        <f t="shared" ref="J66:J97" si="7">F66*I66</f>
        <v>1558</v>
      </c>
      <c r="K66" s="71">
        <f t="shared" ref="K66:K97" si="8">IF(LEN(G66)=0,0,G66)*I66</f>
        <v>1558</v>
      </c>
      <c r="L66" s="71" t="s">
        <v>473</v>
      </c>
      <c r="M66" s="71"/>
      <c r="N66" s="71" t="s">
        <v>422</v>
      </c>
      <c r="O66" s="71"/>
      <c r="P66" s="71"/>
      <c r="Q66" s="71"/>
      <c r="R66" s="71"/>
      <c r="S66" s="71"/>
      <c r="T66" s="71"/>
    </row>
    <row r="67" spans="1:20" ht="15">
      <c r="A67" s="59" t="s">
        <v>474</v>
      </c>
      <c r="B67" s="59" t="s">
        <v>475</v>
      </c>
      <c r="C67" s="59" t="s">
        <v>95</v>
      </c>
      <c r="D67" s="70">
        <v>633</v>
      </c>
      <c r="E67" s="70">
        <v>1400</v>
      </c>
      <c r="F67" s="70">
        <v>0</v>
      </c>
      <c r="G67" s="70">
        <v>0</v>
      </c>
      <c r="H67" s="59">
        <f t="shared" si="6"/>
        <v>0</v>
      </c>
      <c r="I67" s="59">
        <f>IF(D67&lt;&gt;"",D67,IFERROR(E67/(IFERROR(SUM(Sales!C:C),0))*(IFERROR(SUM(Purchases!C:C),0)),0))</f>
        <v>633</v>
      </c>
      <c r="J67" s="59">
        <f t="shared" si="7"/>
        <v>0</v>
      </c>
      <c r="K67" s="59">
        <f t="shared" si="8"/>
        <v>0</v>
      </c>
      <c r="L67" s="59"/>
      <c r="M67" s="59"/>
      <c r="N67" s="59" t="s">
        <v>337</v>
      </c>
      <c r="O67" s="59"/>
      <c r="P67" s="59"/>
      <c r="Q67" s="59"/>
      <c r="R67" s="59"/>
      <c r="S67" s="59"/>
      <c r="T67" s="59"/>
    </row>
    <row r="68" spans="1:20" ht="15">
      <c r="A68" s="67" t="s">
        <v>476</v>
      </c>
      <c r="B68" s="71" t="s">
        <v>477</v>
      </c>
      <c r="C68" s="71" t="s">
        <v>95</v>
      </c>
      <c r="D68" s="72">
        <v>685</v>
      </c>
      <c r="E68" s="72">
        <v>1200</v>
      </c>
      <c r="F68" s="72">
        <v>1</v>
      </c>
      <c r="G68" s="72">
        <v>1</v>
      </c>
      <c r="H68" s="71">
        <f t="shared" si="6"/>
        <v>2</v>
      </c>
      <c r="I68" s="71">
        <f>IF(D68&lt;&gt;"",D68,IFERROR(E68/(IFERROR(SUM(Sales!C:C),0))*(IFERROR(SUM(Purchases!C:C),0)),0))</f>
        <v>685</v>
      </c>
      <c r="J68" s="71">
        <f t="shared" si="7"/>
        <v>685</v>
      </c>
      <c r="K68" s="71">
        <f t="shared" si="8"/>
        <v>685</v>
      </c>
      <c r="L68" s="71" t="s">
        <v>797</v>
      </c>
      <c r="M68" s="71"/>
      <c r="N68" s="71" t="s">
        <v>422</v>
      </c>
      <c r="O68" s="71"/>
      <c r="P68" s="71" t="s">
        <v>478</v>
      </c>
      <c r="Q68" s="71"/>
      <c r="R68" s="71"/>
      <c r="S68" s="71"/>
      <c r="T68" s="71"/>
    </row>
    <row r="69" spans="1:20" ht="15">
      <c r="A69" s="59" t="s">
        <v>479</v>
      </c>
      <c r="B69" s="59" t="s">
        <v>480</v>
      </c>
      <c r="C69" s="59" t="s">
        <v>96</v>
      </c>
      <c r="D69" s="70">
        <v>1700</v>
      </c>
      <c r="E69" s="70">
        <v>1700</v>
      </c>
      <c r="F69" s="70">
        <v>0</v>
      </c>
      <c r="G69" s="70">
        <v>4</v>
      </c>
      <c r="H69" s="59">
        <f t="shared" si="6"/>
        <v>4</v>
      </c>
      <c r="I69" s="59">
        <f>IF(D69&lt;&gt;"",D69,IFERROR(E69/(IFERROR(SUM(Sales!C:C),0))*(IFERROR(SUM(Purchases!C:C),0)),0))</f>
        <v>1700</v>
      </c>
      <c r="J69" s="59">
        <f t="shared" si="7"/>
        <v>0</v>
      </c>
      <c r="K69" s="59">
        <f t="shared" si="8"/>
        <v>6800</v>
      </c>
      <c r="L69" s="59"/>
      <c r="M69" s="59"/>
      <c r="N69" s="59" t="s">
        <v>311</v>
      </c>
      <c r="O69" s="59" t="s">
        <v>481</v>
      </c>
      <c r="P69" s="59"/>
      <c r="Q69" s="59"/>
      <c r="R69" s="59"/>
      <c r="S69" s="59"/>
      <c r="T69" s="59"/>
    </row>
    <row r="70" spans="1:20" ht="15">
      <c r="A70" s="67" t="s">
        <v>482</v>
      </c>
      <c r="B70" s="71" t="s">
        <v>483</v>
      </c>
      <c r="C70" s="71" t="s">
        <v>95</v>
      </c>
      <c r="D70" s="72">
        <v>1148</v>
      </c>
      <c r="E70" s="72">
        <v>1399</v>
      </c>
      <c r="F70" s="72">
        <v>2</v>
      </c>
      <c r="G70" s="72">
        <v>0</v>
      </c>
      <c r="H70" s="71">
        <f t="shared" si="6"/>
        <v>2</v>
      </c>
      <c r="I70" s="71">
        <f>IF(D70&lt;&gt;"",D70,IFERROR(E70/(IFERROR(SUM(Sales!C:C),0))*(IFERROR(SUM(Purchases!C:C),0)),0))</f>
        <v>1148</v>
      </c>
      <c r="J70" s="71">
        <f t="shared" si="7"/>
        <v>2296</v>
      </c>
      <c r="K70" s="71">
        <f t="shared" si="8"/>
        <v>0</v>
      </c>
      <c r="L70" s="71" t="s">
        <v>484</v>
      </c>
      <c r="M70" s="71"/>
      <c r="N70" s="71" t="s">
        <v>337</v>
      </c>
      <c r="O70" s="71"/>
      <c r="P70" s="71"/>
      <c r="Q70" s="71"/>
      <c r="R70" s="71"/>
      <c r="S70" s="71"/>
      <c r="T70" s="71"/>
    </row>
    <row r="71" spans="1:20" ht="15">
      <c r="A71" s="59" t="s">
        <v>485</v>
      </c>
      <c r="B71" s="59" t="s">
        <v>486</v>
      </c>
      <c r="C71" s="59" t="s">
        <v>95</v>
      </c>
      <c r="D71" s="70">
        <v>857</v>
      </c>
      <c r="E71" s="70">
        <v>900</v>
      </c>
      <c r="F71" s="70">
        <v>3</v>
      </c>
      <c r="G71" s="70">
        <v>0</v>
      </c>
      <c r="H71" s="59">
        <f t="shared" si="6"/>
        <v>3</v>
      </c>
      <c r="I71" s="59">
        <f>IF(D71&lt;&gt;"",D71,IFERROR(E71/(IFERROR(SUM(Sales!C:C),0))*(IFERROR(SUM(Purchases!C:C),0)),0))</f>
        <v>857</v>
      </c>
      <c r="J71" s="59">
        <f t="shared" si="7"/>
        <v>2571</v>
      </c>
      <c r="K71" s="59">
        <f t="shared" si="8"/>
        <v>0</v>
      </c>
      <c r="L71" s="59" t="s">
        <v>793</v>
      </c>
      <c r="M71" s="59" t="s">
        <v>49</v>
      </c>
      <c r="N71" s="59" t="s">
        <v>337</v>
      </c>
      <c r="O71" s="59"/>
      <c r="P71" s="59" t="s">
        <v>759</v>
      </c>
      <c r="Q71" s="59"/>
      <c r="R71" s="59"/>
      <c r="S71" s="59"/>
      <c r="T71" s="59"/>
    </row>
    <row r="72" spans="1:20" ht="15">
      <c r="A72" s="67" t="s">
        <v>487</v>
      </c>
      <c r="B72" s="71" t="s">
        <v>488</v>
      </c>
      <c r="C72" s="71" t="s">
        <v>95</v>
      </c>
      <c r="D72" s="72">
        <v>1198</v>
      </c>
      <c r="E72" s="72">
        <v>1900</v>
      </c>
      <c r="F72" s="72">
        <v>1</v>
      </c>
      <c r="G72" s="72">
        <v>0</v>
      </c>
      <c r="H72" s="71">
        <f t="shared" si="6"/>
        <v>1</v>
      </c>
      <c r="I72" s="71">
        <f>IF(D72&lt;&gt;"",D72,IFERROR(E72/(IFERROR(SUM(Sales!C:C),0))*(IFERROR(SUM(Purchases!C:C),0)),0))</f>
        <v>1198</v>
      </c>
      <c r="J72" s="71">
        <f t="shared" si="7"/>
        <v>1198</v>
      </c>
      <c r="K72" s="71">
        <f t="shared" si="8"/>
        <v>0</v>
      </c>
      <c r="L72" s="71" t="s">
        <v>217</v>
      </c>
      <c r="M72" s="71"/>
      <c r="N72" s="71" t="s">
        <v>337</v>
      </c>
      <c r="O72" s="71"/>
      <c r="P72" s="71"/>
      <c r="Q72" s="71"/>
      <c r="R72" s="71"/>
      <c r="S72" s="71"/>
      <c r="T72" s="71"/>
    </row>
    <row r="73" spans="1:20" ht="15">
      <c r="A73" s="59" t="s">
        <v>489</v>
      </c>
      <c r="B73" s="59" t="s">
        <v>490</v>
      </c>
      <c r="C73" s="59" t="s">
        <v>96</v>
      </c>
      <c r="D73" s="70">
        <v>525</v>
      </c>
      <c r="E73" s="70">
        <v>800</v>
      </c>
      <c r="F73" s="70">
        <v>1</v>
      </c>
      <c r="G73" s="70">
        <v>0</v>
      </c>
      <c r="H73" s="59">
        <f t="shared" si="6"/>
        <v>1</v>
      </c>
      <c r="I73" s="59">
        <f>IF(D73&lt;&gt;"",D73,IFERROR(E73/(IFERROR(SUM(Sales!C:C),0))*(IFERROR(SUM(Purchases!C:C),0)),0))</f>
        <v>525</v>
      </c>
      <c r="J73" s="59">
        <f t="shared" si="7"/>
        <v>525</v>
      </c>
      <c r="K73" s="59">
        <f t="shared" si="8"/>
        <v>0</v>
      </c>
      <c r="L73" s="59" t="s">
        <v>172</v>
      </c>
      <c r="M73" s="59"/>
      <c r="N73" s="59" t="s">
        <v>337</v>
      </c>
      <c r="O73" s="59"/>
      <c r="P73" s="59"/>
      <c r="Q73" s="59"/>
      <c r="R73" s="59"/>
      <c r="S73" s="59"/>
      <c r="T73" s="59"/>
    </row>
    <row r="74" spans="1:20" ht="15">
      <c r="A74" s="67" t="s">
        <v>491</v>
      </c>
      <c r="B74" s="71" t="s">
        <v>492</v>
      </c>
      <c r="C74" s="71" t="s">
        <v>95</v>
      </c>
      <c r="D74" s="72">
        <v>450</v>
      </c>
      <c r="E74" s="72">
        <v>600</v>
      </c>
      <c r="F74" s="72">
        <v>1</v>
      </c>
      <c r="G74" s="72">
        <v>0</v>
      </c>
      <c r="H74" s="71">
        <f t="shared" si="6"/>
        <v>1</v>
      </c>
      <c r="I74" s="71">
        <f>IF(D74&lt;&gt;"",D74,IFERROR(E74/(IFERROR(SUM(Sales!C:C),0))*(IFERROR(SUM(Purchases!C:C),0)),0))</f>
        <v>450</v>
      </c>
      <c r="J74" s="71">
        <f t="shared" si="7"/>
        <v>450</v>
      </c>
      <c r="K74" s="71">
        <f t="shared" si="8"/>
        <v>0</v>
      </c>
      <c r="L74" s="71" t="s">
        <v>173</v>
      </c>
      <c r="M74" s="71" t="s">
        <v>49</v>
      </c>
      <c r="N74" s="71" t="s">
        <v>337</v>
      </c>
      <c r="O74" s="71"/>
      <c r="P74" s="71"/>
      <c r="Q74" s="71"/>
      <c r="R74" s="71"/>
      <c r="S74" s="71"/>
      <c r="T74" s="71"/>
    </row>
    <row r="75" spans="1:20" ht="15">
      <c r="A75" s="59" t="s">
        <v>493</v>
      </c>
      <c r="B75" s="59" t="s">
        <v>386</v>
      </c>
      <c r="C75" s="59" t="s">
        <v>96</v>
      </c>
      <c r="D75" s="70">
        <v>1000</v>
      </c>
      <c r="E75" s="70">
        <v>1000</v>
      </c>
      <c r="F75" s="70">
        <v>1</v>
      </c>
      <c r="G75" s="70">
        <v>0</v>
      </c>
      <c r="H75" s="59">
        <f t="shared" si="6"/>
        <v>1</v>
      </c>
      <c r="I75" s="59">
        <f>IF(D75&lt;&gt;"",D75,IFERROR(E75/(IFERROR(SUM(Sales!C:C),0))*(IFERROR(SUM(Purchases!C:C),0)),0))</f>
        <v>1000</v>
      </c>
      <c r="J75" s="59">
        <f t="shared" si="7"/>
        <v>1000</v>
      </c>
      <c r="K75" s="59">
        <f t="shared" si="8"/>
        <v>0</v>
      </c>
      <c r="L75" s="59" t="s">
        <v>173</v>
      </c>
      <c r="M75" s="59" t="s">
        <v>49</v>
      </c>
      <c r="N75" s="59" t="s">
        <v>337</v>
      </c>
      <c r="O75" s="59"/>
      <c r="P75" s="59"/>
      <c r="Q75" s="59"/>
      <c r="R75" s="59"/>
      <c r="S75" s="59"/>
      <c r="T75" s="59"/>
    </row>
    <row r="76" spans="1:20" ht="15">
      <c r="A76" s="67" t="s">
        <v>494</v>
      </c>
      <c r="B76" s="71" t="s">
        <v>495</v>
      </c>
      <c r="C76" s="71" t="s">
        <v>95</v>
      </c>
      <c r="D76" s="72">
        <v>1900</v>
      </c>
      <c r="E76" s="72">
        <v>1900</v>
      </c>
      <c r="F76" s="72">
        <v>1</v>
      </c>
      <c r="G76" s="72">
        <v>0</v>
      </c>
      <c r="H76" s="71">
        <f t="shared" si="6"/>
        <v>1</v>
      </c>
      <c r="I76" s="71">
        <f>IF(D76&lt;&gt;"",D76,IFERROR(E76/(IFERROR(SUM(Sales!C:C),0))*(IFERROR(SUM(Purchases!C:C),0)),0))</f>
        <v>1900</v>
      </c>
      <c r="J76" s="71">
        <f t="shared" si="7"/>
        <v>1900</v>
      </c>
      <c r="K76" s="71">
        <f t="shared" si="8"/>
        <v>0</v>
      </c>
      <c r="L76" s="71" t="s">
        <v>174</v>
      </c>
      <c r="M76" s="71" t="s">
        <v>49</v>
      </c>
      <c r="N76" s="71" t="s">
        <v>337</v>
      </c>
      <c r="O76" s="71"/>
      <c r="P76" s="71"/>
      <c r="Q76" s="71"/>
      <c r="R76" s="71"/>
      <c r="S76" s="71"/>
      <c r="T76" s="71"/>
    </row>
    <row r="77" spans="1:20" ht="15">
      <c r="A77" s="59" t="s">
        <v>496</v>
      </c>
      <c r="B77" s="59" t="s">
        <v>497</v>
      </c>
      <c r="C77" s="59" t="s">
        <v>96</v>
      </c>
      <c r="D77" s="70">
        <v>995</v>
      </c>
      <c r="E77" s="70">
        <v>1500</v>
      </c>
      <c r="F77" s="70">
        <v>1</v>
      </c>
      <c r="G77" s="70">
        <v>2</v>
      </c>
      <c r="H77" s="59">
        <f t="shared" si="6"/>
        <v>3</v>
      </c>
      <c r="I77" s="59">
        <f>IF(D77&lt;&gt;"",D77,IFERROR(E77/(IFERROR(SUM(Sales!C:C),0))*(IFERROR(SUM(Purchases!C:C),0)),0))</f>
        <v>995</v>
      </c>
      <c r="J77" s="59">
        <f t="shared" si="7"/>
        <v>995</v>
      </c>
      <c r="K77" s="59">
        <f t="shared" si="8"/>
        <v>1990</v>
      </c>
      <c r="L77" s="59" t="s">
        <v>498</v>
      </c>
      <c r="M77" s="59"/>
      <c r="N77" s="59" t="s">
        <v>422</v>
      </c>
      <c r="O77" s="59" t="s">
        <v>499</v>
      </c>
      <c r="P77" s="59"/>
      <c r="Q77" s="59"/>
      <c r="R77" s="59"/>
      <c r="S77" s="59"/>
      <c r="T77" s="59"/>
    </row>
    <row r="78" spans="1:20" ht="15">
      <c r="A78" s="67" t="s">
        <v>500</v>
      </c>
      <c r="B78" s="71" t="s">
        <v>501</v>
      </c>
      <c r="C78" s="71" t="s">
        <v>96</v>
      </c>
      <c r="D78" s="72">
        <v>1075</v>
      </c>
      <c r="E78" s="72">
        <v>1560</v>
      </c>
      <c r="F78" s="72">
        <v>2</v>
      </c>
      <c r="G78" s="72">
        <v>2</v>
      </c>
      <c r="H78" s="71">
        <f t="shared" si="6"/>
        <v>4</v>
      </c>
      <c r="I78" s="71">
        <f>IF(D78&lt;&gt;"",D78,IFERROR(E78/(IFERROR(SUM(Sales!C:C),0))*(IFERROR(SUM(Purchases!C:C),0)),0))</f>
        <v>1075</v>
      </c>
      <c r="J78" s="71">
        <f t="shared" si="7"/>
        <v>2150</v>
      </c>
      <c r="K78" s="71">
        <f t="shared" si="8"/>
        <v>2150</v>
      </c>
      <c r="L78" s="71" t="s">
        <v>502</v>
      </c>
      <c r="M78" s="71"/>
      <c r="N78" s="71" t="s">
        <v>422</v>
      </c>
      <c r="O78" s="71" t="s">
        <v>503</v>
      </c>
      <c r="P78" s="71"/>
      <c r="Q78" s="71"/>
      <c r="R78" s="71"/>
      <c r="S78" s="71"/>
      <c r="T78" s="71"/>
    </row>
    <row r="79" spans="1:20" ht="15">
      <c r="A79" s="59" t="s">
        <v>504</v>
      </c>
      <c r="B79" s="59" t="s">
        <v>505</v>
      </c>
      <c r="C79" s="59" t="s">
        <v>96</v>
      </c>
      <c r="D79" s="70">
        <v>1045</v>
      </c>
      <c r="E79" s="70">
        <v>1495</v>
      </c>
      <c r="F79" s="70">
        <v>0</v>
      </c>
      <c r="G79" s="70">
        <v>1</v>
      </c>
      <c r="H79" s="59">
        <f t="shared" si="6"/>
        <v>1</v>
      </c>
      <c r="I79" s="59">
        <f>IF(D79&lt;&gt;"",D79,IFERROR(E79/(IFERROR(SUM(Sales!C:C),0))*(IFERROR(SUM(Purchases!C:C),0)),0))</f>
        <v>1045</v>
      </c>
      <c r="J79" s="59">
        <f t="shared" si="7"/>
        <v>0</v>
      </c>
      <c r="K79" s="59">
        <f t="shared" si="8"/>
        <v>1045</v>
      </c>
      <c r="L79" s="59"/>
      <c r="M79" s="59"/>
      <c r="N79" s="59" t="s">
        <v>506</v>
      </c>
      <c r="O79" s="59" t="s">
        <v>507</v>
      </c>
      <c r="P79" s="59"/>
      <c r="Q79" s="59"/>
      <c r="R79" s="59"/>
      <c r="S79" s="59"/>
      <c r="T79" s="59"/>
    </row>
    <row r="80" spans="1:20" ht="15">
      <c r="A80" s="67" t="s">
        <v>508</v>
      </c>
      <c r="B80" s="71" t="s">
        <v>509</v>
      </c>
      <c r="C80" s="71" t="s">
        <v>96</v>
      </c>
      <c r="D80" s="72">
        <v>1230</v>
      </c>
      <c r="E80" s="72">
        <v>1700</v>
      </c>
      <c r="F80" s="72">
        <v>2</v>
      </c>
      <c r="G80" s="72">
        <v>2</v>
      </c>
      <c r="H80" s="71">
        <f t="shared" si="6"/>
        <v>4</v>
      </c>
      <c r="I80" s="71">
        <f>IF(D80&lt;&gt;"",D80,IFERROR(E80/(IFERROR(SUM(Sales!C:C),0))*(IFERROR(SUM(Purchases!C:C),0)),0))</f>
        <v>1230</v>
      </c>
      <c r="J80" s="71">
        <f t="shared" si="7"/>
        <v>2460</v>
      </c>
      <c r="K80" s="71">
        <f t="shared" si="8"/>
        <v>2460</v>
      </c>
      <c r="L80" s="71" t="s">
        <v>510</v>
      </c>
      <c r="M80" s="71"/>
      <c r="N80" s="71" t="s">
        <v>422</v>
      </c>
      <c r="O80" s="71" t="s">
        <v>511</v>
      </c>
      <c r="P80" s="71"/>
      <c r="Q80" s="71"/>
      <c r="R80" s="71"/>
      <c r="S80" s="71"/>
      <c r="T80" s="71"/>
    </row>
    <row r="81" spans="1:20" ht="30">
      <c r="A81" s="59" t="s">
        <v>512</v>
      </c>
      <c r="B81" s="59" t="s">
        <v>513</v>
      </c>
      <c r="C81" s="59" t="s">
        <v>96</v>
      </c>
      <c r="D81" s="70">
        <v>595</v>
      </c>
      <c r="E81" s="70">
        <v>890</v>
      </c>
      <c r="F81" s="70">
        <v>3</v>
      </c>
      <c r="G81" s="70">
        <v>0</v>
      </c>
      <c r="H81" s="59">
        <f t="shared" si="6"/>
        <v>3</v>
      </c>
      <c r="I81" s="59">
        <f>IF(D81&lt;&gt;"",D81,IFERROR(E81/(IFERROR(SUM(Sales!C:C),0))*(IFERROR(SUM(Purchases!C:C),0)),0))</f>
        <v>595</v>
      </c>
      <c r="J81" s="59">
        <f t="shared" si="7"/>
        <v>1785</v>
      </c>
      <c r="K81" s="59">
        <f t="shared" si="8"/>
        <v>0</v>
      </c>
      <c r="L81" s="59" t="s">
        <v>514</v>
      </c>
      <c r="M81" s="59"/>
      <c r="N81" s="59" t="s">
        <v>337</v>
      </c>
      <c r="O81" s="59"/>
      <c r="P81" s="59"/>
      <c r="Q81" s="59"/>
      <c r="R81" s="59"/>
      <c r="S81" s="59"/>
      <c r="T81" s="59"/>
    </row>
    <row r="82" spans="1:20" ht="15">
      <c r="A82" s="67" t="s">
        <v>515</v>
      </c>
      <c r="B82" s="71" t="s">
        <v>516</v>
      </c>
      <c r="C82" s="71" t="s">
        <v>96</v>
      </c>
      <c r="D82" s="72">
        <v>1075</v>
      </c>
      <c r="E82" s="72">
        <v>1545</v>
      </c>
      <c r="F82" s="72">
        <v>3</v>
      </c>
      <c r="G82" s="72">
        <v>0</v>
      </c>
      <c r="H82" s="71">
        <f t="shared" si="6"/>
        <v>3</v>
      </c>
      <c r="I82" s="71">
        <f>IF(D82&lt;&gt;"",D82,IFERROR(E82/(IFERROR(SUM(Sales!C:C),0))*(IFERROR(SUM(Purchases!C:C),0)),0))</f>
        <v>1075</v>
      </c>
      <c r="J82" s="71">
        <f t="shared" si="7"/>
        <v>3225</v>
      </c>
      <c r="K82" s="71">
        <f t="shared" si="8"/>
        <v>0</v>
      </c>
      <c r="L82" s="71" t="s">
        <v>517</v>
      </c>
      <c r="M82" s="71"/>
      <c r="N82" s="71" t="s">
        <v>337</v>
      </c>
      <c r="O82" s="71"/>
      <c r="P82" s="71"/>
      <c r="Q82" s="71"/>
      <c r="R82" s="71"/>
      <c r="S82" s="71"/>
      <c r="T82" s="71"/>
    </row>
    <row r="83" spans="1:20" ht="30">
      <c r="A83" s="59" t="s">
        <v>518</v>
      </c>
      <c r="B83" s="59" t="s">
        <v>519</v>
      </c>
      <c r="C83" s="59" t="s">
        <v>96</v>
      </c>
      <c r="D83" s="70">
        <v>1004</v>
      </c>
      <c r="E83" s="70">
        <v>1495</v>
      </c>
      <c r="F83" s="70">
        <v>3</v>
      </c>
      <c r="G83" s="70">
        <v>0</v>
      </c>
      <c r="H83" s="59">
        <f t="shared" si="6"/>
        <v>3</v>
      </c>
      <c r="I83" s="59">
        <f>IF(D83&lt;&gt;"",D83,IFERROR(E83/(IFERROR(SUM(Sales!C:C),0))*(IFERROR(SUM(Purchases!C:C),0)),0))</f>
        <v>1004</v>
      </c>
      <c r="J83" s="59">
        <f t="shared" si="7"/>
        <v>3012</v>
      </c>
      <c r="K83" s="59">
        <f t="shared" si="8"/>
        <v>0</v>
      </c>
      <c r="L83" s="59" t="s">
        <v>520</v>
      </c>
      <c r="M83" s="59"/>
      <c r="N83" s="59" t="s">
        <v>337</v>
      </c>
      <c r="O83" s="59" t="s">
        <v>521</v>
      </c>
      <c r="P83" s="59"/>
      <c r="Q83" s="59"/>
      <c r="R83" s="59"/>
      <c r="S83" s="59"/>
      <c r="T83" s="59"/>
    </row>
    <row r="84" spans="1:20" ht="15">
      <c r="A84" s="67" t="s">
        <v>522</v>
      </c>
      <c r="B84" s="71" t="s">
        <v>523</v>
      </c>
      <c r="C84" s="71" t="s">
        <v>96</v>
      </c>
      <c r="D84" s="72">
        <v>450</v>
      </c>
      <c r="E84" s="72">
        <v>650</v>
      </c>
      <c r="F84" s="72">
        <v>1</v>
      </c>
      <c r="G84" s="72">
        <v>2</v>
      </c>
      <c r="H84" s="71">
        <f t="shared" si="6"/>
        <v>3</v>
      </c>
      <c r="I84" s="71">
        <f>IF(D84&lt;&gt;"",D84,IFERROR(E84/(IFERROR(SUM(Sales!C:C),0))*(IFERROR(SUM(Purchases!C:C),0)),0))</f>
        <v>450</v>
      </c>
      <c r="J84" s="71">
        <f t="shared" si="7"/>
        <v>450</v>
      </c>
      <c r="K84" s="71">
        <f t="shared" si="8"/>
        <v>900</v>
      </c>
      <c r="L84" s="71" t="s">
        <v>524</v>
      </c>
      <c r="M84" s="71"/>
      <c r="N84" s="71" t="s">
        <v>422</v>
      </c>
      <c r="O84" s="71" t="s">
        <v>525</v>
      </c>
      <c r="P84" s="71"/>
      <c r="Q84" s="71"/>
      <c r="R84" s="71"/>
      <c r="S84" s="71"/>
      <c r="T84" s="71"/>
    </row>
    <row r="85" spans="1:20" ht="15">
      <c r="A85" s="59" t="s">
        <v>526</v>
      </c>
      <c r="B85" s="59" t="s">
        <v>527</v>
      </c>
      <c r="C85" s="59" t="s">
        <v>96</v>
      </c>
      <c r="D85" s="70">
        <v>895</v>
      </c>
      <c r="E85" s="70">
        <v>1350</v>
      </c>
      <c r="F85" s="70">
        <v>2</v>
      </c>
      <c r="G85" s="70">
        <v>1</v>
      </c>
      <c r="H85" s="59">
        <f t="shared" si="6"/>
        <v>3</v>
      </c>
      <c r="I85" s="59">
        <f>IF(D85&lt;&gt;"",D85,IFERROR(E85/(IFERROR(SUM(Sales!C:C),0))*(IFERROR(SUM(Purchases!C:C),0)),0))</f>
        <v>895</v>
      </c>
      <c r="J85" s="59">
        <f t="shared" si="7"/>
        <v>1790</v>
      </c>
      <c r="K85" s="59">
        <f t="shared" si="8"/>
        <v>895</v>
      </c>
      <c r="L85" s="59" t="s">
        <v>528</v>
      </c>
      <c r="M85" s="59"/>
      <c r="N85" s="59" t="s">
        <v>422</v>
      </c>
      <c r="O85" s="59" t="s">
        <v>207</v>
      </c>
      <c r="P85" s="59"/>
      <c r="Q85" s="59"/>
      <c r="R85" s="59"/>
      <c r="S85" s="59"/>
      <c r="T85" s="59"/>
    </row>
    <row r="86" spans="1:20" ht="15">
      <c r="A86" s="67" t="s">
        <v>529</v>
      </c>
      <c r="B86" s="71" t="s">
        <v>530</v>
      </c>
      <c r="C86" s="71" t="s">
        <v>96</v>
      </c>
      <c r="D86" s="72">
        <v>1045</v>
      </c>
      <c r="E86" s="72">
        <v>1495</v>
      </c>
      <c r="F86" s="72">
        <v>2</v>
      </c>
      <c r="G86" s="72">
        <v>2</v>
      </c>
      <c r="H86" s="71">
        <f t="shared" si="6"/>
        <v>4</v>
      </c>
      <c r="I86" s="71">
        <f>IF(D86&lt;&gt;"",D86,IFERROR(E86/(IFERROR(SUM(Sales!C:C),0))*(IFERROR(SUM(Purchases!C:C),0)),0))</f>
        <v>1045</v>
      </c>
      <c r="J86" s="71">
        <f t="shared" si="7"/>
        <v>2090</v>
      </c>
      <c r="K86" s="71">
        <f t="shared" si="8"/>
        <v>2090</v>
      </c>
      <c r="L86" s="71" t="s">
        <v>531</v>
      </c>
      <c r="M86" s="71"/>
      <c r="N86" s="71" t="s">
        <v>422</v>
      </c>
      <c r="O86" s="71" t="s">
        <v>503</v>
      </c>
      <c r="P86" s="71"/>
      <c r="Q86" s="71"/>
      <c r="R86" s="71"/>
      <c r="S86" s="71"/>
      <c r="T86" s="71"/>
    </row>
    <row r="87" spans="1:20" ht="15">
      <c r="A87" s="59" t="s">
        <v>532</v>
      </c>
      <c r="B87" s="59" t="s">
        <v>533</v>
      </c>
      <c r="C87" s="59" t="s">
        <v>96</v>
      </c>
      <c r="D87" s="70">
        <v>1195</v>
      </c>
      <c r="E87" s="70">
        <v>1670</v>
      </c>
      <c r="F87" s="70">
        <v>1</v>
      </c>
      <c r="G87" s="70">
        <v>2</v>
      </c>
      <c r="H87" s="59">
        <f t="shared" si="6"/>
        <v>3</v>
      </c>
      <c r="I87" s="59">
        <f>IF(D87&lt;&gt;"",D87,IFERROR(E87/(IFERROR(SUM(Sales!C:C),0))*(IFERROR(SUM(Purchases!C:C),0)),0))</f>
        <v>1195</v>
      </c>
      <c r="J87" s="59">
        <f t="shared" si="7"/>
        <v>1195</v>
      </c>
      <c r="K87" s="59">
        <f t="shared" si="8"/>
        <v>2390</v>
      </c>
      <c r="L87" s="59"/>
      <c r="M87" s="59"/>
      <c r="N87" s="59" t="s">
        <v>506</v>
      </c>
      <c r="O87" s="59" t="s">
        <v>534</v>
      </c>
      <c r="P87" s="59"/>
      <c r="Q87" s="59"/>
      <c r="R87" s="59"/>
      <c r="S87" s="59"/>
      <c r="T87" s="59"/>
    </row>
    <row r="88" spans="1:20" ht="30">
      <c r="A88" s="67" t="s">
        <v>535</v>
      </c>
      <c r="B88" s="71" t="s">
        <v>536</v>
      </c>
      <c r="C88" s="71" t="s">
        <v>96</v>
      </c>
      <c r="D88" s="72">
        <v>795</v>
      </c>
      <c r="E88" s="72">
        <v>1200</v>
      </c>
      <c r="F88" s="72">
        <v>3</v>
      </c>
      <c r="G88" s="72">
        <v>1</v>
      </c>
      <c r="H88" s="71">
        <f t="shared" si="6"/>
        <v>4</v>
      </c>
      <c r="I88" s="71">
        <f>IF(D88&lt;&gt;"",D88,IFERROR(E88/(IFERROR(SUM(Sales!C:C),0))*(IFERROR(SUM(Purchases!C:C),0)),0))</f>
        <v>795</v>
      </c>
      <c r="J88" s="71">
        <f t="shared" si="7"/>
        <v>2385</v>
      </c>
      <c r="K88" s="71">
        <f t="shared" si="8"/>
        <v>795</v>
      </c>
      <c r="L88" s="71" t="s">
        <v>537</v>
      </c>
      <c r="M88" s="71"/>
      <c r="N88" s="71" t="s">
        <v>422</v>
      </c>
      <c r="O88" s="71" t="s">
        <v>538</v>
      </c>
      <c r="P88" s="71"/>
      <c r="Q88" s="71"/>
      <c r="R88" s="71"/>
      <c r="S88" s="71"/>
      <c r="T88" s="71"/>
    </row>
    <row r="89" spans="1:20" ht="15">
      <c r="A89" s="59" t="s">
        <v>539</v>
      </c>
      <c r="B89" s="59" t="s">
        <v>540</v>
      </c>
      <c r="C89" s="59" t="s">
        <v>95</v>
      </c>
      <c r="D89" s="70">
        <v>1048</v>
      </c>
      <c r="E89" s="70">
        <v>1200</v>
      </c>
      <c r="F89" s="70">
        <v>1</v>
      </c>
      <c r="G89" s="70">
        <v>1</v>
      </c>
      <c r="H89" s="59">
        <f t="shared" si="6"/>
        <v>2</v>
      </c>
      <c r="I89" s="59">
        <f>IF(D89&lt;&gt;"",D89,IFERROR(E89/(IFERROR(SUM(Sales!C:C),0))*(IFERROR(SUM(Purchases!C:C),0)),0))</f>
        <v>1048</v>
      </c>
      <c r="J89" s="59">
        <f t="shared" si="7"/>
        <v>1048</v>
      </c>
      <c r="K89" s="59">
        <f t="shared" si="8"/>
        <v>1048</v>
      </c>
      <c r="L89" s="59" t="s">
        <v>758</v>
      </c>
      <c r="M89" s="59"/>
      <c r="N89" s="59" t="s">
        <v>422</v>
      </c>
      <c r="O89" s="59"/>
      <c r="P89" s="59"/>
      <c r="Q89" s="59"/>
      <c r="R89" s="59"/>
      <c r="S89" s="59"/>
      <c r="T89" s="59"/>
    </row>
    <row r="90" spans="1:20" ht="15">
      <c r="A90" s="67" t="s">
        <v>541</v>
      </c>
      <c r="B90" s="71" t="s">
        <v>542</v>
      </c>
      <c r="C90" s="71" t="s">
        <v>95</v>
      </c>
      <c r="D90" s="72">
        <v>1195</v>
      </c>
      <c r="E90" s="72">
        <v>1450</v>
      </c>
      <c r="F90" s="72">
        <v>1</v>
      </c>
      <c r="G90" s="72">
        <v>0</v>
      </c>
      <c r="H90" s="71">
        <f t="shared" si="6"/>
        <v>1</v>
      </c>
      <c r="I90" s="71">
        <f>IF(D90&lt;&gt;"",D90,IFERROR(E90/(IFERROR(SUM(Sales!C:C),0))*(IFERROR(SUM(Purchases!C:C),0)),0))</f>
        <v>1195</v>
      </c>
      <c r="J90" s="71">
        <f t="shared" si="7"/>
        <v>1195</v>
      </c>
      <c r="K90" s="71">
        <f t="shared" si="8"/>
        <v>0</v>
      </c>
      <c r="L90" s="71" t="s">
        <v>255</v>
      </c>
      <c r="M90" s="71"/>
      <c r="N90" s="71" t="s">
        <v>337</v>
      </c>
      <c r="O90" s="71"/>
      <c r="P90" s="71"/>
      <c r="Q90" s="71"/>
      <c r="R90" s="71"/>
      <c r="S90" s="71"/>
      <c r="T90" s="71"/>
    </row>
    <row r="91" spans="1:20" ht="15">
      <c r="A91" s="59" t="s">
        <v>543</v>
      </c>
      <c r="B91" s="59" t="s">
        <v>544</v>
      </c>
      <c r="C91" s="59" t="s">
        <v>545</v>
      </c>
      <c r="D91" s="70">
        <v>389</v>
      </c>
      <c r="E91" s="70">
        <v>689</v>
      </c>
      <c r="F91" s="70">
        <v>1</v>
      </c>
      <c r="G91" s="70">
        <v>1</v>
      </c>
      <c r="H91" s="59">
        <f t="shared" si="6"/>
        <v>2</v>
      </c>
      <c r="I91" s="59">
        <f>IF(D91&lt;&gt;"",D91,IFERROR(E91/(IFERROR(SUM(Sales!C:C),0))*(IFERROR(SUM(Purchases!C:C),0)),0))</f>
        <v>389</v>
      </c>
      <c r="J91" s="59">
        <f t="shared" si="7"/>
        <v>389</v>
      </c>
      <c r="K91" s="59">
        <f t="shared" si="8"/>
        <v>389</v>
      </c>
      <c r="L91" s="59" t="s">
        <v>546</v>
      </c>
      <c r="M91" s="59"/>
      <c r="N91" s="59" t="s">
        <v>506</v>
      </c>
      <c r="O91" s="59"/>
      <c r="P91" s="59"/>
      <c r="Q91" s="59"/>
      <c r="R91" s="59"/>
      <c r="S91" s="59"/>
      <c r="T91" s="59"/>
    </row>
    <row r="92" spans="1:20" ht="15">
      <c r="A92" s="67" t="s">
        <v>547</v>
      </c>
      <c r="B92" s="71" t="s">
        <v>548</v>
      </c>
      <c r="C92" s="71" t="s">
        <v>545</v>
      </c>
      <c r="D92" s="72">
        <v>489</v>
      </c>
      <c r="E92" s="72">
        <v>789</v>
      </c>
      <c r="F92" s="72">
        <v>3</v>
      </c>
      <c r="G92" s="72">
        <v>0</v>
      </c>
      <c r="H92" s="71">
        <f t="shared" si="6"/>
        <v>3</v>
      </c>
      <c r="I92" s="71">
        <f>IF(D92&lt;&gt;"",D92,IFERROR(E92/(IFERROR(SUM(Sales!C:C),0))*(IFERROR(SUM(Purchases!C:C),0)),0))</f>
        <v>489</v>
      </c>
      <c r="J92" s="71">
        <f t="shared" si="7"/>
        <v>1467</v>
      </c>
      <c r="K92" s="71">
        <f t="shared" si="8"/>
        <v>0</v>
      </c>
      <c r="L92" s="71" t="s">
        <v>549</v>
      </c>
      <c r="M92" s="71"/>
      <c r="N92" s="71" t="s">
        <v>337</v>
      </c>
      <c r="O92" s="71"/>
      <c r="P92" s="71"/>
      <c r="Q92" s="71"/>
      <c r="R92" s="71"/>
      <c r="S92" s="71"/>
      <c r="T92" s="71"/>
    </row>
    <row r="93" spans="1:20" ht="15">
      <c r="A93" s="59" t="s">
        <v>550</v>
      </c>
      <c r="B93" s="59" t="s">
        <v>551</v>
      </c>
      <c r="C93" s="59" t="s">
        <v>97</v>
      </c>
      <c r="D93" s="70">
        <v>472</v>
      </c>
      <c r="E93" s="70">
        <v>650</v>
      </c>
      <c r="F93" s="70">
        <v>1</v>
      </c>
      <c r="G93" s="70">
        <v>2</v>
      </c>
      <c r="H93" s="59">
        <f t="shared" si="6"/>
        <v>3</v>
      </c>
      <c r="I93" s="59">
        <f>IF(D93&lt;&gt;"",D93,IFERROR(E93/(IFERROR(SUM(Sales!C:C),0))*(IFERROR(SUM(Purchases!C:C),0)),0))</f>
        <v>472</v>
      </c>
      <c r="J93" s="59">
        <f t="shared" si="7"/>
        <v>472</v>
      </c>
      <c r="K93" s="59">
        <f t="shared" si="8"/>
        <v>944</v>
      </c>
      <c r="L93" s="59" t="s">
        <v>552</v>
      </c>
      <c r="M93" s="59"/>
      <c r="N93" s="71" t="s">
        <v>422</v>
      </c>
      <c r="O93" s="59" t="s">
        <v>553</v>
      </c>
      <c r="P93" s="59"/>
      <c r="Q93" s="59"/>
      <c r="R93" s="59"/>
      <c r="S93" s="59"/>
      <c r="T93" s="59"/>
    </row>
    <row r="94" spans="1:20" ht="15">
      <c r="A94" s="67" t="s">
        <v>554</v>
      </c>
      <c r="B94" s="71" t="s">
        <v>555</v>
      </c>
      <c r="C94" s="71" t="s">
        <v>95</v>
      </c>
      <c r="D94" s="72">
        <v>892</v>
      </c>
      <c r="E94" s="72">
        <v>1400</v>
      </c>
      <c r="F94" s="72">
        <v>1</v>
      </c>
      <c r="G94" s="72">
        <v>0</v>
      </c>
      <c r="H94" s="71">
        <f t="shared" si="6"/>
        <v>1</v>
      </c>
      <c r="I94" s="71">
        <f>IF(D94&lt;&gt;"",D94,IFERROR(E94/(IFERROR(SUM(Sales!C:C),0))*(IFERROR(SUM(Purchases!C:C),0)),0))</f>
        <v>892</v>
      </c>
      <c r="J94" s="71">
        <f t="shared" si="7"/>
        <v>892</v>
      </c>
      <c r="K94" s="71">
        <f t="shared" si="8"/>
        <v>0</v>
      </c>
      <c r="L94" s="71" t="s">
        <v>183</v>
      </c>
      <c r="M94" s="71"/>
      <c r="N94" s="71" t="s">
        <v>337</v>
      </c>
      <c r="O94" s="71"/>
      <c r="P94" s="71"/>
      <c r="Q94" s="71"/>
      <c r="R94" s="71"/>
      <c r="S94" s="71"/>
      <c r="T94" s="71"/>
    </row>
    <row r="95" spans="1:20" ht="15">
      <c r="A95" s="59" t="s">
        <v>556</v>
      </c>
      <c r="B95" s="59" t="s">
        <v>557</v>
      </c>
      <c r="C95" s="59" t="s">
        <v>95</v>
      </c>
      <c r="D95" s="70">
        <v>340</v>
      </c>
      <c r="E95" s="70">
        <v>600</v>
      </c>
      <c r="F95" s="70">
        <v>3</v>
      </c>
      <c r="G95" s="70">
        <v>0</v>
      </c>
      <c r="H95" s="59">
        <f t="shared" si="6"/>
        <v>3</v>
      </c>
      <c r="I95" s="59">
        <f>IF(D95&lt;&gt;"",D95,IFERROR(E95/(IFERROR(SUM(Sales!C:C),0))*(IFERROR(SUM(Purchases!C:C),0)),0))</f>
        <v>340</v>
      </c>
      <c r="J95" s="59">
        <f t="shared" si="7"/>
        <v>1020</v>
      </c>
      <c r="K95" s="59">
        <f t="shared" si="8"/>
        <v>0</v>
      </c>
      <c r="L95" s="59" t="s">
        <v>558</v>
      </c>
      <c r="M95" s="59"/>
      <c r="N95" s="59" t="s">
        <v>337</v>
      </c>
      <c r="O95" s="59"/>
      <c r="P95" s="59"/>
      <c r="Q95" s="59"/>
      <c r="R95" s="59"/>
      <c r="S95" s="59"/>
      <c r="T95" s="59"/>
    </row>
    <row r="96" spans="1:20" ht="15">
      <c r="A96" s="67" t="s">
        <v>559</v>
      </c>
      <c r="B96" s="71" t="s">
        <v>560</v>
      </c>
      <c r="C96" s="71" t="s">
        <v>95</v>
      </c>
      <c r="D96" s="72">
        <v>1250</v>
      </c>
      <c r="E96" s="72">
        <v>1450</v>
      </c>
      <c r="F96" s="72">
        <v>0</v>
      </c>
      <c r="G96" s="72">
        <v>1</v>
      </c>
      <c r="H96" s="71">
        <f t="shared" si="6"/>
        <v>1</v>
      </c>
      <c r="I96" s="71">
        <f>IF(D96&lt;&gt;"",D96,IFERROR(E96/(IFERROR(SUM(Sales!C:C),0))*(IFERROR(SUM(Purchases!C:C),0)),0))</f>
        <v>1250</v>
      </c>
      <c r="J96" s="71">
        <f t="shared" si="7"/>
        <v>0</v>
      </c>
      <c r="K96" s="71">
        <f t="shared" si="8"/>
        <v>1250</v>
      </c>
      <c r="L96" s="71"/>
      <c r="M96" s="71"/>
      <c r="N96" s="71" t="s">
        <v>506</v>
      </c>
      <c r="O96" s="71"/>
      <c r="P96" s="71"/>
      <c r="Q96" s="71"/>
      <c r="R96" s="71"/>
      <c r="S96" s="71"/>
      <c r="T96" s="71"/>
    </row>
    <row r="97" spans="1:20" ht="15">
      <c r="A97" s="59" t="s">
        <v>561</v>
      </c>
      <c r="B97" s="59" t="s">
        <v>562</v>
      </c>
      <c r="C97" s="59" t="s">
        <v>95</v>
      </c>
      <c r="D97" s="70">
        <v>1250</v>
      </c>
      <c r="E97" s="70">
        <v>1450</v>
      </c>
      <c r="F97" s="70">
        <v>1</v>
      </c>
      <c r="G97" s="70">
        <v>0</v>
      </c>
      <c r="H97" s="59">
        <f t="shared" si="6"/>
        <v>1</v>
      </c>
      <c r="I97" s="59">
        <f>IF(D97&lt;&gt;"",D97,IFERROR(E97/(IFERROR(SUM(Sales!C:C),0))*(IFERROR(SUM(Purchases!C:C),0)),0))</f>
        <v>1250</v>
      </c>
      <c r="J97" s="59">
        <f t="shared" si="7"/>
        <v>1250</v>
      </c>
      <c r="K97" s="59">
        <f t="shared" si="8"/>
        <v>0</v>
      </c>
      <c r="L97" s="59" t="s">
        <v>192</v>
      </c>
      <c r="M97" s="59"/>
      <c r="N97" s="59" t="s">
        <v>337</v>
      </c>
      <c r="O97" s="59"/>
      <c r="P97" s="59"/>
      <c r="Q97" s="59"/>
      <c r="R97" s="59"/>
      <c r="S97" s="59"/>
      <c r="T97" s="59"/>
    </row>
    <row r="98" spans="1:20" ht="15">
      <c r="A98" s="67" t="s">
        <v>563</v>
      </c>
      <c r="B98" s="71" t="s">
        <v>564</v>
      </c>
      <c r="C98" s="71" t="s">
        <v>96</v>
      </c>
      <c r="D98" s="72">
        <v>1300</v>
      </c>
      <c r="E98" s="72">
        <v>1500</v>
      </c>
      <c r="F98" s="72">
        <v>1</v>
      </c>
      <c r="G98" s="72">
        <v>0</v>
      </c>
      <c r="H98" s="71">
        <f t="shared" ref="H98:H129" si="9">F98+IF(LEN(G98)=0,0,G98)</f>
        <v>1</v>
      </c>
      <c r="I98" s="71">
        <f>IF(D98&lt;&gt;"",D98,IFERROR(E98/(IFERROR(SUM(Sales!C:C),0))*(IFERROR(SUM(Purchases!C:C),0)),0))</f>
        <v>1300</v>
      </c>
      <c r="J98" s="71">
        <f t="shared" ref="J98:J129" si="10">F98*I98</f>
        <v>1300</v>
      </c>
      <c r="K98" s="71">
        <f t="shared" ref="K98:K129" si="11">IF(LEN(G98)=0,0,G98)*I98</f>
        <v>0</v>
      </c>
      <c r="L98" s="71" t="s">
        <v>169</v>
      </c>
      <c r="M98" s="71"/>
      <c r="N98" s="71" t="s">
        <v>337</v>
      </c>
      <c r="O98" s="71" t="s">
        <v>198</v>
      </c>
      <c r="P98" s="71"/>
      <c r="Q98" s="71"/>
      <c r="R98" s="71"/>
      <c r="S98" s="71"/>
      <c r="T98" s="71"/>
    </row>
    <row r="99" spans="1:20" ht="15">
      <c r="A99" s="59" t="s">
        <v>565</v>
      </c>
      <c r="B99" s="59" t="s">
        <v>566</v>
      </c>
      <c r="C99" s="59" t="s">
        <v>96</v>
      </c>
      <c r="D99" s="70">
        <v>1160</v>
      </c>
      <c r="E99" s="70">
        <v>1500</v>
      </c>
      <c r="F99" s="70">
        <v>1</v>
      </c>
      <c r="G99" s="70">
        <v>0</v>
      </c>
      <c r="H99" s="59">
        <f t="shared" si="9"/>
        <v>1</v>
      </c>
      <c r="I99" s="59">
        <f>IF(D99&lt;&gt;"",D99,IFERROR(E99/(IFERROR(SUM(Sales!C:C),0))*(IFERROR(SUM(Purchases!C:C),0)),0))</f>
        <v>1160</v>
      </c>
      <c r="J99" s="59">
        <f t="shared" si="10"/>
        <v>1160</v>
      </c>
      <c r="K99" s="59">
        <f t="shared" si="11"/>
        <v>0</v>
      </c>
      <c r="L99" s="59" t="s">
        <v>169</v>
      </c>
      <c r="M99" s="59"/>
      <c r="N99" s="59" t="s">
        <v>337</v>
      </c>
      <c r="O99" s="59" t="s">
        <v>198</v>
      </c>
      <c r="P99" s="59"/>
      <c r="Q99" s="59"/>
      <c r="R99" s="59"/>
      <c r="S99" s="59"/>
      <c r="T99" s="59"/>
    </row>
    <row r="100" spans="1:20" ht="15">
      <c r="A100" s="67" t="s">
        <v>567</v>
      </c>
      <c r="B100" s="71" t="s">
        <v>568</v>
      </c>
      <c r="C100" s="71" t="s">
        <v>96</v>
      </c>
      <c r="D100" s="72">
        <v>1300</v>
      </c>
      <c r="E100" s="72">
        <v>1500</v>
      </c>
      <c r="F100" s="72">
        <v>1</v>
      </c>
      <c r="G100" s="72">
        <v>0</v>
      </c>
      <c r="H100" s="71">
        <f t="shared" si="9"/>
        <v>1</v>
      </c>
      <c r="I100" s="71">
        <f>IF(D100&lt;&gt;"",D100,IFERROR(E100/(IFERROR(SUM(Sales!C:C),0))*(IFERROR(SUM(Purchases!C:C),0)),0))</f>
        <v>1300</v>
      </c>
      <c r="J100" s="71">
        <f t="shared" si="10"/>
        <v>1300</v>
      </c>
      <c r="K100" s="71">
        <f t="shared" si="11"/>
        <v>0</v>
      </c>
      <c r="L100" s="71" t="s">
        <v>169</v>
      </c>
      <c r="M100" s="71"/>
      <c r="N100" s="71" t="s">
        <v>337</v>
      </c>
      <c r="O100" s="71" t="s">
        <v>198</v>
      </c>
      <c r="P100" s="71"/>
      <c r="Q100" s="71"/>
      <c r="R100" s="71"/>
      <c r="S100" s="71"/>
      <c r="T100" s="71"/>
    </row>
    <row r="101" spans="1:20" ht="15">
      <c r="A101" s="59" t="s">
        <v>569</v>
      </c>
      <c r="B101" s="59" t="s">
        <v>570</v>
      </c>
      <c r="C101" s="59" t="s">
        <v>96</v>
      </c>
      <c r="D101" s="70">
        <v>1622</v>
      </c>
      <c r="E101" s="70">
        <v>1900</v>
      </c>
      <c r="F101" s="70">
        <v>1</v>
      </c>
      <c r="G101" s="70">
        <v>0</v>
      </c>
      <c r="H101" s="59">
        <f t="shared" si="9"/>
        <v>1</v>
      </c>
      <c r="I101" s="59">
        <f>IF(D101&lt;&gt;"",D101,IFERROR(E101/(IFERROR(SUM(Sales!C:C),0))*(IFERROR(SUM(Purchases!C:C),0)),0))</f>
        <v>1622</v>
      </c>
      <c r="J101" s="59">
        <f t="shared" si="10"/>
        <v>1622</v>
      </c>
      <c r="K101" s="59">
        <f t="shared" si="11"/>
        <v>0</v>
      </c>
      <c r="L101" s="59" t="s">
        <v>185</v>
      </c>
      <c r="M101" s="59"/>
      <c r="N101" s="59" t="s">
        <v>337</v>
      </c>
      <c r="O101" s="59" t="s">
        <v>198</v>
      </c>
      <c r="P101" s="59"/>
      <c r="Q101" s="59"/>
      <c r="R101" s="59"/>
      <c r="S101" s="59"/>
      <c r="T101" s="59"/>
    </row>
    <row r="102" spans="1:20" ht="15">
      <c r="A102" s="67" t="s">
        <v>571</v>
      </c>
      <c r="B102" s="71" t="s">
        <v>572</v>
      </c>
      <c r="C102" s="71" t="s">
        <v>96</v>
      </c>
      <c r="D102" s="72">
        <v>1092</v>
      </c>
      <c r="E102" s="72">
        <v>1500</v>
      </c>
      <c r="F102" s="72">
        <v>1</v>
      </c>
      <c r="G102" s="72">
        <v>0</v>
      </c>
      <c r="H102" s="71">
        <f t="shared" si="9"/>
        <v>1</v>
      </c>
      <c r="I102" s="71">
        <f>IF(D102&lt;&gt;"",D102,IFERROR(E102/(IFERROR(SUM(Sales!C:C),0))*(IFERROR(SUM(Purchases!C:C),0)),0))</f>
        <v>1092</v>
      </c>
      <c r="J102" s="71">
        <f t="shared" si="10"/>
        <v>1092</v>
      </c>
      <c r="K102" s="71">
        <f t="shared" si="11"/>
        <v>0</v>
      </c>
      <c r="L102" s="71" t="s">
        <v>185</v>
      </c>
      <c r="M102" s="71"/>
      <c r="N102" s="71" t="s">
        <v>337</v>
      </c>
      <c r="O102" s="71" t="s">
        <v>198</v>
      </c>
      <c r="P102" s="71"/>
      <c r="Q102" s="71"/>
      <c r="R102" s="71"/>
      <c r="S102" s="71"/>
      <c r="T102" s="71"/>
    </row>
    <row r="103" spans="1:20" ht="15">
      <c r="A103" s="59" t="s">
        <v>573</v>
      </c>
      <c r="B103" s="59" t="s">
        <v>574</v>
      </c>
      <c r="C103" s="59" t="s">
        <v>96</v>
      </c>
      <c r="D103" s="70">
        <v>976</v>
      </c>
      <c r="E103" s="70">
        <v>1399</v>
      </c>
      <c r="F103" s="70">
        <v>1</v>
      </c>
      <c r="G103" s="70">
        <v>0</v>
      </c>
      <c r="H103" s="59">
        <f t="shared" si="9"/>
        <v>1</v>
      </c>
      <c r="I103" s="59">
        <f>IF(D103&lt;&gt;"",D103,IFERROR(E103/(IFERROR(SUM(Sales!C:C),0))*(IFERROR(SUM(Purchases!C:C),0)),0))</f>
        <v>976</v>
      </c>
      <c r="J103" s="59">
        <f t="shared" si="10"/>
        <v>976</v>
      </c>
      <c r="K103" s="59">
        <f t="shared" si="11"/>
        <v>0</v>
      </c>
      <c r="L103" s="59" t="s">
        <v>209</v>
      </c>
      <c r="M103" s="59"/>
      <c r="N103" s="59" t="s">
        <v>337</v>
      </c>
      <c r="O103" s="59" t="s">
        <v>198</v>
      </c>
      <c r="P103" s="59"/>
      <c r="Q103" s="59"/>
      <c r="R103" s="59"/>
      <c r="S103" s="59"/>
      <c r="T103" s="59"/>
    </row>
    <row r="104" spans="1:20" ht="15">
      <c r="A104" s="67" t="s">
        <v>575</v>
      </c>
      <c r="B104" s="71" t="s">
        <v>576</v>
      </c>
      <c r="C104" s="71" t="s">
        <v>96</v>
      </c>
      <c r="D104" s="72">
        <v>976</v>
      </c>
      <c r="E104" s="72">
        <v>1600</v>
      </c>
      <c r="F104" s="72">
        <v>1</v>
      </c>
      <c r="G104" s="72">
        <v>0</v>
      </c>
      <c r="H104" s="71">
        <f t="shared" si="9"/>
        <v>1</v>
      </c>
      <c r="I104" s="71">
        <f>IF(D104&lt;&gt;"",D104,IFERROR(E104/(IFERROR(SUM(Sales!C:C),0))*(IFERROR(SUM(Purchases!C:C),0)),0))</f>
        <v>976</v>
      </c>
      <c r="J104" s="71">
        <f t="shared" si="10"/>
        <v>976</v>
      </c>
      <c r="K104" s="71">
        <f t="shared" si="11"/>
        <v>0</v>
      </c>
      <c r="L104" s="71" t="s">
        <v>152</v>
      </c>
      <c r="M104" s="71"/>
      <c r="N104" s="71" t="s">
        <v>337</v>
      </c>
      <c r="O104" s="71" t="s">
        <v>198</v>
      </c>
      <c r="P104" s="71"/>
      <c r="Q104" s="71"/>
      <c r="R104" s="71"/>
      <c r="S104" s="71"/>
      <c r="T104" s="71"/>
    </row>
    <row r="105" spans="1:20" ht="15">
      <c r="A105" s="59" t="s">
        <v>577</v>
      </c>
      <c r="B105" s="59" t="s">
        <v>578</v>
      </c>
      <c r="C105" s="59" t="s">
        <v>96</v>
      </c>
      <c r="D105" s="70">
        <v>976</v>
      </c>
      <c r="E105" s="70">
        <v>1600</v>
      </c>
      <c r="F105" s="70">
        <v>1</v>
      </c>
      <c r="G105" s="70">
        <v>0</v>
      </c>
      <c r="H105" s="59">
        <f t="shared" si="9"/>
        <v>1</v>
      </c>
      <c r="I105" s="59">
        <f>IF(D105&lt;&gt;"",D105,IFERROR(E105/(IFERROR(SUM(Sales!C:C),0))*(IFERROR(SUM(Purchases!C:C),0)),0))</f>
        <v>976</v>
      </c>
      <c r="J105" s="59">
        <f t="shared" si="10"/>
        <v>976</v>
      </c>
      <c r="K105" s="59">
        <f t="shared" si="11"/>
        <v>0</v>
      </c>
      <c r="L105" s="59" t="s">
        <v>152</v>
      </c>
      <c r="M105" s="59"/>
      <c r="N105" s="59" t="s">
        <v>337</v>
      </c>
      <c r="O105" s="59" t="s">
        <v>198</v>
      </c>
      <c r="P105" s="59"/>
      <c r="Q105" s="59"/>
      <c r="R105" s="59"/>
      <c r="S105" s="59"/>
      <c r="T105" s="59"/>
    </row>
    <row r="106" spans="1:20" ht="15">
      <c r="A106" s="67" t="s">
        <v>579</v>
      </c>
      <c r="B106" s="71" t="s">
        <v>580</v>
      </c>
      <c r="C106" s="71" t="s">
        <v>96</v>
      </c>
      <c r="D106" s="72">
        <v>976</v>
      </c>
      <c r="E106" s="72">
        <v>1600</v>
      </c>
      <c r="F106" s="72">
        <v>0</v>
      </c>
      <c r="G106" s="72">
        <v>1</v>
      </c>
      <c r="H106" s="71">
        <f t="shared" si="9"/>
        <v>1</v>
      </c>
      <c r="I106" s="71">
        <f>IF(D106&lt;&gt;"",D106,IFERROR(E106/(IFERROR(SUM(Sales!C:C),0))*(IFERROR(SUM(Purchases!C:C),0)),0))</f>
        <v>976</v>
      </c>
      <c r="J106" s="71">
        <f t="shared" si="10"/>
        <v>0</v>
      </c>
      <c r="K106" s="71">
        <f t="shared" si="11"/>
        <v>976</v>
      </c>
      <c r="L106" s="71"/>
      <c r="M106" s="71"/>
      <c r="N106" s="71" t="s">
        <v>311</v>
      </c>
      <c r="O106" s="71" t="s">
        <v>198</v>
      </c>
      <c r="P106" s="71"/>
      <c r="Q106" s="71"/>
      <c r="R106" s="71"/>
      <c r="S106" s="71"/>
      <c r="T106" s="71"/>
    </row>
    <row r="107" spans="1:20" ht="15">
      <c r="A107" s="59" t="s">
        <v>581</v>
      </c>
      <c r="B107" s="59" t="s">
        <v>582</v>
      </c>
      <c r="C107" s="59" t="s">
        <v>96</v>
      </c>
      <c r="D107" s="70">
        <v>976</v>
      </c>
      <c r="E107" s="70">
        <v>1400</v>
      </c>
      <c r="F107" s="70">
        <v>1</v>
      </c>
      <c r="G107" s="70">
        <v>0</v>
      </c>
      <c r="H107" s="59">
        <f t="shared" si="9"/>
        <v>1</v>
      </c>
      <c r="I107" s="59">
        <f>IF(D107&lt;&gt;"",D107,IFERROR(E107/(IFERROR(SUM(Sales!C:C),0))*(IFERROR(SUM(Purchases!C:C),0)),0))</f>
        <v>976</v>
      </c>
      <c r="J107" s="59">
        <f t="shared" si="10"/>
        <v>976</v>
      </c>
      <c r="K107" s="59">
        <f t="shared" si="11"/>
        <v>0</v>
      </c>
      <c r="L107" s="59" t="s">
        <v>168</v>
      </c>
      <c r="M107" s="59"/>
      <c r="N107" s="59" t="s">
        <v>337</v>
      </c>
      <c r="O107" s="59" t="s">
        <v>198</v>
      </c>
      <c r="P107" s="59"/>
      <c r="Q107" s="59"/>
      <c r="R107" s="59"/>
      <c r="S107" s="59"/>
      <c r="T107" s="59"/>
    </row>
    <row r="108" spans="1:20" ht="15">
      <c r="A108" s="67" t="s">
        <v>583</v>
      </c>
      <c r="B108" s="71" t="s">
        <v>584</v>
      </c>
      <c r="C108" s="71" t="s">
        <v>96</v>
      </c>
      <c r="D108" s="72">
        <v>976</v>
      </c>
      <c r="E108" s="72">
        <v>1600</v>
      </c>
      <c r="F108" s="72">
        <v>1</v>
      </c>
      <c r="G108" s="72">
        <v>0</v>
      </c>
      <c r="H108" s="71">
        <f t="shared" si="9"/>
        <v>1</v>
      </c>
      <c r="I108" s="71">
        <f>IF(D108&lt;&gt;"",D108,IFERROR(E108/(IFERROR(SUM(Sales!C:C),0))*(IFERROR(SUM(Purchases!C:C),0)),0))</f>
        <v>976</v>
      </c>
      <c r="J108" s="71">
        <f t="shared" si="10"/>
        <v>976</v>
      </c>
      <c r="K108" s="71">
        <f t="shared" si="11"/>
        <v>0</v>
      </c>
      <c r="L108" s="71" t="s">
        <v>182</v>
      </c>
      <c r="M108" s="71"/>
      <c r="N108" s="71" t="s">
        <v>337</v>
      </c>
      <c r="O108" s="71" t="s">
        <v>198</v>
      </c>
      <c r="P108" s="71"/>
      <c r="Q108" s="71"/>
      <c r="R108" s="71"/>
      <c r="S108" s="71"/>
      <c r="T108" s="71"/>
    </row>
    <row r="109" spans="1:20" ht="15">
      <c r="A109" s="59" t="s">
        <v>585</v>
      </c>
      <c r="B109" s="59" t="s">
        <v>586</v>
      </c>
      <c r="C109" s="59" t="s">
        <v>96</v>
      </c>
      <c r="D109" s="70">
        <v>976</v>
      </c>
      <c r="E109" s="70">
        <v>1500</v>
      </c>
      <c r="F109" s="70">
        <v>1</v>
      </c>
      <c r="G109" s="70">
        <v>0</v>
      </c>
      <c r="H109" s="59">
        <f t="shared" si="9"/>
        <v>1</v>
      </c>
      <c r="I109" s="59">
        <f>IF(D109&lt;&gt;"",D109,IFERROR(E109/(IFERROR(SUM(Sales!C:C),0))*(IFERROR(SUM(Purchases!C:C),0)),0))</f>
        <v>976</v>
      </c>
      <c r="J109" s="59">
        <f t="shared" si="10"/>
        <v>976</v>
      </c>
      <c r="K109" s="59">
        <f t="shared" si="11"/>
        <v>0</v>
      </c>
      <c r="L109" s="59" t="s">
        <v>185</v>
      </c>
      <c r="M109" s="59"/>
      <c r="N109" s="59" t="s">
        <v>337</v>
      </c>
      <c r="O109" s="59" t="s">
        <v>198</v>
      </c>
      <c r="P109" s="59"/>
      <c r="Q109" s="59"/>
      <c r="R109" s="59"/>
      <c r="S109" s="59"/>
      <c r="T109" s="59"/>
    </row>
    <row r="110" spans="1:20" ht="15">
      <c r="A110" s="67" t="s">
        <v>587</v>
      </c>
      <c r="B110" s="71" t="s">
        <v>588</v>
      </c>
      <c r="C110" s="71" t="s">
        <v>96</v>
      </c>
      <c r="D110" s="72">
        <v>976</v>
      </c>
      <c r="E110" s="72">
        <v>1600</v>
      </c>
      <c r="F110" s="72">
        <v>1</v>
      </c>
      <c r="G110" s="72">
        <v>0</v>
      </c>
      <c r="H110" s="71">
        <f t="shared" si="9"/>
        <v>1</v>
      </c>
      <c r="I110" s="71">
        <f>IF(D110&lt;&gt;"",D110,IFERROR(E110/(IFERROR(SUM(Sales!C:C),0))*(IFERROR(SUM(Purchases!C:C),0)),0))</f>
        <v>976</v>
      </c>
      <c r="J110" s="71">
        <f t="shared" si="10"/>
        <v>976</v>
      </c>
      <c r="K110" s="71">
        <f t="shared" si="11"/>
        <v>0</v>
      </c>
      <c r="L110" s="71" t="s">
        <v>184</v>
      </c>
      <c r="M110" s="71"/>
      <c r="N110" s="71" t="s">
        <v>337</v>
      </c>
      <c r="O110" s="71" t="s">
        <v>198</v>
      </c>
      <c r="P110" s="71"/>
      <c r="Q110" s="71"/>
      <c r="R110" s="71"/>
      <c r="S110" s="71"/>
      <c r="T110" s="71"/>
    </row>
    <row r="111" spans="1:20" ht="15">
      <c r="A111" s="59" t="s">
        <v>589</v>
      </c>
      <c r="B111" s="59" t="s">
        <v>590</v>
      </c>
      <c r="C111" s="59" t="s">
        <v>96</v>
      </c>
      <c r="D111" s="70">
        <v>976</v>
      </c>
      <c r="E111" s="70">
        <v>1600</v>
      </c>
      <c r="F111" s="70">
        <v>1</v>
      </c>
      <c r="G111" s="70">
        <v>0</v>
      </c>
      <c r="H111" s="59">
        <f t="shared" si="9"/>
        <v>1</v>
      </c>
      <c r="I111" s="59">
        <f>IF(D111&lt;&gt;"",D111,IFERROR(E111/(IFERROR(SUM(Sales!C:C),0))*(IFERROR(SUM(Purchases!C:C),0)),0))</f>
        <v>976</v>
      </c>
      <c r="J111" s="59">
        <f t="shared" si="10"/>
        <v>976</v>
      </c>
      <c r="K111" s="59">
        <f t="shared" si="11"/>
        <v>0</v>
      </c>
      <c r="L111" s="59" t="s">
        <v>182</v>
      </c>
      <c r="M111" s="59"/>
      <c r="N111" s="59" t="s">
        <v>337</v>
      </c>
      <c r="O111" s="59" t="s">
        <v>198</v>
      </c>
      <c r="P111" s="59"/>
      <c r="Q111" s="59"/>
      <c r="R111" s="59"/>
      <c r="S111" s="59"/>
      <c r="T111" s="59"/>
    </row>
    <row r="112" spans="1:20" ht="15">
      <c r="A112" s="67" t="s">
        <v>591</v>
      </c>
      <c r="B112" s="71" t="s">
        <v>592</v>
      </c>
      <c r="C112" s="71" t="s">
        <v>96</v>
      </c>
      <c r="D112" s="72">
        <v>976</v>
      </c>
      <c r="E112" s="72">
        <v>1600</v>
      </c>
      <c r="F112" s="72">
        <v>0</v>
      </c>
      <c r="G112" s="72">
        <v>1</v>
      </c>
      <c r="H112" s="71">
        <f t="shared" si="9"/>
        <v>1</v>
      </c>
      <c r="I112" s="71">
        <f>IF(D112&lt;&gt;"",D112,IFERROR(E112/(IFERROR(SUM(Sales!C:C),0))*(IFERROR(SUM(Purchases!C:C),0)),0))</f>
        <v>976</v>
      </c>
      <c r="J112" s="71">
        <f t="shared" si="10"/>
        <v>0</v>
      </c>
      <c r="K112" s="71">
        <f t="shared" si="11"/>
        <v>976</v>
      </c>
      <c r="L112" s="71"/>
      <c r="M112" s="71"/>
      <c r="N112" s="71" t="s">
        <v>506</v>
      </c>
      <c r="O112" s="71" t="s">
        <v>198</v>
      </c>
      <c r="P112" s="71"/>
      <c r="Q112" s="71"/>
      <c r="R112" s="71"/>
      <c r="S112" s="71"/>
      <c r="T112" s="71"/>
    </row>
    <row r="113" spans="1:20" ht="15">
      <c r="A113" s="59" t="s">
        <v>593</v>
      </c>
      <c r="B113" s="59" t="s">
        <v>594</v>
      </c>
      <c r="C113" s="59" t="s">
        <v>96</v>
      </c>
      <c r="D113" s="70">
        <v>976</v>
      </c>
      <c r="E113" s="70">
        <v>1300</v>
      </c>
      <c r="F113" s="70">
        <v>1</v>
      </c>
      <c r="G113" s="70">
        <v>0</v>
      </c>
      <c r="H113" s="59">
        <f t="shared" si="9"/>
        <v>1</v>
      </c>
      <c r="I113" s="59">
        <f>IF(D113&lt;&gt;"",D113,IFERROR(E113/(IFERROR(SUM(Sales!C:C),0))*(IFERROR(SUM(Purchases!C:C),0)),0))</f>
        <v>976</v>
      </c>
      <c r="J113" s="59">
        <f t="shared" si="10"/>
        <v>976</v>
      </c>
      <c r="K113" s="59">
        <f t="shared" si="11"/>
        <v>0</v>
      </c>
      <c r="L113" s="59" t="s">
        <v>209</v>
      </c>
      <c r="M113" s="59"/>
      <c r="N113" s="59" t="s">
        <v>337</v>
      </c>
      <c r="O113" s="59" t="s">
        <v>198</v>
      </c>
      <c r="P113" s="59"/>
      <c r="Q113" s="59"/>
      <c r="R113" s="59"/>
      <c r="S113" s="59"/>
      <c r="T113" s="59"/>
    </row>
    <row r="114" spans="1:20" ht="15">
      <c r="A114" s="67" t="s">
        <v>595</v>
      </c>
      <c r="B114" s="71" t="s">
        <v>596</v>
      </c>
      <c r="C114" s="71" t="s">
        <v>95</v>
      </c>
      <c r="D114" s="72">
        <v>1118.26</v>
      </c>
      <c r="E114" s="72">
        <v>1500</v>
      </c>
      <c r="F114" s="72">
        <v>1</v>
      </c>
      <c r="G114" s="72">
        <v>0</v>
      </c>
      <c r="H114" s="71">
        <f t="shared" si="9"/>
        <v>1</v>
      </c>
      <c r="I114" s="71">
        <f>IF(D114&lt;&gt;"",D114,IFERROR(E114/(IFERROR(SUM(Sales!C:C),0))*(IFERROR(SUM(Purchases!C:C),0)),0))</f>
        <v>1118.26</v>
      </c>
      <c r="J114" s="71">
        <f t="shared" si="10"/>
        <v>1118.26</v>
      </c>
      <c r="K114" s="71">
        <f t="shared" si="11"/>
        <v>0</v>
      </c>
      <c r="L114" s="71" t="s">
        <v>215</v>
      </c>
      <c r="M114" s="71"/>
      <c r="N114" s="71" t="s">
        <v>337</v>
      </c>
      <c r="O114" s="71"/>
      <c r="P114" s="71"/>
      <c r="Q114" s="71"/>
      <c r="R114" s="71"/>
      <c r="S114" s="71"/>
      <c r="T114" s="71"/>
    </row>
    <row r="115" spans="1:20" ht="30">
      <c r="A115" s="59" t="s">
        <v>597</v>
      </c>
      <c r="B115" s="59" t="s">
        <v>598</v>
      </c>
      <c r="C115" s="59" t="s">
        <v>95</v>
      </c>
      <c r="D115" s="70">
        <v>1254.76</v>
      </c>
      <c r="E115" s="70">
        <v>1599</v>
      </c>
      <c r="F115" s="70">
        <v>5</v>
      </c>
      <c r="G115" s="70">
        <v>0</v>
      </c>
      <c r="H115" s="59">
        <f t="shared" si="9"/>
        <v>5</v>
      </c>
      <c r="I115" s="59">
        <f>IF(D115&lt;&gt;"",D115,IFERROR(E115/(IFERROR(SUM(Sales!C:C),0))*(IFERROR(SUM(Purchases!C:C),0)),0))</f>
        <v>1254.76</v>
      </c>
      <c r="J115" s="59">
        <f t="shared" si="10"/>
        <v>6273.8</v>
      </c>
      <c r="K115" s="59">
        <f t="shared" si="11"/>
        <v>0</v>
      </c>
      <c r="L115" s="59" t="s">
        <v>769</v>
      </c>
      <c r="M115" s="59"/>
      <c r="N115" s="59" t="s">
        <v>337</v>
      </c>
      <c r="O115" s="59"/>
      <c r="P115" s="77"/>
      <c r="Q115" s="59"/>
      <c r="R115" s="59"/>
      <c r="S115" s="59"/>
      <c r="T115" s="59"/>
    </row>
    <row r="116" spans="1:20" ht="135">
      <c r="A116" s="67" t="s">
        <v>599</v>
      </c>
      <c r="B116" s="71" t="s">
        <v>600</v>
      </c>
      <c r="C116" s="71" t="s">
        <v>95</v>
      </c>
      <c r="D116" s="72">
        <v>891.5</v>
      </c>
      <c r="E116" s="72">
        <v>1400</v>
      </c>
      <c r="F116" s="72">
        <v>20</v>
      </c>
      <c r="G116" s="72">
        <v>1</v>
      </c>
      <c r="H116" s="71">
        <f t="shared" si="9"/>
        <v>21</v>
      </c>
      <c r="I116" s="71">
        <f>IF(D116&lt;&gt;"",D116,IFERROR(E116/(IFERROR(SUM(Sales!C:C),0))*(IFERROR(SUM(Purchases!C:C),0)),0))</f>
        <v>891.5</v>
      </c>
      <c r="J116" s="71">
        <f t="shared" si="10"/>
        <v>17830</v>
      </c>
      <c r="K116" s="71">
        <f t="shared" si="11"/>
        <v>891.5</v>
      </c>
      <c r="L116" s="71" t="s">
        <v>601</v>
      </c>
      <c r="M116" s="71"/>
      <c r="N116" s="71" t="s">
        <v>422</v>
      </c>
      <c r="O116" s="71"/>
      <c r="P116" s="71" t="s">
        <v>602</v>
      </c>
      <c r="Q116" s="71"/>
      <c r="R116" s="71"/>
      <c r="S116" s="71"/>
      <c r="T116" s="71"/>
    </row>
    <row r="117" spans="1:20" ht="15">
      <c r="A117" s="59" t="s">
        <v>603</v>
      </c>
      <c r="B117" s="59" t="s">
        <v>604</v>
      </c>
      <c r="C117" s="59" t="s">
        <v>95</v>
      </c>
      <c r="D117" s="70">
        <v>891.46</v>
      </c>
      <c r="E117" s="70">
        <v>1400</v>
      </c>
      <c r="F117" s="70">
        <v>1</v>
      </c>
      <c r="G117" s="70">
        <v>0</v>
      </c>
      <c r="H117" s="59">
        <f t="shared" si="9"/>
        <v>1</v>
      </c>
      <c r="I117" s="59">
        <f>IF(D117&lt;&gt;"",D117,IFERROR(E117/(IFERROR(SUM(Sales!C:C),0))*(IFERROR(SUM(Purchases!C:C),0)),0))</f>
        <v>891.46</v>
      </c>
      <c r="J117" s="59">
        <f t="shared" si="10"/>
        <v>891.46</v>
      </c>
      <c r="K117" s="59">
        <f t="shared" si="11"/>
        <v>0</v>
      </c>
      <c r="L117" s="59" t="s">
        <v>200</v>
      </c>
      <c r="M117" s="59"/>
      <c r="N117" s="59" t="s">
        <v>337</v>
      </c>
      <c r="O117" s="59"/>
      <c r="P117" s="59"/>
      <c r="Q117" s="59"/>
      <c r="R117" s="59"/>
      <c r="S117" s="59"/>
      <c r="T117" s="59"/>
    </row>
    <row r="118" spans="1:20" ht="15">
      <c r="A118" s="67" t="s">
        <v>605</v>
      </c>
      <c r="B118" s="71" t="s">
        <v>606</v>
      </c>
      <c r="C118" s="71" t="s">
        <v>95</v>
      </c>
      <c r="D118" s="72">
        <v>1047.9000000000001</v>
      </c>
      <c r="E118" s="72">
        <v>1500</v>
      </c>
      <c r="F118" s="72">
        <v>1</v>
      </c>
      <c r="G118" s="72">
        <v>1</v>
      </c>
      <c r="H118" s="71">
        <f t="shared" si="9"/>
        <v>2</v>
      </c>
      <c r="I118" s="71">
        <f>IF(D118&lt;&gt;"",D118,IFERROR(E118/(IFERROR(SUM(Sales!C:C),0))*(IFERROR(SUM(Purchases!C:C),0)),0))</f>
        <v>1047.9000000000001</v>
      </c>
      <c r="J118" s="71">
        <f t="shared" si="10"/>
        <v>1047.9000000000001</v>
      </c>
      <c r="K118" s="71">
        <f t="shared" si="11"/>
        <v>1047.9000000000001</v>
      </c>
      <c r="L118" s="71" t="s">
        <v>607</v>
      </c>
      <c r="M118" s="71"/>
      <c r="N118" s="71" t="s">
        <v>422</v>
      </c>
      <c r="O118" s="71"/>
      <c r="P118" s="71" t="s">
        <v>608</v>
      </c>
      <c r="Q118" s="71"/>
      <c r="R118" s="71"/>
      <c r="S118" s="71"/>
      <c r="T118" s="71"/>
    </row>
    <row r="119" spans="1:20" ht="15">
      <c r="A119" s="59" t="s">
        <v>609</v>
      </c>
      <c r="B119" s="59" t="s">
        <v>610</v>
      </c>
      <c r="C119" s="59" t="s">
        <v>95</v>
      </c>
      <c r="D119" s="70">
        <v>870.46</v>
      </c>
      <c r="E119" s="70">
        <v>1200</v>
      </c>
      <c r="F119" s="70">
        <v>1</v>
      </c>
      <c r="G119" s="70">
        <v>0</v>
      </c>
      <c r="H119" s="59">
        <f t="shared" si="9"/>
        <v>1</v>
      </c>
      <c r="I119" s="59">
        <f>IF(D119&lt;&gt;"",D119,IFERROR(E119/(IFERROR(SUM(Sales!C:C),0))*(IFERROR(SUM(Purchases!C:C),0)),0))</f>
        <v>870.46</v>
      </c>
      <c r="J119" s="59">
        <f t="shared" si="10"/>
        <v>870.46</v>
      </c>
      <c r="K119" s="59">
        <f t="shared" si="11"/>
        <v>0</v>
      </c>
      <c r="L119" s="59" t="s">
        <v>51</v>
      </c>
      <c r="M119" s="59"/>
      <c r="N119" s="59" t="s">
        <v>337</v>
      </c>
      <c r="O119" s="59"/>
      <c r="P119" s="59"/>
      <c r="Q119" s="59"/>
      <c r="R119" s="59"/>
      <c r="S119" s="59"/>
      <c r="T119" s="59"/>
    </row>
    <row r="120" spans="1:20" ht="15">
      <c r="A120" s="67" t="s">
        <v>611</v>
      </c>
      <c r="B120" s="71" t="s">
        <v>612</v>
      </c>
      <c r="C120" s="71" t="s">
        <v>95</v>
      </c>
      <c r="D120" s="72">
        <v>418.95333333333298</v>
      </c>
      <c r="E120" s="72">
        <v>699</v>
      </c>
      <c r="F120" s="72">
        <v>3</v>
      </c>
      <c r="G120" s="72">
        <v>2</v>
      </c>
      <c r="H120" s="71">
        <f t="shared" si="9"/>
        <v>5</v>
      </c>
      <c r="I120" s="71">
        <f>IF(D120&lt;&gt;"",D120,IFERROR(E120/(IFERROR(SUM(Sales!C:C),0))*(IFERROR(SUM(Purchases!C:C),0)),0))</f>
        <v>418.95333333333298</v>
      </c>
      <c r="J120" s="71">
        <f t="shared" si="10"/>
        <v>1256.859999999999</v>
      </c>
      <c r="K120" s="71">
        <f t="shared" si="11"/>
        <v>837.90666666666596</v>
      </c>
      <c r="L120" s="71" t="s">
        <v>613</v>
      </c>
      <c r="M120" s="71" t="s">
        <v>49</v>
      </c>
      <c r="N120" s="71" t="s">
        <v>422</v>
      </c>
      <c r="O120" s="71"/>
      <c r="P120" s="71" t="s">
        <v>614</v>
      </c>
      <c r="Q120" s="71"/>
      <c r="R120" s="71"/>
      <c r="S120" s="71"/>
      <c r="T120" s="71"/>
    </row>
    <row r="121" spans="1:20" ht="15">
      <c r="A121" s="59" t="s">
        <v>615</v>
      </c>
      <c r="B121" s="59" t="s">
        <v>616</v>
      </c>
      <c r="C121" s="59" t="s">
        <v>95</v>
      </c>
      <c r="D121" s="70">
        <v>817.95</v>
      </c>
      <c r="E121" s="70">
        <v>1249</v>
      </c>
      <c r="F121" s="70">
        <v>2</v>
      </c>
      <c r="G121" s="70">
        <v>0</v>
      </c>
      <c r="H121" s="59">
        <f t="shared" si="9"/>
        <v>2</v>
      </c>
      <c r="I121" s="59">
        <f>IF(D121&lt;&gt;"",D121,IFERROR(E121/(IFERROR(SUM(Sales!C:C),0))*(IFERROR(SUM(Purchases!C:C),0)),0))</f>
        <v>817.95</v>
      </c>
      <c r="J121" s="59">
        <f t="shared" si="10"/>
        <v>1635.9</v>
      </c>
      <c r="K121" s="59">
        <f t="shared" si="11"/>
        <v>0</v>
      </c>
      <c r="L121" s="59" t="s">
        <v>617</v>
      </c>
      <c r="M121" s="59"/>
      <c r="N121" s="59" t="s">
        <v>337</v>
      </c>
      <c r="O121" s="59"/>
      <c r="P121" s="59" t="s">
        <v>618</v>
      </c>
      <c r="Q121" s="59"/>
      <c r="R121" s="59"/>
      <c r="S121" s="59"/>
      <c r="T121" s="59"/>
    </row>
    <row r="122" spans="1:20" ht="15">
      <c r="A122" s="67" t="s">
        <v>619</v>
      </c>
      <c r="B122" s="71" t="s">
        <v>620</v>
      </c>
      <c r="C122" s="71" t="s">
        <v>96</v>
      </c>
      <c r="D122" s="72">
        <v>1175</v>
      </c>
      <c r="E122" s="72">
        <v>1600</v>
      </c>
      <c r="F122" s="72">
        <v>1</v>
      </c>
      <c r="G122" s="72">
        <v>3</v>
      </c>
      <c r="H122" s="71">
        <f t="shared" si="9"/>
        <v>4</v>
      </c>
      <c r="I122" s="71">
        <f>IF(D122&lt;&gt;"",D122,IFERROR(E122/(IFERROR(SUM(Sales!C:C),0))*(IFERROR(SUM(Purchases!C:C),0)),0))</f>
        <v>1175</v>
      </c>
      <c r="J122" s="71">
        <f t="shared" si="10"/>
        <v>1175</v>
      </c>
      <c r="K122" s="71">
        <f t="shared" si="11"/>
        <v>3525</v>
      </c>
      <c r="L122" s="71" t="s">
        <v>621</v>
      </c>
      <c r="M122" s="71"/>
      <c r="N122" s="71" t="s">
        <v>422</v>
      </c>
      <c r="O122" s="71" t="s">
        <v>622</v>
      </c>
      <c r="P122" s="71"/>
      <c r="Q122" s="71"/>
      <c r="R122" s="71"/>
      <c r="S122" s="71"/>
      <c r="T122" s="71"/>
    </row>
    <row r="123" spans="1:20" s="73" customFormat="1" ht="75">
      <c r="A123" s="78" t="s">
        <v>623</v>
      </c>
      <c r="B123" s="78" t="s">
        <v>624</v>
      </c>
      <c r="C123" s="78" t="s">
        <v>95</v>
      </c>
      <c r="D123" s="79">
        <v>891.44</v>
      </c>
      <c r="E123" s="79">
        <v>1380</v>
      </c>
      <c r="F123" s="79">
        <v>5</v>
      </c>
      <c r="G123" s="79">
        <v>0</v>
      </c>
      <c r="H123" s="78">
        <f t="shared" si="9"/>
        <v>5</v>
      </c>
      <c r="I123" s="78">
        <f>IF(D123&lt;&gt;"",D123,IFERROR(E123/(IFERROR(SUM(Sales!C:C),0))*(IFERROR(SUM(Purchases!C:C),0)),0))</f>
        <v>891.44</v>
      </c>
      <c r="J123" s="78">
        <f t="shared" si="10"/>
        <v>4457.2000000000007</v>
      </c>
      <c r="K123" s="78">
        <f t="shared" si="11"/>
        <v>0</v>
      </c>
      <c r="L123" s="78" t="s">
        <v>625</v>
      </c>
      <c r="M123" s="78"/>
      <c r="N123" s="78" t="s">
        <v>337</v>
      </c>
      <c r="O123" s="78"/>
      <c r="P123" s="78"/>
      <c r="Q123" s="78"/>
      <c r="R123" s="78"/>
      <c r="S123" s="78"/>
      <c r="T123" s="78"/>
    </row>
    <row r="124" spans="1:20" s="83" customFormat="1" ht="30">
      <c r="A124" s="80" t="s">
        <v>626</v>
      </c>
      <c r="B124" s="81" t="s">
        <v>627</v>
      </c>
      <c r="C124" s="81" t="s">
        <v>95</v>
      </c>
      <c r="D124" s="82">
        <v>807.452</v>
      </c>
      <c r="E124" s="82">
        <v>1249</v>
      </c>
      <c r="F124" s="82">
        <v>5</v>
      </c>
      <c r="G124" s="82">
        <v>0</v>
      </c>
      <c r="H124" s="81">
        <f t="shared" si="9"/>
        <v>5</v>
      </c>
      <c r="I124" s="81">
        <f>IF(D124&lt;&gt;"",D124,IFERROR(E124/(IFERROR(SUM(Sales!C:C),0))*(IFERROR(SUM(Purchases!C:C),0)),0))</f>
        <v>807.452</v>
      </c>
      <c r="J124" s="81">
        <f t="shared" si="10"/>
        <v>4037.26</v>
      </c>
      <c r="K124" s="81">
        <f t="shared" si="11"/>
        <v>0</v>
      </c>
      <c r="L124" s="81" t="s">
        <v>628</v>
      </c>
      <c r="M124" s="81"/>
      <c r="N124" s="81" t="s">
        <v>337</v>
      </c>
      <c r="O124" s="81"/>
      <c r="P124" s="81" t="s">
        <v>433</v>
      </c>
      <c r="Q124" s="81"/>
      <c r="R124" s="81"/>
      <c r="S124" s="81"/>
      <c r="T124" s="81"/>
    </row>
    <row r="125" spans="1:20" s="73" customFormat="1" ht="15">
      <c r="A125" s="78" t="s">
        <v>629</v>
      </c>
      <c r="B125" s="78" t="s">
        <v>630</v>
      </c>
      <c r="C125" s="78" t="s">
        <v>95</v>
      </c>
      <c r="D125" s="79">
        <v>908.25</v>
      </c>
      <c r="E125" s="79">
        <v>1450</v>
      </c>
      <c r="F125" s="79">
        <v>2</v>
      </c>
      <c r="G125" s="79">
        <v>0</v>
      </c>
      <c r="H125" s="78">
        <f t="shared" si="9"/>
        <v>2</v>
      </c>
      <c r="I125" s="78">
        <f>IF(D125&lt;&gt;"",D125,IFERROR(E125/(IFERROR(SUM(Sales!C:C),0))*(IFERROR(SUM(Purchases!C:C),0)),0))</f>
        <v>908.25</v>
      </c>
      <c r="J125" s="78">
        <f t="shared" si="10"/>
        <v>1816.5</v>
      </c>
      <c r="K125" s="78">
        <f t="shared" si="11"/>
        <v>0</v>
      </c>
      <c r="L125" s="78" t="s">
        <v>631</v>
      </c>
      <c r="M125" s="78"/>
      <c r="N125" s="78" t="s">
        <v>337</v>
      </c>
      <c r="O125" s="78"/>
      <c r="P125" s="78" t="s">
        <v>632</v>
      </c>
      <c r="Q125" s="78"/>
      <c r="R125" s="78"/>
      <c r="S125" s="78"/>
      <c r="T125" s="78"/>
    </row>
    <row r="126" spans="1:20" ht="15">
      <c r="A126" s="80" t="s">
        <v>633</v>
      </c>
      <c r="B126" s="71" t="s">
        <v>634</v>
      </c>
      <c r="C126" s="71" t="s">
        <v>96</v>
      </c>
      <c r="D126" s="72">
        <v>1760</v>
      </c>
      <c r="E126" s="72">
        <v>1800</v>
      </c>
      <c r="F126" s="82">
        <v>1</v>
      </c>
      <c r="G126" s="82">
        <v>0</v>
      </c>
      <c r="H126" s="81">
        <f t="shared" si="9"/>
        <v>1</v>
      </c>
      <c r="I126" s="81">
        <f>IF(D126&lt;&gt;"",D126,IFERROR(E126/(IFERROR(SUM(Sales!C:C),0))*(IFERROR(SUM(Purchases!C:C),0)),0))</f>
        <v>1760</v>
      </c>
      <c r="J126" s="81">
        <f t="shared" si="10"/>
        <v>1760</v>
      </c>
      <c r="K126" s="81">
        <f t="shared" si="11"/>
        <v>0</v>
      </c>
      <c r="L126" s="71" t="s">
        <v>635</v>
      </c>
      <c r="M126" s="71"/>
      <c r="N126" s="71" t="s">
        <v>337</v>
      </c>
      <c r="O126" s="71" t="s">
        <v>636</v>
      </c>
      <c r="P126" s="71"/>
      <c r="Q126" s="71"/>
      <c r="R126" s="71"/>
      <c r="S126" s="71"/>
      <c r="T126" s="71"/>
    </row>
    <row r="127" spans="1:20" ht="15">
      <c r="A127" s="78" t="s">
        <v>637</v>
      </c>
      <c r="B127" s="59" t="s">
        <v>638</v>
      </c>
      <c r="C127" s="59" t="s">
        <v>96</v>
      </c>
      <c r="D127" s="70">
        <v>1330</v>
      </c>
      <c r="E127" s="70">
        <v>1650</v>
      </c>
      <c r="F127" s="79">
        <v>1</v>
      </c>
      <c r="G127" s="79">
        <v>0</v>
      </c>
      <c r="H127" s="78">
        <f t="shared" si="9"/>
        <v>1</v>
      </c>
      <c r="I127" s="78">
        <f>IF(D127&lt;&gt;"",D127,IFERROR(E127/(IFERROR(SUM(Sales!C:C),0))*(IFERROR(SUM(Purchases!C:C),0)),0))</f>
        <v>1330</v>
      </c>
      <c r="J127" s="78">
        <f t="shared" si="10"/>
        <v>1330</v>
      </c>
      <c r="K127" s="78">
        <f t="shared" si="11"/>
        <v>0</v>
      </c>
      <c r="L127" s="59" t="s">
        <v>253</v>
      </c>
      <c r="M127" s="59"/>
      <c r="N127" s="59" t="s">
        <v>337</v>
      </c>
      <c r="O127" s="59" t="s">
        <v>198</v>
      </c>
      <c r="P127" s="59"/>
      <c r="Q127" s="59"/>
      <c r="R127" s="59"/>
      <c r="S127" s="59"/>
      <c r="T127" s="59"/>
    </row>
    <row r="128" spans="1:20" ht="15">
      <c r="A128" s="80" t="s">
        <v>639</v>
      </c>
      <c r="B128" s="71" t="s">
        <v>640</v>
      </c>
      <c r="C128" s="71" t="s">
        <v>95</v>
      </c>
      <c r="D128" s="72">
        <v>1155</v>
      </c>
      <c r="E128" s="72">
        <v>1650</v>
      </c>
      <c r="F128" s="82">
        <v>0</v>
      </c>
      <c r="G128" s="82">
        <v>1</v>
      </c>
      <c r="H128" s="81">
        <f t="shared" si="9"/>
        <v>1</v>
      </c>
      <c r="I128" s="81">
        <f>IF(D128&lt;&gt;"",D128,IFERROR(E128/(IFERROR(SUM(Sales!C:C),0))*(IFERROR(SUM(Purchases!C:C),0)),0))</f>
        <v>1155</v>
      </c>
      <c r="J128" s="81">
        <f t="shared" si="10"/>
        <v>0</v>
      </c>
      <c r="K128" s="81">
        <f t="shared" si="11"/>
        <v>1155</v>
      </c>
      <c r="L128" s="71"/>
      <c r="M128" s="71"/>
      <c r="N128" s="71" t="s">
        <v>506</v>
      </c>
      <c r="O128" s="71"/>
      <c r="P128" s="71"/>
      <c r="Q128" s="71"/>
      <c r="R128" s="71"/>
      <c r="S128" s="71"/>
      <c r="T128" s="71"/>
    </row>
    <row r="129" spans="1:20" ht="15">
      <c r="A129" s="78" t="s">
        <v>641</v>
      </c>
      <c r="B129" s="59" t="s">
        <v>642</v>
      </c>
      <c r="C129" s="59" t="s">
        <v>95</v>
      </c>
      <c r="D129" s="70">
        <v>1155</v>
      </c>
      <c r="E129" s="70">
        <v>1650</v>
      </c>
      <c r="F129" s="79">
        <v>1</v>
      </c>
      <c r="G129" s="79">
        <v>0</v>
      </c>
      <c r="H129" s="78">
        <f t="shared" si="9"/>
        <v>1</v>
      </c>
      <c r="I129" s="78">
        <f>IF(D129&lt;&gt;"",D129,IFERROR(E129/(IFERROR(SUM(Sales!C:C),0))*(IFERROR(SUM(Purchases!C:C),0)),0))</f>
        <v>1155</v>
      </c>
      <c r="J129" s="78">
        <f t="shared" si="10"/>
        <v>1155</v>
      </c>
      <c r="K129" s="78">
        <f t="shared" si="11"/>
        <v>0</v>
      </c>
      <c r="L129" s="59" t="s">
        <v>643</v>
      </c>
      <c r="M129" s="59"/>
      <c r="N129" s="59" t="s">
        <v>337</v>
      </c>
      <c r="O129" s="59"/>
      <c r="P129" s="59"/>
      <c r="Q129" s="59"/>
      <c r="R129" s="59"/>
      <c r="S129" s="59"/>
      <c r="T129" s="59"/>
    </row>
    <row r="130" spans="1:20" ht="15">
      <c r="A130" s="80" t="s">
        <v>644</v>
      </c>
      <c r="B130" s="71" t="s">
        <v>645</v>
      </c>
      <c r="C130" s="71" t="s">
        <v>95</v>
      </c>
      <c r="D130" s="72">
        <v>755</v>
      </c>
      <c r="E130" s="72">
        <v>1550</v>
      </c>
      <c r="F130" s="82">
        <v>0</v>
      </c>
      <c r="G130" s="82">
        <v>1</v>
      </c>
      <c r="H130" s="81">
        <f t="shared" ref="H130:H161" si="12">F130+IF(LEN(G130)=0,0,G130)</f>
        <v>1</v>
      </c>
      <c r="I130" s="81">
        <f>IF(D130&lt;&gt;"",D130,IFERROR(E130/(IFERROR(SUM(Sales!C:C),0))*(IFERROR(SUM(Purchases!C:C),0)),0))</f>
        <v>755</v>
      </c>
      <c r="J130" s="81">
        <f t="shared" ref="J130:J161" si="13">F130*I130</f>
        <v>0</v>
      </c>
      <c r="K130" s="81">
        <f t="shared" ref="K130:K163" si="14">IF(LEN(G130)=0,0,G130)*I130</f>
        <v>755</v>
      </c>
      <c r="L130" s="71"/>
      <c r="M130" s="71"/>
      <c r="N130" s="71" t="s">
        <v>506</v>
      </c>
      <c r="O130" s="71"/>
      <c r="P130" s="71"/>
      <c r="Q130" s="71"/>
      <c r="R130" s="71"/>
      <c r="S130" s="71"/>
      <c r="T130" s="71"/>
    </row>
    <row r="131" spans="1:20" ht="15">
      <c r="A131" s="78" t="s">
        <v>646</v>
      </c>
      <c r="B131" s="59" t="s">
        <v>647</v>
      </c>
      <c r="C131" s="59" t="s">
        <v>95</v>
      </c>
      <c r="D131" s="70">
        <v>975</v>
      </c>
      <c r="E131" s="70">
        <v>1499</v>
      </c>
      <c r="F131" s="79">
        <v>0</v>
      </c>
      <c r="G131" s="79">
        <v>1</v>
      </c>
      <c r="H131" s="78">
        <f t="shared" si="12"/>
        <v>1</v>
      </c>
      <c r="I131" s="78">
        <f>IF(D131&lt;&gt;"",D131,IFERROR(E131/(IFERROR(SUM(Sales!C:C),0))*(IFERROR(SUM(Purchases!C:C),0)),0))</f>
        <v>975</v>
      </c>
      <c r="J131" s="78">
        <f t="shared" si="13"/>
        <v>0</v>
      </c>
      <c r="K131" s="78">
        <f t="shared" si="14"/>
        <v>975</v>
      </c>
      <c r="L131" s="59"/>
      <c r="M131" s="59"/>
      <c r="N131" s="59" t="s">
        <v>506</v>
      </c>
      <c r="O131" s="59"/>
      <c r="P131" s="59"/>
      <c r="Q131" s="59"/>
      <c r="R131" s="59"/>
      <c r="S131" s="59"/>
      <c r="T131" s="59"/>
    </row>
    <row r="132" spans="1:20" ht="15">
      <c r="A132" s="80" t="s">
        <v>648</v>
      </c>
      <c r="B132" s="71" t="s">
        <v>649</v>
      </c>
      <c r="C132" s="71" t="s">
        <v>95</v>
      </c>
      <c r="D132" s="72">
        <v>450</v>
      </c>
      <c r="E132" s="72">
        <v>1250</v>
      </c>
      <c r="F132" s="82">
        <v>1</v>
      </c>
      <c r="G132" s="82">
        <v>0</v>
      </c>
      <c r="H132" s="81">
        <f t="shared" si="12"/>
        <v>1</v>
      </c>
      <c r="I132" s="81">
        <f>IF(D132&lt;&gt;"",D132,IFERROR(E132/(IFERROR(SUM(Sales!C:C),0))*(IFERROR(SUM(Purchases!C:C),0)),0))</f>
        <v>450</v>
      </c>
      <c r="J132" s="81">
        <f t="shared" si="13"/>
        <v>450</v>
      </c>
      <c r="K132" s="81">
        <f t="shared" si="14"/>
        <v>0</v>
      </c>
      <c r="L132" s="71" t="s">
        <v>650</v>
      </c>
      <c r="M132" s="71"/>
      <c r="N132" s="71" t="s">
        <v>337</v>
      </c>
      <c r="O132" s="71"/>
      <c r="P132" s="71"/>
      <c r="Q132" s="71"/>
      <c r="R132" s="71"/>
      <c r="S132" s="71"/>
      <c r="T132" s="71"/>
    </row>
    <row r="133" spans="1:20" ht="15">
      <c r="A133" s="78" t="s">
        <v>651</v>
      </c>
      <c r="B133" s="59" t="s">
        <v>652</v>
      </c>
      <c r="C133" s="59" t="s">
        <v>95</v>
      </c>
      <c r="D133" s="70">
        <v>500</v>
      </c>
      <c r="E133" s="70">
        <v>1000</v>
      </c>
      <c r="F133" s="79">
        <v>0</v>
      </c>
      <c r="G133" s="79">
        <v>1</v>
      </c>
      <c r="H133" s="78">
        <f t="shared" si="12"/>
        <v>1</v>
      </c>
      <c r="I133" s="78">
        <f>IF(D133&lt;&gt;"",D133,IFERROR(E133/(IFERROR(SUM(Sales!C:C),0))*(IFERROR(SUM(Purchases!C:C),0)),0))</f>
        <v>500</v>
      </c>
      <c r="J133" s="78">
        <f t="shared" si="13"/>
        <v>0</v>
      </c>
      <c r="K133" s="78">
        <f t="shared" si="14"/>
        <v>500</v>
      </c>
      <c r="L133" s="59"/>
      <c r="M133" s="59"/>
      <c r="N133" s="59" t="s">
        <v>506</v>
      </c>
      <c r="O133" s="59"/>
      <c r="P133" s="59"/>
      <c r="Q133" s="59"/>
      <c r="R133" s="59"/>
      <c r="S133" s="59"/>
      <c r="T133" s="59"/>
    </row>
    <row r="134" spans="1:20" ht="15">
      <c r="A134" s="80" t="s">
        <v>653</v>
      </c>
      <c r="B134" s="71" t="s">
        <v>654</v>
      </c>
      <c r="C134" s="71" t="s">
        <v>95</v>
      </c>
      <c r="D134" s="72">
        <v>500</v>
      </c>
      <c r="E134" s="72">
        <v>950</v>
      </c>
      <c r="F134" s="82">
        <v>0</v>
      </c>
      <c r="G134" s="82">
        <v>1</v>
      </c>
      <c r="H134" s="81">
        <f t="shared" si="12"/>
        <v>1</v>
      </c>
      <c r="I134" s="81">
        <f>IF(D134&lt;&gt;"",D134,IFERROR(E134/(IFERROR(SUM(Sales!C:C),0))*(IFERROR(SUM(Purchases!C:C),0)),0))</f>
        <v>500</v>
      </c>
      <c r="J134" s="81">
        <f t="shared" si="13"/>
        <v>0</v>
      </c>
      <c r="K134" s="81">
        <f t="shared" si="14"/>
        <v>500</v>
      </c>
      <c r="L134" s="71"/>
      <c r="M134" s="71"/>
      <c r="N134" s="71" t="s">
        <v>506</v>
      </c>
      <c r="O134" s="71"/>
      <c r="P134" s="71"/>
      <c r="Q134" s="71"/>
      <c r="R134" s="71"/>
      <c r="S134" s="71"/>
      <c r="T134" s="71"/>
    </row>
    <row r="135" spans="1:20" ht="15">
      <c r="A135" s="78" t="s">
        <v>655</v>
      </c>
      <c r="B135" s="59" t="s">
        <v>656</v>
      </c>
      <c r="C135" s="59" t="s">
        <v>95</v>
      </c>
      <c r="D135" s="70">
        <v>450</v>
      </c>
      <c r="E135" s="70">
        <v>850</v>
      </c>
      <c r="F135" s="79">
        <v>1</v>
      </c>
      <c r="G135" s="79">
        <v>0</v>
      </c>
      <c r="H135" s="78">
        <f t="shared" si="12"/>
        <v>1</v>
      </c>
      <c r="I135" s="78">
        <f>IF(D135&lt;&gt;"",D135,IFERROR(E135/(IFERROR(SUM(Sales!C:C),0))*(IFERROR(SUM(Purchases!C:C),0)),0))</f>
        <v>450</v>
      </c>
      <c r="J135" s="78">
        <f t="shared" si="13"/>
        <v>450</v>
      </c>
      <c r="K135" s="78">
        <f t="shared" si="14"/>
        <v>0</v>
      </c>
      <c r="L135" s="59" t="s">
        <v>657</v>
      </c>
      <c r="M135" s="59"/>
      <c r="N135" s="59" t="s">
        <v>337</v>
      </c>
      <c r="O135" s="59"/>
      <c r="P135" s="59"/>
      <c r="Q135" s="59"/>
      <c r="R135" s="59"/>
      <c r="S135" s="59"/>
      <c r="T135" s="59"/>
    </row>
    <row r="136" spans="1:20" ht="15">
      <c r="A136" s="80" t="s">
        <v>658</v>
      </c>
      <c r="B136" s="71" t="s">
        <v>659</v>
      </c>
      <c r="C136" s="71" t="s">
        <v>95</v>
      </c>
      <c r="D136" s="72">
        <v>908</v>
      </c>
      <c r="E136" s="72">
        <v>1250</v>
      </c>
      <c r="F136" s="82">
        <v>1</v>
      </c>
      <c r="G136" s="82">
        <v>2</v>
      </c>
      <c r="H136" s="81">
        <f t="shared" si="12"/>
        <v>3</v>
      </c>
      <c r="I136" s="81">
        <f>IF(D136&lt;&gt;"",D136,IFERROR(E136/(IFERROR(SUM(Sales!C:C),0))*(IFERROR(SUM(Purchases!C:C),0)),0))</f>
        <v>908</v>
      </c>
      <c r="J136" s="81">
        <f t="shared" si="13"/>
        <v>908</v>
      </c>
      <c r="K136" s="81">
        <f t="shared" si="14"/>
        <v>1816</v>
      </c>
      <c r="L136" s="71" t="s">
        <v>660</v>
      </c>
      <c r="M136" s="71"/>
      <c r="N136" s="71" t="s">
        <v>422</v>
      </c>
      <c r="O136" s="71"/>
      <c r="P136" s="71" t="s">
        <v>661</v>
      </c>
      <c r="Q136" s="71"/>
      <c r="R136" s="71"/>
      <c r="S136" s="71"/>
      <c r="T136" s="71"/>
    </row>
    <row r="137" spans="1:20" ht="15">
      <c r="A137" s="78" t="s">
        <v>662</v>
      </c>
      <c r="B137" s="59" t="s">
        <v>663</v>
      </c>
      <c r="C137" s="59" t="s">
        <v>95</v>
      </c>
      <c r="D137" s="70">
        <v>891</v>
      </c>
      <c r="E137" s="70">
        <v>1380</v>
      </c>
      <c r="F137" s="79">
        <v>1</v>
      </c>
      <c r="G137" s="79">
        <v>0</v>
      </c>
      <c r="H137" s="78">
        <f t="shared" si="12"/>
        <v>1</v>
      </c>
      <c r="I137" s="78">
        <f>IF(D137&lt;&gt;"",D137,IFERROR(E137/(IFERROR(SUM(Sales!C:C),0))*(IFERROR(SUM(Purchases!C:C),0)),0))</f>
        <v>891</v>
      </c>
      <c r="J137" s="78">
        <f t="shared" si="13"/>
        <v>891</v>
      </c>
      <c r="K137" s="78">
        <f t="shared" si="14"/>
        <v>0</v>
      </c>
      <c r="L137" s="59" t="s">
        <v>161</v>
      </c>
      <c r="M137" s="59"/>
      <c r="N137" s="59" t="s">
        <v>337</v>
      </c>
      <c r="O137" s="59"/>
      <c r="P137" s="59"/>
      <c r="Q137" s="59"/>
      <c r="R137" s="59"/>
      <c r="S137" s="59"/>
      <c r="T137" s="59"/>
    </row>
    <row r="138" spans="1:20" ht="15">
      <c r="A138" s="80" t="s">
        <v>664</v>
      </c>
      <c r="B138" s="71" t="s">
        <v>665</v>
      </c>
      <c r="C138" s="71" t="s">
        <v>95</v>
      </c>
      <c r="D138" s="72">
        <v>814</v>
      </c>
      <c r="E138" s="72">
        <v>1100</v>
      </c>
      <c r="F138" s="82">
        <v>0</v>
      </c>
      <c r="G138" s="82">
        <v>1</v>
      </c>
      <c r="H138" s="81">
        <f t="shared" si="12"/>
        <v>1</v>
      </c>
      <c r="I138" s="81">
        <f>IF(D138&lt;&gt;"",D138,IFERROR(E138/(IFERROR(SUM(Sales!C:C),0))*(IFERROR(SUM(Purchases!C:C),0)),0))</f>
        <v>814</v>
      </c>
      <c r="J138" s="81">
        <f t="shared" si="13"/>
        <v>0</v>
      </c>
      <c r="K138" s="81">
        <f t="shared" si="14"/>
        <v>814</v>
      </c>
      <c r="L138" s="71"/>
      <c r="M138" s="71"/>
      <c r="N138" s="71" t="s">
        <v>506</v>
      </c>
      <c r="O138" s="71"/>
      <c r="P138" s="71"/>
      <c r="Q138" s="71"/>
      <c r="R138" s="71"/>
      <c r="S138" s="71"/>
      <c r="T138" s="71"/>
    </row>
    <row r="139" spans="1:20" ht="15">
      <c r="A139" s="78" t="s">
        <v>666</v>
      </c>
      <c r="B139" s="59" t="s">
        <v>667</v>
      </c>
      <c r="C139" s="59" t="s">
        <v>95</v>
      </c>
      <c r="D139" s="70">
        <v>754</v>
      </c>
      <c r="E139" s="70">
        <v>1050</v>
      </c>
      <c r="F139" s="79">
        <v>1</v>
      </c>
      <c r="G139" s="79">
        <v>0</v>
      </c>
      <c r="H139" s="78">
        <f t="shared" si="12"/>
        <v>1</v>
      </c>
      <c r="I139" s="78">
        <f>IF(D139&lt;&gt;"",D139,IFERROR(E139/(IFERROR(SUM(Sales!C:C),0))*(IFERROR(SUM(Purchases!C:C),0)),0))</f>
        <v>754</v>
      </c>
      <c r="J139" s="78">
        <f t="shared" si="13"/>
        <v>754</v>
      </c>
      <c r="K139" s="78">
        <f t="shared" si="14"/>
        <v>0</v>
      </c>
      <c r="L139" s="59" t="s">
        <v>284</v>
      </c>
      <c r="M139" s="59"/>
      <c r="N139" s="59" t="s">
        <v>337</v>
      </c>
      <c r="O139" s="59"/>
      <c r="P139" s="59"/>
      <c r="Q139" s="59"/>
      <c r="R139" s="59"/>
      <c r="S139" s="59"/>
      <c r="T139" s="59"/>
    </row>
    <row r="140" spans="1:20" ht="15">
      <c r="A140" s="80" t="s">
        <v>668</v>
      </c>
      <c r="B140" s="71" t="s">
        <v>669</v>
      </c>
      <c r="C140" s="71" t="s">
        <v>95</v>
      </c>
      <c r="D140" s="72">
        <v>699</v>
      </c>
      <c r="E140" s="72">
        <v>1100</v>
      </c>
      <c r="F140" s="82">
        <v>1</v>
      </c>
      <c r="G140" s="82">
        <v>1</v>
      </c>
      <c r="H140" s="81">
        <f t="shared" si="12"/>
        <v>2</v>
      </c>
      <c r="I140" s="81">
        <f>IF(D140&lt;&gt;"",D140,IFERROR(E140/(IFERROR(SUM(Sales!C:C),0))*(IFERROR(SUM(Purchases!C:C),0)),0))</f>
        <v>699</v>
      </c>
      <c r="J140" s="81">
        <f t="shared" si="13"/>
        <v>699</v>
      </c>
      <c r="K140" s="81">
        <f t="shared" si="14"/>
        <v>699</v>
      </c>
      <c r="L140" s="71" t="s">
        <v>670</v>
      </c>
      <c r="M140" s="71"/>
      <c r="N140" s="71" t="s">
        <v>422</v>
      </c>
      <c r="O140" s="71"/>
      <c r="P140" s="71"/>
      <c r="Q140" s="71"/>
      <c r="R140" s="71"/>
      <c r="S140" s="71"/>
      <c r="T140" s="71"/>
    </row>
    <row r="141" spans="1:20" ht="15">
      <c r="A141" s="78" t="s">
        <v>671</v>
      </c>
      <c r="B141" s="59" t="s">
        <v>672</v>
      </c>
      <c r="C141" s="59" t="s">
        <v>95</v>
      </c>
      <c r="D141" s="70">
        <v>838</v>
      </c>
      <c r="E141" s="70">
        <v>1100</v>
      </c>
      <c r="F141" s="79">
        <v>0</v>
      </c>
      <c r="G141" s="79">
        <v>1</v>
      </c>
      <c r="H141" s="78">
        <f t="shared" si="12"/>
        <v>1</v>
      </c>
      <c r="I141" s="78">
        <f>IF(D141&lt;&gt;"",D141,IFERROR(E141/(IFERROR(SUM(Sales!C:C),0))*(IFERROR(SUM(Purchases!C:C),0)),0))</f>
        <v>838</v>
      </c>
      <c r="J141" s="78">
        <f t="shared" si="13"/>
        <v>0</v>
      </c>
      <c r="K141" s="78">
        <f t="shared" si="14"/>
        <v>838</v>
      </c>
      <c r="L141" s="59"/>
      <c r="M141" s="59"/>
      <c r="N141" s="59" t="s">
        <v>506</v>
      </c>
      <c r="O141" s="59"/>
      <c r="P141" s="59"/>
      <c r="Q141" s="59"/>
      <c r="R141" s="59"/>
      <c r="S141" s="59"/>
      <c r="T141" s="59"/>
    </row>
    <row r="142" spans="1:20" ht="15">
      <c r="A142" s="71" t="s">
        <v>673</v>
      </c>
      <c r="B142" s="71" t="s">
        <v>674</v>
      </c>
      <c r="C142" s="71" t="s">
        <v>95</v>
      </c>
      <c r="D142" s="72">
        <v>600</v>
      </c>
      <c r="E142" s="72">
        <v>1200</v>
      </c>
      <c r="F142" s="82">
        <v>3</v>
      </c>
      <c r="G142" s="82">
        <v>1</v>
      </c>
      <c r="H142" s="81">
        <f t="shared" si="12"/>
        <v>4</v>
      </c>
      <c r="I142" s="81">
        <f>IF(D142&lt;&gt;"",D142,IFERROR(E142/(IFERROR(SUM(Sales!C:C),0))*(IFERROR(SUM(Purchases!C:C),0)),0))</f>
        <v>600</v>
      </c>
      <c r="J142" s="81">
        <f t="shared" si="13"/>
        <v>1800</v>
      </c>
      <c r="K142" s="81">
        <f t="shared" si="14"/>
        <v>600</v>
      </c>
      <c r="L142" s="71" t="s">
        <v>675</v>
      </c>
      <c r="M142" s="71"/>
      <c r="N142" s="71" t="s">
        <v>422</v>
      </c>
      <c r="O142" s="71"/>
      <c r="P142" s="71" t="s">
        <v>427</v>
      </c>
      <c r="Q142" s="71"/>
      <c r="R142" s="71"/>
      <c r="S142" s="71"/>
      <c r="T142" s="71"/>
    </row>
    <row r="143" spans="1:20" ht="15">
      <c r="A143" s="59" t="s">
        <v>676</v>
      </c>
      <c r="B143" s="59" t="s">
        <v>677</v>
      </c>
      <c r="C143" s="59" t="s">
        <v>95</v>
      </c>
      <c r="D143" s="70">
        <v>550</v>
      </c>
      <c r="E143" s="70">
        <v>1100</v>
      </c>
      <c r="F143" s="79">
        <v>0</v>
      </c>
      <c r="G143" s="79">
        <v>1</v>
      </c>
      <c r="H143" s="78">
        <f t="shared" si="12"/>
        <v>1</v>
      </c>
      <c r="I143" s="78">
        <f>IF(D143&lt;&gt;"",D143,IFERROR(E143/(IFERROR(SUM(Sales!C:C),0))*(IFERROR(SUM(Purchases!C:C),0)),0))</f>
        <v>550</v>
      </c>
      <c r="J143" s="78">
        <f t="shared" si="13"/>
        <v>0</v>
      </c>
      <c r="K143" s="78">
        <f t="shared" si="14"/>
        <v>550</v>
      </c>
      <c r="L143" s="59"/>
      <c r="M143" s="59"/>
      <c r="N143" s="59" t="s">
        <v>506</v>
      </c>
      <c r="O143" s="59"/>
      <c r="P143" s="59"/>
      <c r="Q143" s="59"/>
      <c r="R143" s="59"/>
      <c r="S143" s="59"/>
      <c r="T143" s="59"/>
    </row>
    <row r="144" spans="1:20" ht="15">
      <c r="A144" s="71" t="s">
        <v>678</v>
      </c>
      <c r="B144" s="71" t="s">
        <v>679</v>
      </c>
      <c r="C144" s="71" t="s">
        <v>95</v>
      </c>
      <c r="D144" s="72">
        <v>550</v>
      </c>
      <c r="E144" s="72">
        <v>1100</v>
      </c>
      <c r="F144" s="82">
        <v>0</v>
      </c>
      <c r="G144" s="82">
        <v>1</v>
      </c>
      <c r="H144" s="81">
        <f t="shared" si="12"/>
        <v>1</v>
      </c>
      <c r="I144" s="81">
        <f>IF(D144&lt;&gt;"",D144,IFERROR(E144/(IFERROR(SUM(Sales!C:C),0))*(IFERROR(SUM(Purchases!C:C),0)),0))</f>
        <v>550</v>
      </c>
      <c r="J144" s="81">
        <f t="shared" si="13"/>
        <v>0</v>
      </c>
      <c r="K144" s="81">
        <f t="shared" si="14"/>
        <v>550</v>
      </c>
      <c r="L144" s="71"/>
      <c r="M144" s="71"/>
      <c r="N144" s="71" t="s">
        <v>506</v>
      </c>
      <c r="O144" s="71"/>
      <c r="P144" s="71"/>
      <c r="Q144" s="71"/>
      <c r="R144" s="71"/>
      <c r="S144" s="71"/>
      <c r="T144" s="71"/>
    </row>
    <row r="145" spans="1:20" ht="15">
      <c r="A145" s="59" t="s">
        <v>680</v>
      </c>
      <c r="B145" s="59" t="s">
        <v>293</v>
      </c>
      <c r="C145" s="59" t="s">
        <v>95</v>
      </c>
      <c r="D145" s="70">
        <v>1100</v>
      </c>
      <c r="E145" s="70">
        <v>1450</v>
      </c>
      <c r="F145" s="79">
        <v>1</v>
      </c>
      <c r="G145" s="79">
        <v>0</v>
      </c>
      <c r="H145" s="78">
        <f t="shared" si="12"/>
        <v>1</v>
      </c>
      <c r="I145" s="78">
        <f>IF(D145&lt;&gt;"",D145,IFERROR(E145/(IFERROR(SUM(Sales!C:C),0))*(IFERROR(SUM(Purchases!C:C),0)),0))</f>
        <v>1100</v>
      </c>
      <c r="J145" s="78">
        <f t="shared" si="13"/>
        <v>1100</v>
      </c>
      <c r="K145" s="78">
        <f t="shared" si="14"/>
        <v>0</v>
      </c>
      <c r="L145" s="59" t="s">
        <v>291</v>
      </c>
      <c r="M145" s="59"/>
      <c r="N145" s="59" t="s">
        <v>337</v>
      </c>
      <c r="O145" s="59"/>
      <c r="P145" s="59"/>
      <c r="Q145" s="59"/>
      <c r="R145" s="59"/>
      <c r="S145" s="59"/>
      <c r="T145" s="59"/>
    </row>
    <row r="146" spans="1:20" ht="15">
      <c r="A146" s="71" t="s">
        <v>681</v>
      </c>
      <c r="B146" s="71" t="s">
        <v>682</v>
      </c>
      <c r="C146" s="71" t="s">
        <v>95</v>
      </c>
      <c r="D146" s="72">
        <v>761</v>
      </c>
      <c r="E146" s="72">
        <v>1200</v>
      </c>
      <c r="F146" s="82">
        <v>1</v>
      </c>
      <c r="G146" s="82">
        <v>2</v>
      </c>
      <c r="H146" s="81">
        <f t="shared" si="12"/>
        <v>3</v>
      </c>
      <c r="I146" s="81">
        <f>IF(D146&lt;&gt;"",D146,IFERROR(E146/(IFERROR(SUM(Sales!C:C),0))*(IFERROR(SUM(Purchases!C:C),0)),0))</f>
        <v>761</v>
      </c>
      <c r="J146" s="81">
        <f t="shared" si="13"/>
        <v>761</v>
      </c>
      <c r="K146" s="81">
        <f t="shared" si="14"/>
        <v>1522</v>
      </c>
      <c r="L146" s="71" t="s">
        <v>683</v>
      </c>
      <c r="M146" s="71"/>
      <c r="N146" s="71" t="s">
        <v>422</v>
      </c>
      <c r="O146" s="71"/>
      <c r="P146" s="71"/>
      <c r="Q146" s="71"/>
      <c r="R146" s="71"/>
      <c r="S146" s="71"/>
      <c r="T146" s="71"/>
    </row>
    <row r="147" spans="1:20" ht="30">
      <c r="A147" s="59" t="s">
        <v>684</v>
      </c>
      <c r="B147" s="59" t="s">
        <v>685</v>
      </c>
      <c r="C147" s="59" t="s">
        <v>95</v>
      </c>
      <c r="D147" s="70">
        <v>719</v>
      </c>
      <c r="E147" s="70">
        <v>1200</v>
      </c>
      <c r="F147" s="79">
        <v>3</v>
      </c>
      <c r="G147" s="79">
        <v>0</v>
      </c>
      <c r="H147" s="78">
        <f t="shared" si="12"/>
        <v>3</v>
      </c>
      <c r="I147" s="78">
        <f>IF(D147&lt;&gt;"",D147,IFERROR(E147/(IFERROR(SUM(Sales!C:C),0))*(IFERROR(SUM(Purchases!C:C),0)),0))</f>
        <v>719</v>
      </c>
      <c r="J147" s="78">
        <f t="shared" si="13"/>
        <v>2157</v>
      </c>
      <c r="K147" s="78">
        <f t="shared" si="14"/>
        <v>0</v>
      </c>
      <c r="L147" s="59" t="s">
        <v>766</v>
      </c>
      <c r="M147" s="59"/>
      <c r="N147" s="59" t="s">
        <v>337</v>
      </c>
      <c r="O147" s="59"/>
      <c r="P147" s="59"/>
      <c r="Q147" s="59"/>
      <c r="R147" s="59"/>
      <c r="S147" s="59"/>
      <c r="T147" s="59"/>
    </row>
    <row r="148" spans="1:20" ht="15">
      <c r="A148" s="71" t="s">
        <v>686</v>
      </c>
      <c r="B148" s="71" t="s">
        <v>687</v>
      </c>
      <c r="C148" s="71" t="s">
        <v>95</v>
      </c>
      <c r="D148" s="72">
        <v>502</v>
      </c>
      <c r="E148" s="72">
        <v>850</v>
      </c>
      <c r="F148" s="82">
        <v>2</v>
      </c>
      <c r="G148" s="82">
        <v>1</v>
      </c>
      <c r="H148" s="81">
        <f t="shared" si="12"/>
        <v>3</v>
      </c>
      <c r="I148" s="81">
        <f>IF(D148&lt;&gt;"",D148,IFERROR(E148/(IFERROR(SUM(Sales!C:C),0))*(IFERROR(SUM(Purchases!C:C),0)),0))</f>
        <v>502</v>
      </c>
      <c r="J148" s="81">
        <f t="shared" si="13"/>
        <v>1004</v>
      </c>
      <c r="K148" s="81">
        <f t="shared" si="14"/>
        <v>502</v>
      </c>
      <c r="L148" s="71" t="s">
        <v>688</v>
      </c>
      <c r="M148" s="71"/>
      <c r="N148" s="71" t="s">
        <v>422</v>
      </c>
      <c r="O148" s="71"/>
      <c r="P148" s="71"/>
      <c r="Q148" s="71"/>
      <c r="R148" s="71"/>
      <c r="S148" s="71"/>
      <c r="T148" s="71"/>
    </row>
    <row r="149" spans="1:20" ht="15">
      <c r="A149" s="59" t="s">
        <v>689</v>
      </c>
      <c r="B149" s="59" t="s">
        <v>690</v>
      </c>
      <c r="C149" s="59" t="s">
        <v>95</v>
      </c>
      <c r="D149" s="70">
        <v>1024</v>
      </c>
      <c r="E149" s="70">
        <v>1450</v>
      </c>
      <c r="F149" s="79">
        <v>1</v>
      </c>
      <c r="G149" s="79">
        <v>2</v>
      </c>
      <c r="H149" s="78">
        <f t="shared" si="12"/>
        <v>3</v>
      </c>
      <c r="I149" s="78">
        <f>IF(D149&lt;&gt;"",D149,IFERROR(E149/(IFERROR(SUM(Sales!C:C),0))*(IFERROR(SUM(Purchases!C:C),0)),0))</f>
        <v>1024</v>
      </c>
      <c r="J149" s="78">
        <f t="shared" si="13"/>
        <v>1024</v>
      </c>
      <c r="K149" s="78">
        <f t="shared" si="14"/>
        <v>2048</v>
      </c>
      <c r="L149" s="59" t="s">
        <v>761</v>
      </c>
      <c r="M149" s="59"/>
      <c r="N149" s="59" t="s">
        <v>422</v>
      </c>
      <c r="O149" s="59"/>
      <c r="P149" s="59"/>
      <c r="Q149" s="59"/>
      <c r="R149" s="59"/>
      <c r="S149" s="59"/>
      <c r="T149" s="59"/>
    </row>
    <row r="150" spans="1:20" ht="15">
      <c r="A150" s="71" t="s">
        <v>691</v>
      </c>
      <c r="B150" s="71" t="s">
        <v>692</v>
      </c>
      <c r="C150" s="71" t="s">
        <v>95</v>
      </c>
      <c r="D150" s="72">
        <v>688</v>
      </c>
      <c r="E150" s="72">
        <v>960</v>
      </c>
      <c r="F150" s="82">
        <v>0</v>
      </c>
      <c r="G150" s="82">
        <v>3</v>
      </c>
      <c r="H150" s="81">
        <f t="shared" si="12"/>
        <v>3</v>
      </c>
      <c r="I150" s="81">
        <f>IF(D150&lt;&gt;"",D150,IFERROR(E150/(IFERROR(SUM(Sales!C:C),0))*(IFERROR(SUM(Purchases!C:C),0)),0))</f>
        <v>688</v>
      </c>
      <c r="J150" s="81">
        <f t="shared" si="13"/>
        <v>0</v>
      </c>
      <c r="K150" s="81">
        <f t="shared" si="14"/>
        <v>2064</v>
      </c>
      <c r="L150" s="71"/>
      <c r="M150" s="71"/>
      <c r="N150" s="71" t="s">
        <v>506</v>
      </c>
      <c r="O150" s="71"/>
      <c r="P150" s="71"/>
      <c r="Q150" s="71"/>
      <c r="R150" s="71"/>
      <c r="S150" s="71"/>
      <c r="T150" s="71"/>
    </row>
    <row r="151" spans="1:20" ht="15">
      <c r="A151" s="59" t="s">
        <v>693</v>
      </c>
      <c r="B151" s="59" t="s">
        <v>694</v>
      </c>
      <c r="C151" s="59" t="s">
        <v>96</v>
      </c>
      <c r="D151" s="72">
        <v>645</v>
      </c>
      <c r="E151" s="72">
        <v>1099</v>
      </c>
      <c r="F151" s="82">
        <v>2</v>
      </c>
      <c r="G151" s="82">
        <v>2</v>
      </c>
      <c r="H151" s="81">
        <f t="shared" si="12"/>
        <v>4</v>
      </c>
      <c r="I151" s="81">
        <f>IF(D151&lt;&gt;"",D151,IFERROR(E151/(IFERROR(SUM(Sales!C:C),0))*(IFERROR(SUM(Purchases!C:C),0)),0))</f>
        <v>645</v>
      </c>
      <c r="J151" s="81">
        <f t="shared" si="13"/>
        <v>1290</v>
      </c>
      <c r="K151" s="81">
        <f t="shared" si="14"/>
        <v>1290</v>
      </c>
      <c r="L151" s="59" t="s">
        <v>695</v>
      </c>
      <c r="M151" s="59"/>
      <c r="N151" s="59" t="s">
        <v>422</v>
      </c>
      <c r="O151" s="59" t="s">
        <v>696</v>
      </c>
      <c r="P151" s="59" t="s">
        <v>697</v>
      </c>
      <c r="Q151" s="59"/>
      <c r="R151" s="59"/>
      <c r="S151" s="59"/>
      <c r="T151" s="59"/>
    </row>
    <row r="152" spans="1:20" ht="15">
      <c r="A152" s="71" t="s">
        <v>698</v>
      </c>
      <c r="B152" s="71" t="s">
        <v>699</v>
      </c>
      <c r="C152" s="71" t="s">
        <v>97</v>
      </c>
      <c r="D152" s="72">
        <v>295</v>
      </c>
      <c r="E152" s="72">
        <v>580</v>
      </c>
      <c r="F152" s="82">
        <v>1</v>
      </c>
      <c r="G152" s="82">
        <v>3</v>
      </c>
      <c r="H152" s="81">
        <f t="shared" si="12"/>
        <v>4</v>
      </c>
      <c r="I152" s="81">
        <f>IF(D152&lt;&gt;"",D152,IFERROR(E152/(IFERROR(SUM(Sales!C:C),0))*(IFERROR(SUM(Purchases!C:C),0)),0))</f>
        <v>295</v>
      </c>
      <c r="J152" s="81">
        <f t="shared" si="13"/>
        <v>295</v>
      </c>
      <c r="K152" s="81">
        <f t="shared" si="14"/>
        <v>885</v>
      </c>
      <c r="L152" s="71" t="s">
        <v>700</v>
      </c>
      <c r="M152" s="71"/>
      <c r="N152" s="71" t="s">
        <v>422</v>
      </c>
      <c r="O152" s="71" t="s">
        <v>701</v>
      </c>
      <c r="P152" s="71" t="s">
        <v>702</v>
      </c>
      <c r="Q152" s="71"/>
      <c r="R152" s="71"/>
      <c r="S152" s="71"/>
      <c r="T152" s="71"/>
    </row>
    <row r="153" spans="1:20" ht="15">
      <c r="A153" s="59" t="s">
        <v>703</v>
      </c>
      <c r="B153" s="59" t="s">
        <v>704</v>
      </c>
      <c r="C153" s="59" t="s">
        <v>95</v>
      </c>
      <c r="D153" s="70">
        <v>891.5</v>
      </c>
      <c r="E153" s="70">
        <v>1380</v>
      </c>
      <c r="F153" s="79">
        <v>1</v>
      </c>
      <c r="G153" s="79">
        <v>1</v>
      </c>
      <c r="H153" s="78">
        <f t="shared" si="12"/>
        <v>2</v>
      </c>
      <c r="I153" s="78">
        <f>IF(D153&lt;&gt;"",D153,IFERROR(E153/(IFERROR(SUM(Sales!C:C),0))*(IFERROR(SUM(Purchases!C:C),0)),0))</f>
        <v>891.5</v>
      </c>
      <c r="J153" s="78">
        <f t="shared" si="13"/>
        <v>891.5</v>
      </c>
      <c r="K153" s="78">
        <f t="shared" si="14"/>
        <v>891.5</v>
      </c>
      <c r="L153" s="59" t="s">
        <v>760</v>
      </c>
      <c r="M153" s="59"/>
      <c r="N153" s="59" t="s">
        <v>422</v>
      </c>
      <c r="O153" s="59"/>
      <c r="P153" s="59" t="s">
        <v>705</v>
      </c>
      <c r="Q153" s="59"/>
      <c r="R153" s="59"/>
      <c r="S153" s="59"/>
      <c r="T153" s="59"/>
    </row>
    <row r="154" spans="1:20" ht="15">
      <c r="A154" s="71" t="s">
        <v>706</v>
      </c>
      <c r="B154" s="71" t="s">
        <v>707</v>
      </c>
      <c r="C154" s="71" t="s">
        <v>96</v>
      </c>
      <c r="D154" s="72">
        <v>949</v>
      </c>
      <c r="E154" s="72">
        <v>1450</v>
      </c>
      <c r="F154" s="82">
        <v>0</v>
      </c>
      <c r="G154" s="82">
        <v>3</v>
      </c>
      <c r="H154" s="81">
        <f t="shared" si="12"/>
        <v>3</v>
      </c>
      <c r="I154" s="81">
        <f>IF(D154&lt;&gt;"",D154,IFERROR(E154/(IFERROR(SUM(Sales!C:C),0))*(IFERROR(SUM(Purchases!C:C),0)),0))</f>
        <v>949</v>
      </c>
      <c r="J154" s="81">
        <f t="shared" si="13"/>
        <v>0</v>
      </c>
      <c r="K154" s="81">
        <f t="shared" si="14"/>
        <v>2847</v>
      </c>
      <c r="L154" s="71"/>
      <c r="M154" s="71"/>
      <c r="N154" s="71" t="s">
        <v>506</v>
      </c>
      <c r="O154" s="71" t="s">
        <v>708</v>
      </c>
      <c r="P154" s="71"/>
      <c r="Q154" s="71"/>
      <c r="R154" s="71"/>
      <c r="S154" s="71"/>
      <c r="T154" s="71"/>
    </row>
    <row r="155" spans="1:20" ht="15">
      <c r="A155" s="59" t="s">
        <v>709</v>
      </c>
      <c r="B155" s="59" t="s">
        <v>710</v>
      </c>
      <c r="C155" s="59" t="s">
        <v>96</v>
      </c>
      <c r="D155" s="70">
        <v>949</v>
      </c>
      <c r="E155" s="70">
        <v>1450</v>
      </c>
      <c r="F155" s="79">
        <v>0</v>
      </c>
      <c r="G155" s="79">
        <v>3</v>
      </c>
      <c r="H155" s="78">
        <f t="shared" si="12"/>
        <v>3</v>
      </c>
      <c r="I155" s="78">
        <f>IF(D155&lt;&gt;"",D155,IFERROR(E155/(IFERROR(SUM(Sales!C:C),0))*(IFERROR(SUM(Purchases!C:C),0)),0))</f>
        <v>949</v>
      </c>
      <c r="J155" s="78">
        <f t="shared" si="13"/>
        <v>0</v>
      </c>
      <c r="K155" s="78">
        <f t="shared" si="14"/>
        <v>2847</v>
      </c>
      <c r="L155" s="59"/>
      <c r="M155" s="59"/>
      <c r="N155" s="59" t="s">
        <v>506</v>
      </c>
      <c r="O155" s="59" t="s">
        <v>708</v>
      </c>
      <c r="P155" s="59"/>
      <c r="Q155" s="59"/>
      <c r="R155" s="59"/>
      <c r="S155" s="59"/>
      <c r="T155" s="59"/>
    </row>
    <row r="156" spans="1:20" ht="15">
      <c r="A156" s="71" t="s">
        <v>711</v>
      </c>
      <c r="B156" s="71" t="s">
        <v>712</v>
      </c>
      <c r="C156" s="71" t="s">
        <v>96</v>
      </c>
      <c r="D156" s="72">
        <v>950</v>
      </c>
      <c r="E156" s="72">
        <v>1550</v>
      </c>
      <c r="F156" s="82">
        <v>0</v>
      </c>
      <c r="G156" s="82">
        <v>4</v>
      </c>
      <c r="H156" s="81">
        <f t="shared" si="12"/>
        <v>4</v>
      </c>
      <c r="I156" s="81">
        <f>IF(D156&lt;&gt;"",D156,IFERROR(E156/(IFERROR(SUM(Sales!C:C),0))*(IFERROR(SUM(Purchases!C:C),0)),0))</f>
        <v>950</v>
      </c>
      <c r="J156" s="81">
        <f t="shared" si="13"/>
        <v>0</v>
      </c>
      <c r="K156" s="81">
        <f t="shared" si="14"/>
        <v>3800</v>
      </c>
      <c r="L156" s="71"/>
      <c r="M156" s="71"/>
      <c r="N156" s="71" t="s">
        <v>506</v>
      </c>
      <c r="O156" s="71" t="s">
        <v>713</v>
      </c>
      <c r="P156" s="71"/>
      <c r="Q156" s="71"/>
      <c r="R156" s="71"/>
      <c r="S156" s="71"/>
      <c r="T156" s="71"/>
    </row>
    <row r="157" spans="1:20" ht="15">
      <c r="A157" s="59" t="s">
        <v>714</v>
      </c>
      <c r="B157" s="59" t="s">
        <v>715</v>
      </c>
      <c r="C157" s="59" t="s">
        <v>96</v>
      </c>
      <c r="D157" s="70">
        <v>525</v>
      </c>
      <c r="E157" s="70">
        <v>850</v>
      </c>
      <c r="F157" s="79">
        <v>1</v>
      </c>
      <c r="G157" s="79">
        <v>3</v>
      </c>
      <c r="H157" s="78">
        <f t="shared" si="12"/>
        <v>4</v>
      </c>
      <c r="I157" s="78">
        <f>IF(D157&lt;&gt;"",D157,IFERROR(E157/(IFERROR(SUM(Sales!C:C),0))*(IFERROR(SUM(Purchases!C:C),0)),0))</f>
        <v>525</v>
      </c>
      <c r="J157" s="78">
        <f t="shared" si="13"/>
        <v>525</v>
      </c>
      <c r="K157" s="78">
        <f t="shared" si="14"/>
        <v>1575</v>
      </c>
      <c r="L157" s="59" t="s">
        <v>716</v>
      </c>
      <c r="M157" s="59"/>
      <c r="N157" s="59" t="s">
        <v>422</v>
      </c>
      <c r="O157" s="59" t="s">
        <v>622</v>
      </c>
      <c r="P157" s="59"/>
      <c r="Q157" s="59"/>
      <c r="R157" s="59"/>
      <c r="S157" s="59"/>
      <c r="T157" s="59"/>
    </row>
    <row r="158" spans="1:20" ht="15">
      <c r="A158" s="71" t="s">
        <v>717</v>
      </c>
      <c r="B158" s="71" t="s">
        <v>718</v>
      </c>
      <c r="C158" s="71" t="s">
        <v>96</v>
      </c>
      <c r="D158" s="72">
        <v>839</v>
      </c>
      <c r="E158" s="72">
        <v>1450</v>
      </c>
      <c r="F158" s="82">
        <v>0</v>
      </c>
      <c r="G158" s="82">
        <v>5</v>
      </c>
      <c r="H158" s="81">
        <f t="shared" si="12"/>
        <v>5</v>
      </c>
      <c r="I158" s="81">
        <f>IF(D158&lt;&gt;"",D158,IFERROR(E158/(IFERROR(SUM(Sales!C:C),0))*(IFERROR(SUM(Purchases!C:C),0)),0))</f>
        <v>839</v>
      </c>
      <c r="J158" s="81">
        <f t="shared" si="13"/>
        <v>0</v>
      </c>
      <c r="K158" s="81">
        <f t="shared" si="14"/>
        <v>4195</v>
      </c>
      <c r="L158" s="71"/>
      <c r="M158" s="71"/>
      <c r="N158" s="71" t="s">
        <v>506</v>
      </c>
      <c r="O158" s="71" t="s">
        <v>719</v>
      </c>
      <c r="P158" s="71"/>
      <c r="Q158" s="71"/>
      <c r="R158" s="71"/>
      <c r="S158" s="71"/>
      <c r="T158" s="71"/>
    </row>
    <row r="159" spans="1:20" ht="15">
      <c r="A159" s="59" t="s">
        <v>720</v>
      </c>
      <c r="B159" s="59" t="s">
        <v>721</v>
      </c>
      <c r="C159" s="59" t="s">
        <v>96</v>
      </c>
      <c r="D159" s="70">
        <v>839</v>
      </c>
      <c r="E159" s="70">
        <v>1450</v>
      </c>
      <c r="F159" s="79">
        <v>0</v>
      </c>
      <c r="G159" s="79">
        <v>5</v>
      </c>
      <c r="H159" s="78">
        <f t="shared" si="12"/>
        <v>5</v>
      </c>
      <c r="I159" s="78">
        <f>IF(D159&lt;&gt;"",D159,IFERROR(E159/(IFERROR(SUM(Sales!C:C),0))*(IFERROR(SUM(Purchases!C:C),0)),0))</f>
        <v>839</v>
      </c>
      <c r="J159" s="78">
        <f t="shared" si="13"/>
        <v>0</v>
      </c>
      <c r="K159" s="78">
        <f t="shared" si="14"/>
        <v>4195</v>
      </c>
      <c r="L159" s="59"/>
      <c r="M159" s="59"/>
      <c r="N159" s="59" t="s">
        <v>506</v>
      </c>
      <c r="O159" s="59" t="s">
        <v>719</v>
      </c>
      <c r="P159" s="59"/>
      <c r="Q159" s="59"/>
      <c r="R159" s="59"/>
      <c r="S159" s="59"/>
      <c r="T159" s="59"/>
    </row>
    <row r="160" spans="1:20" ht="15">
      <c r="A160" s="71" t="s">
        <v>722</v>
      </c>
      <c r="B160" s="71" t="s">
        <v>723</v>
      </c>
      <c r="C160" s="71" t="s">
        <v>95</v>
      </c>
      <c r="D160" s="72">
        <v>336</v>
      </c>
      <c r="E160" s="72">
        <v>600</v>
      </c>
      <c r="F160" s="82">
        <v>1</v>
      </c>
      <c r="G160" s="82">
        <v>0</v>
      </c>
      <c r="H160" s="81">
        <f t="shared" si="12"/>
        <v>1</v>
      </c>
      <c r="I160" s="81">
        <f>IF(D160&lt;&gt;"",D160,IFERROR(E160/(IFERROR(SUM(Sales!C:C),0))*(IFERROR(SUM(Purchases!C:C),0)),0))</f>
        <v>336</v>
      </c>
      <c r="J160" s="81">
        <f t="shared" si="13"/>
        <v>336</v>
      </c>
      <c r="K160" s="81">
        <f t="shared" si="14"/>
        <v>0</v>
      </c>
      <c r="L160" s="71" t="s">
        <v>320</v>
      </c>
      <c r="M160" s="71"/>
      <c r="N160" s="71" t="s">
        <v>337</v>
      </c>
      <c r="O160" s="71"/>
      <c r="P160" s="71"/>
      <c r="Q160" s="71"/>
      <c r="R160" s="71"/>
      <c r="S160" s="71"/>
      <c r="T160" s="71"/>
    </row>
    <row r="161" spans="1:20" ht="15">
      <c r="A161" s="59" t="s">
        <v>724</v>
      </c>
      <c r="B161" s="59" t="s">
        <v>725</v>
      </c>
      <c r="C161" s="59" t="s">
        <v>95</v>
      </c>
      <c r="D161" s="70">
        <v>353</v>
      </c>
      <c r="E161" s="70">
        <v>600</v>
      </c>
      <c r="F161" s="79">
        <v>1</v>
      </c>
      <c r="G161" s="79">
        <v>0</v>
      </c>
      <c r="H161" s="78">
        <f t="shared" si="12"/>
        <v>1</v>
      </c>
      <c r="I161" s="78">
        <f>IF(D161&lt;&gt;"",D161,IFERROR(E161/(IFERROR(SUM(Sales!C:C),0))*(IFERROR(SUM(Purchases!C:C),0)),0))</f>
        <v>353</v>
      </c>
      <c r="J161" s="78">
        <f t="shared" si="13"/>
        <v>353</v>
      </c>
      <c r="K161" s="78">
        <f t="shared" si="14"/>
        <v>0</v>
      </c>
      <c r="L161" s="59" t="s">
        <v>320</v>
      </c>
      <c r="M161" s="59"/>
      <c r="N161" s="59" t="s">
        <v>337</v>
      </c>
      <c r="O161" s="59"/>
      <c r="P161" s="59"/>
      <c r="Q161" s="59"/>
      <c r="R161" s="59"/>
      <c r="S161" s="59"/>
      <c r="T161" s="59"/>
    </row>
    <row r="162" spans="1:20" ht="15">
      <c r="A162" s="71" t="s">
        <v>726</v>
      </c>
      <c r="B162" s="71" t="s">
        <v>727</v>
      </c>
      <c r="C162" s="71" t="s">
        <v>95</v>
      </c>
      <c r="D162" s="72">
        <v>533</v>
      </c>
      <c r="E162" s="72">
        <v>750</v>
      </c>
      <c r="F162" s="82">
        <v>0</v>
      </c>
      <c r="G162" s="82">
        <v>1</v>
      </c>
      <c r="H162" s="81">
        <f t="shared" ref="H162:H163" si="15">F162+IF(LEN(G162)=0,0,G162)</f>
        <v>1</v>
      </c>
      <c r="I162" s="81">
        <f>IF(D162&lt;&gt;"",D162,IFERROR(E162/(IFERROR(SUM(Sales!C:C),0))*(IFERROR(SUM(Purchases!C:C),0)),0))</f>
        <v>533</v>
      </c>
      <c r="J162" s="81">
        <f t="shared" ref="J162:J163" si="16">F162*I162</f>
        <v>0</v>
      </c>
      <c r="K162" s="81">
        <f t="shared" si="14"/>
        <v>533</v>
      </c>
      <c r="L162" s="71"/>
      <c r="M162" s="71"/>
      <c r="N162" s="71" t="s">
        <v>506</v>
      </c>
      <c r="O162" s="71"/>
      <c r="P162" s="71"/>
      <c r="Q162" s="71"/>
      <c r="R162" s="71"/>
      <c r="S162" s="71"/>
      <c r="T162" s="71"/>
    </row>
    <row r="163" spans="1:20" ht="15">
      <c r="A163" s="59" t="s">
        <v>728</v>
      </c>
      <c r="B163" s="59" t="s">
        <v>729</v>
      </c>
      <c r="C163" s="59" t="s">
        <v>95</v>
      </c>
      <c r="D163" s="70">
        <v>441</v>
      </c>
      <c r="E163" s="70">
        <v>750</v>
      </c>
      <c r="F163" s="79">
        <v>0</v>
      </c>
      <c r="G163" s="79">
        <v>1</v>
      </c>
      <c r="H163" s="78">
        <f t="shared" si="15"/>
        <v>1</v>
      </c>
      <c r="I163" s="78">
        <f>IF(D163&lt;&gt;"",D163,IFERROR(E163/(IFERROR(SUM(Sales!C:C),0))*(IFERROR(SUM(Purchases!C:C),0)),0))</f>
        <v>441</v>
      </c>
      <c r="J163" s="78">
        <f t="shared" si="16"/>
        <v>0</v>
      </c>
      <c r="K163" s="78">
        <f t="shared" si="14"/>
        <v>441</v>
      </c>
      <c r="L163" s="59"/>
      <c r="M163" s="59"/>
      <c r="N163" s="59" t="s">
        <v>506</v>
      </c>
      <c r="O163" s="59"/>
      <c r="P163" s="59"/>
      <c r="Q163" s="59"/>
      <c r="R163" s="59"/>
      <c r="S163" s="59"/>
      <c r="T163" s="59"/>
    </row>
    <row r="164" spans="1:20" ht="60">
      <c r="A164" s="71" t="s">
        <v>774</v>
      </c>
      <c r="B164" s="71" t="s">
        <v>772</v>
      </c>
      <c r="C164" s="71" t="s">
        <v>95</v>
      </c>
      <c r="D164" s="72">
        <v>1013</v>
      </c>
      <c r="E164" s="72">
        <v>1550</v>
      </c>
      <c r="F164" s="82">
        <v>0</v>
      </c>
      <c r="G164" s="82">
        <v>5</v>
      </c>
      <c r="H164" s="81">
        <f t="shared" ref="H164:H165" si="17">F164+IF(LEN(G164)=0,0,G164)</f>
        <v>5</v>
      </c>
      <c r="I164" s="81">
        <f>IF(D164&lt;&gt;"",D164,IFERROR(E164/(IFERROR(SUM(Sales!C:C),0))*(IFERROR(SUM(Purchases!C:C),0)),0))</f>
        <v>1013</v>
      </c>
      <c r="J164" s="81">
        <f t="shared" ref="J164:J165" si="18">F164*I164</f>
        <v>0</v>
      </c>
      <c r="K164" s="81">
        <f t="shared" ref="K164:K165" si="19">IF(LEN(G164)=0,0,G164)*I164</f>
        <v>5065</v>
      </c>
      <c r="L164" s="71"/>
      <c r="M164" s="71"/>
      <c r="N164" s="71" t="s">
        <v>506</v>
      </c>
      <c r="O164" s="71"/>
      <c r="P164" s="71" t="s">
        <v>773</v>
      </c>
      <c r="Q164" s="71"/>
      <c r="R164" s="71"/>
      <c r="S164" s="71"/>
      <c r="T164" s="71"/>
    </row>
    <row r="165" spans="1:20" ht="15">
      <c r="A165" s="59" t="s">
        <v>776</v>
      </c>
      <c r="B165" s="59" t="s">
        <v>775</v>
      </c>
      <c r="C165" s="59" t="s">
        <v>95</v>
      </c>
      <c r="D165" s="70">
        <v>786.46</v>
      </c>
      <c r="E165" s="70">
        <v>1250</v>
      </c>
      <c r="F165" s="79">
        <v>1</v>
      </c>
      <c r="G165" s="79">
        <v>0</v>
      </c>
      <c r="H165" s="78">
        <f t="shared" si="17"/>
        <v>1</v>
      </c>
      <c r="I165" s="78">
        <f>IF(D165&lt;&gt;"",D165,IFERROR(E165/(IFERROR(SUM(Sales!C:C),0))*(IFERROR(SUM(Purchases!C:C),0)),0))</f>
        <v>786.46</v>
      </c>
      <c r="J165" s="78">
        <f t="shared" si="18"/>
        <v>786.46</v>
      </c>
      <c r="K165" s="78">
        <f t="shared" si="19"/>
        <v>0</v>
      </c>
      <c r="L165" s="59" t="s">
        <v>144</v>
      </c>
      <c r="M165" s="59"/>
      <c r="N165" s="59" t="s">
        <v>337</v>
      </c>
      <c r="O165" s="59"/>
      <c r="P165" s="59" t="s">
        <v>777</v>
      </c>
      <c r="Q165" s="59"/>
      <c r="R165" s="59"/>
      <c r="S165" s="59"/>
      <c r="T165" s="59"/>
    </row>
    <row r="166" spans="1:20" ht="15">
      <c r="A166" s="71" t="s">
        <v>779</v>
      </c>
      <c r="B166" s="71" t="s">
        <v>778</v>
      </c>
      <c r="C166" s="71" t="s">
        <v>95</v>
      </c>
      <c r="D166" s="72">
        <v>606</v>
      </c>
      <c r="E166" s="72">
        <v>950</v>
      </c>
      <c r="F166" s="82">
        <v>0</v>
      </c>
      <c r="G166" s="82">
        <v>3</v>
      </c>
      <c r="H166" s="81">
        <f t="shared" ref="H166:H169" si="20">F166+IF(LEN(G166)=0,0,G166)</f>
        <v>3</v>
      </c>
      <c r="I166" s="81">
        <f>IF(D166&lt;&gt;"",D166,IFERROR(E166/(IFERROR(SUM(Sales!C:C),0))*(IFERROR(SUM(Purchases!C:C),0)),0))</f>
        <v>606</v>
      </c>
      <c r="J166" s="81">
        <f t="shared" ref="J166:J169" si="21">F166*I166</f>
        <v>0</v>
      </c>
      <c r="K166" s="81">
        <f t="shared" ref="K166:K169" si="22">IF(LEN(G166)=0,0,G166)*I166</f>
        <v>1818</v>
      </c>
      <c r="L166" s="71"/>
      <c r="M166" s="71"/>
      <c r="N166" s="71" t="s">
        <v>506</v>
      </c>
      <c r="O166" s="71"/>
      <c r="P166" s="71" t="s">
        <v>780</v>
      </c>
      <c r="Q166" s="71"/>
      <c r="R166" s="71"/>
      <c r="S166" s="71"/>
      <c r="T166" s="71"/>
    </row>
    <row r="167" spans="1:20" ht="15">
      <c r="A167" s="59" t="s">
        <v>782</v>
      </c>
      <c r="B167" s="59" t="s">
        <v>781</v>
      </c>
      <c r="C167" s="59" t="s">
        <v>95</v>
      </c>
      <c r="D167" s="70">
        <v>740</v>
      </c>
      <c r="E167" s="70">
        <v>950</v>
      </c>
      <c r="F167" s="79">
        <v>1</v>
      </c>
      <c r="G167" s="79">
        <v>5</v>
      </c>
      <c r="H167" s="78">
        <f t="shared" si="20"/>
        <v>6</v>
      </c>
      <c r="I167" s="78">
        <f>IF(D167&lt;&gt;"",D167,IFERROR(E167/(IFERROR(SUM(Sales!C:C),0))*(IFERROR(SUM(Purchases!C:C),0)),0))</f>
        <v>740</v>
      </c>
      <c r="J167" s="78">
        <f t="shared" si="21"/>
        <v>740</v>
      </c>
      <c r="K167" s="78">
        <f t="shared" si="22"/>
        <v>3700</v>
      </c>
      <c r="L167" s="59" t="s">
        <v>783</v>
      </c>
      <c r="M167" s="59"/>
      <c r="N167" s="59" t="s">
        <v>422</v>
      </c>
      <c r="O167" s="59"/>
      <c r="P167" s="59" t="s">
        <v>785</v>
      </c>
      <c r="Q167" s="59"/>
      <c r="R167" s="59"/>
      <c r="S167" s="59"/>
      <c r="T167" s="59"/>
    </row>
    <row r="168" spans="1:20" ht="15">
      <c r="A168" s="71" t="s">
        <v>788</v>
      </c>
      <c r="B168" s="71" t="s">
        <v>786</v>
      </c>
      <c r="C168" s="71" t="s">
        <v>95</v>
      </c>
      <c r="D168" s="72">
        <v>608</v>
      </c>
      <c r="E168" s="72">
        <v>950</v>
      </c>
      <c r="F168" s="82">
        <v>0</v>
      </c>
      <c r="G168" s="82">
        <v>3</v>
      </c>
      <c r="H168" s="81">
        <f t="shared" si="20"/>
        <v>3</v>
      </c>
      <c r="I168" s="81">
        <f>IF(D168&lt;&gt;"",D168,IFERROR(E168/(IFERROR(SUM(Sales!C:C),0))*(IFERROR(SUM(Purchases!C:C),0)),0))</f>
        <v>608</v>
      </c>
      <c r="J168" s="81">
        <f t="shared" si="21"/>
        <v>0</v>
      </c>
      <c r="K168" s="81">
        <f t="shared" si="22"/>
        <v>1824</v>
      </c>
      <c r="L168" s="71"/>
      <c r="M168" s="71"/>
      <c r="N168" s="71" t="s">
        <v>506</v>
      </c>
      <c r="O168" s="71"/>
      <c r="P168" s="71" t="s">
        <v>787</v>
      </c>
      <c r="Q168" s="71"/>
      <c r="R168" s="71"/>
      <c r="S168" s="71"/>
      <c r="T168" s="71"/>
    </row>
    <row r="169" spans="1:20" ht="15">
      <c r="A169" s="59" t="s">
        <v>789</v>
      </c>
      <c r="B169" s="59" t="s">
        <v>790</v>
      </c>
      <c r="C169" s="59" t="s">
        <v>95</v>
      </c>
      <c r="D169" s="70">
        <v>383.26</v>
      </c>
      <c r="E169" s="70">
        <v>699</v>
      </c>
      <c r="F169" s="79">
        <v>0</v>
      </c>
      <c r="G169" s="79">
        <v>1</v>
      </c>
      <c r="H169" s="78">
        <f t="shared" si="20"/>
        <v>1</v>
      </c>
      <c r="I169" s="78">
        <f>IF(D169&lt;&gt;"",D169,IFERROR(E169/(IFERROR(SUM(Sales!C:C),0))*(IFERROR(SUM(Purchases!C:C),0)),0))</f>
        <v>383.26</v>
      </c>
      <c r="J169" s="78">
        <f t="shared" si="21"/>
        <v>0</v>
      </c>
      <c r="K169" s="78">
        <f t="shared" si="22"/>
        <v>383.26</v>
      </c>
      <c r="L169" s="59"/>
      <c r="M169" s="59"/>
      <c r="N169" s="59" t="s">
        <v>506</v>
      </c>
      <c r="O169" s="59"/>
      <c r="P169" s="59" t="s">
        <v>791</v>
      </c>
      <c r="Q169" s="59"/>
      <c r="R169" s="59"/>
      <c r="S169" s="59"/>
      <c r="T169" s="59"/>
    </row>
    <row r="170" spans="1:20">
      <c r="A170" s="71"/>
      <c r="B170" s="71"/>
      <c r="C170" s="71"/>
      <c r="D170" s="72"/>
      <c r="E170" s="72"/>
      <c r="F170" s="82"/>
      <c r="G170" s="82"/>
      <c r="H170" s="81"/>
      <c r="I170" s="81"/>
      <c r="J170" s="81"/>
      <c r="K170" s="81"/>
      <c r="L170" s="71"/>
      <c r="M170" s="71"/>
      <c r="N170" s="71"/>
      <c r="O170" s="71"/>
      <c r="P170" s="71"/>
      <c r="Q170" s="71"/>
      <c r="R170" s="71"/>
      <c r="S170" s="71"/>
      <c r="T170" s="71"/>
    </row>
    <row r="171" spans="1:20">
      <c r="A171" s="59"/>
      <c r="B171" s="59"/>
      <c r="C171" s="59"/>
      <c r="D171" s="70"/>
      <c r="E171" s="70"/>
      <c r="F171" s="70"/>
      <c r="G171" s="70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</row>
    <row r="172" spans="1:20">
      <c r="A172" s="71"/>
      <c r="B172" s="71"/>
      <c r="C172" s="71"/>
      <c r="D172" s="72"/>
      <c r="E172" s="72"/>
      <c r="F172" s="72"/>
      <c r="G172" s="72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</row>
    <row r="173" spans="1:20">
      <c r="A173" s="59"/>
      <c r="B173" s="59"/>
      <c r="C173" s="59"/>
      <c r="D173" s="70"/>
      <c r="E173" s="70"/>
      <c r="F173" s="70"/>
      <c r="G173" s="70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</row>
    <row r="174" spans="1:20">
      <c r="A174" s="71"/>
      <c r="B174" s="71"/>
      <c r="C174" s="71"/>
      <c r="D174" s="72"/>
      <c r="E174" s="72"/>
      <c r="F174" s="72"/>
      <c r="G174" s="72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</row>
  </sheetData>
  <dataValidations count="1">
    <dataValidation type="list" allowBlank="1" showInputMessage="1" showErrorMessage="1" sqref="N2:N988" xr:uid="{00000000-0002-0000-0500-000000000000}">
      <formula1>"Pending,Partially Sold,Sold Out,New,Reserved"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zoomScaleNormal="100" workbookViewId="0">
      <pane ySplit="7" topLeftCell="A8" activePane="bottomLeft" state="frozen"/>
      <selection pane="bottomLeft" activeCell="E27" sqref="E27"/>
    </sheetView>
  </sheetViews>
  <sheetFormatPr baseColWidth="10" defaultColWidth="8.83203125" defaultRowHeight="13.5" customHeight="1"/>
  <cols>
    <col min="1" max="1" width="9.1640625" style="6" customWidth="1"/>
    <col min="2" max="2" width="28.1640625" style="6" customWidth="1"/>
    <col min="3" max="3" width="24.5" style="6" customWidth="1"/>
    <col min="4" max="4" width="23.5" style="6" customWidth="1"/>
    <col min="5" max="5" width="26.83203125" style="6" customWidth="1"/>
    <col min="6" max="6" width="20.6640625" style="6" customWidth="1"/>
    <col min="7" max="7" width="29.5" style="6" customWidth="1"/>
    <col min="8" max="8" width="26.6640625" style="6" customWidth="1"/>
    <col min="9" max="16384" width="8.83203125" style="6"/>
  </cols>
  <sheetData>
    <row r="1" spans="1:8" ht="15" customHeight="1">
      <c r="A1" s="94" t="s">
        <v>730</v>
      </c>
      <c r="B1" s="94"/>
    </row>
    <row r="2" spans="1:8" ht="13.5" customHeight="1">
      <c r="A2" s="8" t="s">
        <v>42</v>
      </c>
      <c r="B2" s="8" t="s">
        <v>731</v>
      </c>
    </row>
    <row r="3" spans="1:8" ht="13.5" customHeight="1">
      <c r="A3" s="9" t="s">
        <v>49</v>
      </c>
      <c r="B3" s="84">
        <v>0.33339999999999997</v>
      </c>
    </row>
    <row r="4" spans="1:8" ht="13.5" customHeight="1">
      <c r="A4" s="11" t="s">
        <v>50</v>
      </c>
      <c r="B4" s="85">
        <v>0.3332</v>
      </c>
    </row>
    <row r="5" spans="1:8" ht="13.5" customHeight="1">
      <c r="A5" s="9" t="s">
        <v>51</v>
      </c>
      <c r="B5" s="84">
        <v>0.33339999999999997</v>
      </c>
    </row>
    <row r="7" spans="1:8" s="87" customFormat="1" ht="13.5" customHeight="1">
      <c r="A7" s="86" t="s">
        <v>42</v>
      </c>
      <c r="B7" s="86" t="s">
        <v>732</v>
      </c>
      <c r="C7" s="86" t="s">
        <v>733</v>
      </c>
      <c r="D7" s="86" t="s">
        <v>734</v>
      </c>
      <c r="E7" s="86" t="s">
        <v>735</v>
      </c>
      <c r="F7" s="86" t="s">
        <v>736</v>
      </c>
      <c r="G7" s="86" t="s">
        <v>737</v>
      </c>
      <c r="H7" s="86" t="s">
        <v>738</v>
      </c>
    </row>
    <row r="8" spans="1:8" ht="13.5" customHeight="1">
      <c r="A8" s="9" t="s">
        <v>49</v>
      </c>
      <c r="B8" s="9">
        <f>IFERROR(SUMIF(Purchases!$B:$B,$A8,Purchases!$C:$C),0)</f>
        <v>126654</v>
      </c>
      <c r="C8" s="9">
        <f>SUM($B$8:$B$10)/3</f>
        <v>98145.333333333328</v>
      </c>
      <c r="D8" s="9">
        <f>B8-C8</f>
        <v>28508.666666666672</v>
      </c>
      <c r="E8" s="9">
        <f>IF(Summary!$B$6&gt;0, Summary!$B$6*VLOOKUP($A8,$A$3:$B$5,2,FALSE()),0)</f>
        <v>0</v>
      </c>
      <c r="F8" s="9">
        <f>D8+E8</f>
        <v>28508.666666666672</v>
      </c>
      <c r="G8" s="9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16">
        <f>F8-G8</f>
        <v>10205.326666666671</v>
      </c>
    </row>
    <row r="9" spans="1:8" ht="13.5" customHeight="1">
      <c r="A9" s="11" t="s">
        <v>50</v>
      </c>
      <c r="B9" s="11">
        <f>IFERROR(SUMIF(Purchases!$B:$B,$A9,Purchases!$C:$C),0)</f>
        <v>135182</v>
      </c>
      <c r="C9" s="11">
        <f>SUM($B$8:$B$10)/3</f>
        <v>98145.333333333328</v>
      </c>
      <c r="D9" s="11">
        <f>B9-C9</f>
        <v>37036.666666666672</v>
      </c>
      <c r="E9" s="11">
        <f>IF(Summary!$B$6&gt;0, Summary!$B$6*VLOOKUP($A9,$A$3:$B$5,2,FALSE()),0)</f>
        <v>0</v>
      </c>
      <c r="F9" s="11">
        <f>D9+E9</f>
        <v>37036.666666666672</v>
      </c>
      <c r="G9" s="11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18">
        <f>F9-G9</f>
        <v>-4602.6633333333302</v>
      </c>
    </row>
    <row r="10" spans="1:8" ht="13.5" customHeight="1">
      <c r="A10" s="9" t="s">
        <v>51</v>
      </c>
      <c r="B10" s="9">
        <f>IFERROR(SUMIF(Purchases!$B:$B,$A10,Purchases!$C:$C),0)</f>
        <v>32600</v>
      </c>
      <c r="C10" s="9">
        <f>SUM($B$8:$B$10)/3</f>
        <v>98145.333333333328</v>
      </c>
      <c r="D10" s="9">
        <f>B10-C10</f>
        <v>-65545.333333333328</v>
      </c>
      <c r="E10" s="9">
        <f>IF(Summary!$B$6&gt;0, Summary!$B$6*VLOOKUP($A10,$A$3:$B$5,2,FALSE()),0)</f>
        <v>0</v>
      </c>
      <c r="F10" s="9">
        <f>D10+E10</f>
        <v>-65545.333333333328</v>
      </c>
      <c r="G10" s="9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16">
        <f>F10-G10</f>
        <v>-5602.6633333333302</v>
      </c>
    </row>
    <row r="12" spans="1:8" s="88" customFormat="1" ht="15.75" customHeight="1">
      <c r="A12" s="95" t="s">
        <v>739</v>
      </c>
      <c r="B12" s="95"/>
      <c r="C12" s="95"/>
      <c r="D12" s="95"/>
      <c r="E12" s="95"/>
      <c r="F12" s="95"/>
    </row>
    <row r="13" spans="1:8" s="87" customFormat="1" ht="13.5" customHeight="1">
      <c r="A13" s="86" t="s">
        <v>98</v>
      </c>
      <c r="B13" s="86" t="s">
        <v>740</v>
      </c>
      <c r="C13" s="86" t="s">
        <v>741</v>
      </c>
      <c r="D13" s="86" t="s">
        <v>742</v>
      </c>
      <c r="E13" s="86" t="s">
        <v>99</v>
      </c>
      <c r="F13" s="86" t="s">
        <v>100</v>
      </c>
    </row>
    <row r="14" spans="1:8" ht="13.5" customHeight="1">
      <c r="A14" s="89">
        <v>45952</v>
      </c>
      <c r="B14" s="9" t="s">
        <v>743</v>
      </c>
      <c r="C14" s="9" t="s">
        <v>51</v>
      </c>
      <c r="D14" s="9" t="s">
        <v>49</v>
      </c>
      <c r="E14" s="84">
        <v>16032</v>
      </c>
      <c r="F14" s="9"/>
    </row>
    <row r="15" spans="1:8" ht="13.5" customHeight="1">
      <c r="A15" s="90">
        <v>45952</v>
      </c>
      <c r="B15" s="11" t="s">
        <v>743</v>
      </c>
      <c r="C15" s="11" t="s">
        <v>51</v>
      </c>
      <c r="D15" s="11" t="s">
        <v>50</v>
      </c>
      <c r="E15" s="85">
        <v>21859</v>
      </c>
      <c r="F15" s="11"/>
    </row>
    <row r="16" spans="1:8" ht="13.5" customHeight="1">
      <c r="A16" s="89">
        <v>45954</v>
      </c>
      <c r="B16" s="9" t="s">
        <v>141</v>
      </c>
      <c r="C16" s="9" t="s">
        <v>49</v>
      </c>
      <c r="D16" s="9" t="s">
        <v>51</v>
      </c>
      <c r="E16" s="84">
        <v>28826.524000000001</v>
      </c>
      <c r="F16" s="9"/>
    </row>
    <row r="17" spans="1:6" ht="13.5" customHeight="1">
      <c r="A17" s="90">
        <v>45954</v>
      </c>
      <c r="B17" s="11" t="s">
        <v>141</v>
      </c>
      <c r="C17" s="11" t="s">
        <v>49</v>
      </c>
      <c r="D17" s="11" t="s">
        <v>50</v>
      </c>
      <c r="E17" s="85">
        <v>32606.952000000001</v>
      </c>
      <c r="F17" s="11"/>
    </row>
    <row r="18" spans="1:6" ht="13.5" customHeight="1">
      <c r="A18" s="89">
        <v>45970</v>
      </c>
      <c r="B18" s="9" t="s">
        <v>743</v>
      </c>
      <c r="C18" s="9" t="s">
        <v>50</v>
      </c>
      <c r="D18" s="9" t="s">
        <v>51</v>
      </c>
      <c r="E18" s="84">
        <v>3209.34</v>
      </c>
      <c r="F18" s="9"/>
    </row>
    <row r="19" spans="1:6" ht="13.5" customHeight="1">
      <c r="A19" s="90">
        <v>45970</v>
      </c>
      <c r="B19" s="11" t="s">
        <v>743</v>
      </c>
      <c r="C19" s="11" t="s">
        <v>50</v>
      </c>
      <c r="D19" s="11" t="s">
        <v>49</v>
      </c>
      <c r="E19" s="85">
        <v>411</v>
      </c>
      <c r="F19" s="11"/>
    </row>
    <row r="20" spans="1:6" ht="13.5" customHeight="1">
      <c r="A20" s="89">
        <v>45973</v>
      </c>
      <c r="B20" s="9" t="s">
        <v>743</v>
      </c>
      <c r="C20" s="9" t="s">
        <v>50</v>
      </c>
      <c r="D20" s="9" t="s">
        <v>51</v>
      </c>
      <c r="E20" s="84">
        <v>905</v>
      </c>
      <c r="F20" s="9"/>
    </row>
    <row r="21" spans="1:6" ht="13.5" customHeight="1">
      <c r="A21" s="90">
        <v>45973</v>
      </c>
      <c r="B21" s="11" t="s">
        <v>743</v>
      </c>
      <c r="C21" s="11" t="s">
        <v>49</v>
      </c>
      <c r="D21" s="11" t="s">
        <v>51</v>
      </c>
      <c r="E21" s="85">
        <v>904</v>
      </c>
      <c r="F21" s="11"/>
    </row>
    <row r="22" spans="1:6" ht="13.5" customHeight="1">
      <c r="A22" s="89">
        <v>46058</v>
      </c>
      <c r="B22" s="9" t="s">
        <v>743</v>
      </c>
      <c r="C22" s="9" t="s">
        <v>51</v>
      </c>
      <c r="D22" s="9" t="s">
        <v>50</v>
      </c>
      <c r="E22" s="84">
        <v>27014</v>
      </c>
      <c r="F22" s="9"/>
    </row>
    <row r="23" spans="1:6" ht="13.5" customHeight="1">
      <c r="A23" s="90">
        <v>46059</v>
      </c>
      <c r="B23" s="11" t="s">
        <v>141</v>
      </c>
      <c r="C23" s="11" t="s">
        <v>49</v>
      </c>
      <c r="D23" s="11" t="s">
        <v>51</v>
      </c>
      <c r="E23" s="85">
        <v>30266</v>
      </c>
      <c r="F23" s="11"/>
    </row>
    <row r="24" spans="1:6" ht="13.5" customHeight="1">
      <c r="A24" s="89">
        <v>46059</v>
      </c>
      <c r="B24" s="9" t="s">
        <v>743</v>
      </c>
      <c r="C24" s="9" t="s">
        <v>49</v>
      </c>
      <c r="D24" s="9" t="s">
        <v>50</v>
      </c>
      <c r="E24" s="84">
        <v>2225</v>
      </c>
      <c r="F24" s="9"/>
    </row>
    <row r="25" spans="1:6" ht="13.5" customHeight="1">
      <c r="A25" s="90">
        <v>46059</v>
      </c>
      <c r="B25" s="11" t="s">
        <v>141</v>
      </c>
      <c r="C25" s="11" t="s">
        <v>49</v>
      </c>
      <c r="D25" s="11" t="s">
        <v>50</v>
      </c>
      <c r="E25" s="85">
        <v>32354</v>
      </c>
      <c r="F25" s="11"/>
    </row>
    <row r="26" spans="1:6" ht="13.5" customHeight="1">
      <c r="A26" s="89">
        <v>46093</v>
      </c>
      <c r="B26" s="9" t="s">
        <v>743</v>
      </c>
      <c r="C26" s="9" t="s">
        <v>50</v>
      </c>
      <c r="D26" s="9" t="s">
        <v>49</v>
      </c>
      <c r="E26" s="84">
        <v>4933.33</v>
      </c>
      <c r="F26" s="9"/>
    </row>
    <row r="27" spans="1:6" ht="13.5" customHeight="1">
      <c r="A27" s="90">
        <v>46093</v>
      </c>
      <c r="B27" s="11" t="s">
        <v>743</v>
      </c>
      <c r="C27" s="11" t="s">
        <v>51</v>
      </c>
      <c r="D27" s="11" t="s">
        <v>49</v>
      </c>
      <c r="E27" s="85">
        <v>56.01</v>
      </c>
      <c r="F27" s="11"/>
    </row>
    <row r="28" spans="1:6" ht="13.5" customHeight="1">
      <c r="A28" s="89">
        <v>46093</v>
      </c>
      <c r="B28" s="9" t="s">
        <v>141</v>
      </c>
      <c r="C28" s="9" t="s">
        <v>49</v>
      </c>
      <c r="D28" s="9" t="s">
        <v>51</v>
      </c>
      <c r="E28" s="84">
        <v>6630.46</v>
      </c>
      <c r="F28" s="9"/>
    </row>
    <row r="29" spans="1:6" ht="13.5" customHeight="1">
      <c r="A29" s="90">
        <v>46093</v>
      </c>
      <c r="B29" s="11" t="s">
        <v>141</v>
      </c>
      <c r="C29" s="11" t="s">
        <v>49</v>
      </c>
      <c r="D29" s="11" t="s">
        <v>50</v>
      </c>
      <c r="E29" s="85">
        <v>6626.09</v>
      </c>
      <c r="F29" s="11"/>
    </row>
    <row r="30" spans="1:6" ht="13.5" customHeight="1">
      <c r="A30" s="9"/>
      <c r="B30" s="9"/>
      <c r="C30" s="9"/>
      <c r="D30" s="9"/>
      <c r="E30" s="9"/>
      <c r="F30" s="9"/>
    </row>
    <row r="31" spans="1:6" ht="13.5" customHeight="1">
      <c r="A31" s="11"/>
      <c r="B31" s="11"/>
      <c r="C31" s="11"/>
      <c r="D31" s="11"/>
      <c r="E31" s="11"/>
      <c r="F31" s="11"/>
    </row>
    <row r="32" spans="1:6" ht="13.5" customHeight="1">
      <c r="A32" s="9"/>
      <c r="B32" s="9"/>
      <c r="C32" s="9"/>
      <c r="D32" s="9"/>
      <c r="E32" s="9"/>
      <c r="F32" s="9"/>
    </row>
    <row r="33" spans="1:6" ht="13.5" customHeight="1">
      <c r="A33" s="11"/>
      <c r="B33" s="11"/>
      <c r="C33" s="11"/>
      <c r="D33" s="11"/>
      <c r="E33" s="11"/>
      <c r="F33" s="11"/>
    </row>
    <row r="58" spans="2:2" ht="13.5" customHeight="1">
      <c r="B58" s="6" t="s">
        <v>744</v>
      </c>
    </row>
  </sheetData>
  <mergeCells count="2">
    <mergeCell ref="A1:B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zoomScaleNormal="100" workbookViewId="0">
      <pane ySplit="3" topLeftCell="A4" activePane="bottomLeft" state="frozen"/>
      <selection pane="bottomLeft" activeCell="F4" sqref="F4"/>
    </sheetView>
  </sheetViews>
  <sheetFormatPr baseColWidth="10" defaultColWidth="8.83203125" defaultRowHeight="13.5" customHeight="1"/>
  <cols>
    <col min="1" max="1" width="73.1640625" style="6" customWidth="1"/>
    <col min="2" max="2" width="29.6640625" style="6" customWidth="1"/>
    <col min="3" max="3" width="8" style="6" customWidth="1"/>
    <col min="4" max="4" width="21.6640625" style="6" customWidth="1"/>
    <col min="5" max="5" width="21.5" style="6" customWidth="1"/>
    <col min="6" max="6" width="34.33203125" style="6" customWidth="1"/>
    <col min="7" max="7" width="28" style="6" customWidth="1"/>
    <col min="8" max="16384" width="8.83203125" style="6"/>
  </cols>
  <sheetData>
    <row r="1" spans="1:7" ht="13.5" customHeight="1">
      <c r="A1" s="91" t="s">
        <v>745</v>
      </c>
    </row>
    <row r="3" spans="1:7" s="87" customFormat="1" ht="13.5" customHeight="1">
      <c r="A3" s="86" t="s">
        <v>42</v>
      </c>
      <c r="B3" s="86" t="s">
        <v>746</v>
      </c>
      <c r="C3" s="86" t="s">
        <v>731</v>
      </c>
      <c r="D3" s="86" t="s">
        <v>747</v>
      </c>
      <c r="E3" s="86" t="s">
        <v>748</v>
      </c>
      <c r="F3" s="86" t="s">
        <v>749</v>
      </c>
      <c r="G3" s="86" t="s">
        <v>750</v>
      </c>
    </row>
    <row r="4" spans="1:7" ht="13.5" customHeight="1">
      <c r="A4" s="9" t="s">
        <v>49</v>
      </c>
      <c r="B4" s="9">
        <f>IFERROR(SUMIFS(Sales!$C:$C,Sales!$E:$E,$A4,Sales!$I:$I,"Completed"),0)</f>
        <v>235543</v>
      </c>
      <c r="C4" s="9">
        <f>VLOOKUP($A4,PartnerShares!$A$3:$B$5,2,FALSE())</f>
        <v>0.33339999999999997</v>
      </c>
      <c r="D4" s="9">
        <f>Summary!$B$4*C4</f>
        <v>85514.432799999995</v>
      </c>
      <c r="E4" s="9">
        <f>B4-D4</f>
        <v>150028.56719999999</v>
      </c>
      <c r="F4" s="9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16">
        <f>E4+F4</f>
        <v>12718.541199999978</v>
      </c>
    </row>
    <row r="5" spans="1:7" ht="13.5" customHeight="1">
      <c r="A5" s="11" t="s">
        <v>50</v>
      </c>
      <c r="B5" s="11">
        <f>IFERROR(SUMIFS(Sales!$C:$C,Sales!$E:$E,$A5,Sales!$I:$I,"Completed"),0)</f>
        <v>8419</v>
      </c>
      <c r="C5" s="11">
        <f>VLOOKUP($A5,PartnerShares!$A$3:$B$5,2,FALSE())</f>
        <v>0.3332</v>
      </c>
      <c r="D5" s="11">
        <f>Summary!$B$4*C5</f>
        <v>85463.134399999995</v>
      </c>
      <c r="E5" s="11">
        <f>B5-D5</f>
        <v>-77044.134399999995</v>
      </c>
      <c r="F5" s="11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18">
        <f>E5+F5</f>
        <v>-5457.0923999999941</v>
      </c>
    </row>
    <row r="6" spans="1:7" ht="13.5" customHeight="1">
      <c r="A6" s="9" t="s">
        <v>51</v>
      </c>
      <c r="B6" s="9">
        <f>IFERROR(SUMIFS(Sales!$C:$C,Sales!$E:$E,$A6,Sales!$I:$I,"Completed"),0)</f>
        <v>12530</v>
      </c>
      <c r="C6" s="9">
        <f>VLOOKUP($A6,PartnerShares!$A$3:$B$5,2,FALSE())</f>
        <v>0.33339999999999997</v>
      </c>
      <c r="D6" s="9">
        <f>Summary!$B$4*C6</f>
        <v>85514.432799999995</v>
      </c>
      <c r="E6" s="9">
        <f>B6-D6</f>
        <v>-72984.432799999995</v>
      </c>
      <c r="F6" s="9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16">
        <f>E6+F6</f>
        <v>-7261.4487999999837</v>
      </c>
    </row>
    <row r="9" spans="1:7" ht="13.5" customHeight="1">
      <c r="A9" s="6" t="s">
        <v>0</v>
      </c>
    </row>
    <row r="10" spans="1:7" ht="13.5" customHeight="1">
      <c r="A10" s="6" t="s">
        <v>751</v>
      </c>
    </row>
    <row r="11" spans="1:7" ht="13.5" customHeight="1">
      <c r="A11" s="6" t="s">
        <v>752</v>
      </c>
    </row>
    <row r="12" spans="1:7" ht="13.5" customHeight="1">
      <c r="A12" s="6" t="s">
        <v>753</v>
      </c>
    </row>
    <row r="13" spans="1:7" ht="13.5" customHeight="1">
      <c r="A13" s="6" t="s">
        <v>754</v>
      </c>
    </row>
    <row r="14" spans="1:7" ht="13.5" customHeight="1">
      <c r="A14" s="6" t="s">
        <v>755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Anoop Premachandran</cp:lastModifiedBy>
  <cp:revision>3</cp:revision>
  <dcterms:created xsi:type="dcterms:W3CDTF">2025-10-03T20:28:25Z</dcterms:created>
  <dcterms:modified xsi:type="dcterms:W3CDTF">2026-04-11T14:39:34Z</dcterms:modified>
  <dc:language>en-US</dc:language>
</cp:coreProperties>
</file>