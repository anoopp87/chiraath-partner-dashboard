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nooppremachandran/Desktop/CHIRAATH/"/>
    </mc:Choice>
  </mc:AlternateContent>
  <xr:revisionPtr revIDLastSave="0" documentId="13_ncr:1_{CA8A2D1C-869A-5A48-BE38-6581203DE227}" xr6:coauthVersionLast="47" xr6:coauthVersionMax="47" xr10:uidLastSave="{00000000-0000-0000-0000-000000000000}"/>
  <bookViews>
    <workbookView xWindow="0" yWindow="0" windowWidth="28800" windowHeight="18000" tabRatio="500" activeTab="4" xr2:uid="{00000000-000D-0000-FFFF-FFFF00000000}"/>
  </bookViews>
  <sheets>
    <sheet name="Notes" sheetId="1" r:id="rId1"/>
    <sheet name="Summary" sheetId="2" r:id="rId2"/>
    <sheet name="Dashboard" sheetId="3" r:id="rId3"/>
    <sheet name="Purchases" sheetId="4" r:id="rId4"/>
    <sheet name="Sales" sheetId="5" r:id="rId5"/>
    <sheet name="INVENTORY" sheetId="6" r:id="rId6"/>
    <sheet name="PartnerShares" sheetId="7" r:id="rId7"/>
    <sheet name="Cash Pool" sheetId="8" r:id="rId8"/>
  </sheets>
  <definedNames>
    <definedName name="_xlnm._FilterDatabase" localSheetId="5" hidden="1">INVENTORY!$A$1:$T$188</definedName>
    <definedName name="_xlnm._FilterDatabase" localSheetId="3" hidden="1">Purchases!$A$1:$D$32</definedName>
    <definedName name="_xlnm._FilterDatabase" localSheetId="4" hidden="1">Sales!$A$1:$I$296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27" i="6" l="1"/>
  <c r="I227" i="6"/>
  <c r="J227" i="6"/>
  <c r="K227" i="6"/>
  <c r="H228" i="6"/>
  <c r="I228" i="6"/>
  <c r="J228" i="6"/>
  <c r="K228" i="6"/>
  <c r="H229" i="6"/>
  <c r="I229" i="6"/>
  <c r="J229" i="6"/>
  <c r="K229" i="6"/>
  <c r="H230" i="6"/>
  <c r="I230" i="6"/>
  <c r="J230" i="6"/>
  <c r="K230" i="6"/>
  <c r="H231" i="6"/>
  <c r="I231" i="6"/>
  <c r="J231" i="6"/>
  <c r="K231" i="6"/>
  <c r="H232" i="6"/>
  <c r="I232" i="6"/>
  <c r="J232" i="6"/>
  <c r="K232" i="6"/>
  <c r="H233" i="6"/>
  <c r="I233" i="6"/>
  <c r="J233" i="6"/>
  <c r="K233" i="6"/>
  <c r="H234" i="6"/>
  <c r="I234" i="6"/>
  <c r="J234" i="6"/>
  <c r="K234" i="6"/>
  <c r="H235" i="6"/>
  <c r="I235" i="6"/>
  <c r="J235" i="6"/>
  <c r="K235" i="6"/>
  <c r="H236" i="6"/>
  <c r="I236" i="6"/>
  <c r="H237" i="6"/>
  <c r="I237" i="6"/>
  <c r="J237" i="6"/>
  <c r="K237" i="6"/>
  <c r="H238" i="6"/>
  <c r="I238" i="6"/>
  <c r="H223" i="6"/>
  <c r="I223" i="6"/>
  <c r="J223" i="6"/>
  <c r="K223" i="6"/>
  <c r="H224" i="6"/>
  <c r="I224" i="6"/>
  <c r="J224" i="6"/>
  <c r="K224" i="6"/>
  <c r="H225" i="6"/>
  <c r="I225" i="6"/>
  <c r="J225" i="6"/>
  <c r="K225" i="6"/>
  <c r="H226" i="6"/>
  <c r="I226" i="6"/>
  <c r="J226" i="6"/>
  <c r="K226" i="6"/>
  <c r="F6" i="8"/>
  <c r="C6" i="8"/>
  <c r="B6" i="8"/>
  <c r="B28" i="2" s="1"/>
  <c r="F5" i="8"/>
  <c r="C5" i="8"/>
  <c r="B5" i="8"/>
  <c r="B27" i="2" s="1"/>
  <c r="F4" i="8"/>
  <c r="C4" i="8"/>
  <c r="B4" i="8"/>
  <c r="B26" i="2" s="1"/>
  <c r="G10" i="7"/>
  <c r="B10" i="7"/>
  <c r="B20" i="2" s="1"/>
  <c r="G9" i="7"/>
  <c r="B9" i="7"/>
  <c r="B19" i="2" s="1"/>
  <c r="G8" i="7"/>
  <c r="B8" i="7"/>
  <c r="B18" i="2" s="1"/>
  <c r="I222" i="6"/>
  <c r="J222" i="6" s="1"/>
  <c r="H222" i="6"/>
  <c r="I221" i="6"/>
  <c r="K221" i="6" s="1"/>
  <c r="H221" i="6"/>
  <c r="I220" i="6"/>
  <c r="J220" i="6" s="1"/>
  <c r="H220" i="6"/>
  <c r="I219" i="6"/>
  <c r="K219" i="6" s="1"/>
  <c r="H219" i="6"/>
  <c r="I218" i="6"/>
  <c r="J218" i="6" s="1"/>
  <c r="H218" i="6"/>
  <c r="I217" i="6"/>
  <c r="K217" i="6" s="1"/>
  <c r="H217" i="6"/>
  <c r="I216" i="6"/>
  <c r="J216" i="6" s="1"/>
  <c r="H216" i="6"/>
  <c r="I215" i="6"/>
  <c r="K215" i="6" s="1"/>
  <c r="H215" i="6"/>
  <c r="I214" i="6"/>
  <c r="J214" i="6" s="1"/>
  <c r="H214" i="6"/>
  <c r="I213" i="6"/>
  <c r="K213" i="6" s="1"/>
  <c r="H213" i="6"/>
  <c r="I212" i="6"/>
  <c r="J212" i="6" s="1"/>
  <c r="H212" i="6"/>
  <c r="I211" i="6"/>
  <c r="K211" i="6" s="1"/>
  <c r="H211" i="6"/>
  <c r="I210" i="6"/>
  <c r="J210" i="6" s="1"/>
  <c r="H210" i="6"/>
  <c r="I209" i="6"/>
  <c r="K209" i="6" s="1"/>
  <c r="H209" i="6"/>
  <c r="I208" i="6"/>
  <c r="J208" i="6" s="1"/>
  <c r="H208" i="6"/>
  <c r="I207" i="6"/>
  <c r="K207" i="6" s="1"/>
  <c r="H207" i="6"/>
  <c r="I206" i="6"/>
  <c r="J206" i="6" s="1"/>
  <c r="H206" i="6"/>
  <c r="I205" i="6"/>
  <c r="K205" i="6" s="1"/>
  <c r="H205" i="6"/>
  <c r="I204" i="6"/>
  <c r="J204" i="6" s="1"/>
  <c r="H204" i="6"/>
  <c r="I203" i="6"/>
  <c r="K203" i="6" s="1"/>
  <c r="H203" i="6"/>
  <c r="I202" i="6"/>
  <c r="J202" i="6" s="1"/>
  <c r="H202" i="6"/>
  <c r="I201" i="6"/>
  <c r="K201" i="6" s="1"/>
  <c r="H201" i="6"/>
  <c r="I200" i="6"/>
  <c r="J200" i="6" s="1"/>
  <c r="H200" i="6"/>
  <c r="I199" i="6"/>
  <c r="K199" i="6" s="1"/>
  <c r="H199" i="6"/>
  <c r="I198" i="6"/>
  <c r="J198" i="6" s="1"/>
  <c r="H198" i="6"/>
  <c r="I197" i="6"/>
  <c r="K197" i="6" s="1"/>
  <c r="H197" i="6"/>
  <c r="I196" i="6"/>
  <c r="J196" i="6" s="1"/>
  <c r="H196" i="6"/>
  <c r="I195" i="6"/>
  <c r="K195" i="6" s="1"/>
  <c r="H195" i="6"/>
  <c r="I194" i="6"/>
  <c r="J194" i="6" s="1"/>
  <c r="H194" i="6"/>
  <c r="I193" i="6"/>
  <c r="K193" i="6" s="1"/>
  <c r="H193" i="6"/>
  <c r="I192" i="6"/>
  <c r="J192" i="6" s="1"/>
  <c r="H192" i="6"/>
  <c r="I191" i="6"/>
  <c r="K191" i="6" s="1"/>
  <c r="H191" i="6"/>
  <c r="I190" i="6"/>
  <c r="J190" i="6" s="1"/>
  <c r="H190" i="6"/>
  <c r="I189" i="6"/>
  <c r="K189" i="6" s="1"/>
  <c r="H189" i="6"/>
  <c r="I188" i="6"/>
  <c r="J188" i="6" s="1"/>
  <c r="H188" i="6"/>
  <c r="I187" i="6"/>
  <c r="K187" i="6" s="1"/>
  <c r="H187" i="6"/>
  <c r="I186" i="6"/>
  <c r="J186" i="6" s="1"/>
  <c r="H186" i="6"/>
  <c r="I185" i="6"/>
  <c r="K185" i="6" s="1"/>
  <c r="H185" i="6"/>
  <c r="I184" i="6"/>
  <c r="J184" i="6" s="1"/>
  <c r="H184" i="6"/>
  <c r="I183" i="6"/>
  <c r="K183" i="6" s="1"/>
  <c r="I182" i="6"/>
  <c r="K182" i="6" s="1"/>
  <c r="H182" i="6"/>
  <c r="I181" i="6"/>
  <c r="K181" i="6" s="1"/>
  <c r="H181" i="6"/>
  <c r="I180" i="6"/>
  <c r="K180" i="6" s="1"/>
  <c r="H180" i="6"/>
  <c r="I179" i="6"/>
  <c r="K179" i="6" s="1"/>
  <c r="H179" i="6"/>
  <c r="I178" i="6"/>
  <c r="J178" i="6" s="1"/>
  <c r="H178" i="6"/>
  <c r="I177" i="6"/>
  <c r="K177" i="6" s="1"/>
  <c r="H177" i="6"/>
  <c r="I176" i="6"/>
  <c r="K176" i="6" s="1"/>
  <c r="H176" i="6"/>
  <c r="I175" i="6"/>
  <c r="K175" i="6" s="1"/>
  <c r="H175" i="6"/>
  <c r="I174" i="6"/>
  <c r="K174" i="6" s="1"/>
  <c r="H174" i="6"/>
  <c r="I173" i="6"/>
  <c r="K173" i="6" s="1"/>
  <c r="H173" i="6"/>
  <c r="I172" i="6"/>
  <c r="K172" i="6" s="1"/>
  <c r="H172" i="6"/>
  <c r="I171" i="6"/>
  <c r="K171" i="6" s="1"/>
  <c r="H171" i="6"/>
  <c r="I170" i="6"/>
  <c r="K170" i="6" s="1"/>
  <c r="H170" i="6"/>
  <c r="I169" i="6"/>
  <c r="K169" i="6" s="1"/>
  <c r="H169" i="6"/>
  <c r="I168" i="6"/>
  <c r="J168" i="6" s="1"/>
  <c r="H168" i="6"/>
  <c r="I167" i="6"/>
  <c r="K167" i="6" s="1"/>
  <c r="H167" i="6"/>
  <c r="I166" i="6"/>
  <c r="K166" i="6" s="1"/>
  <c r="H166" i="6"/>
  <c r="I165" i="6"/>
  <c r="K165" i="6" s="1"/>
  <c r="H165" i="6"/>
  <c r="I164" i="6"/>
  <c r="K164" i="6" s="1"/>
  <c r="H164" i="6"/>
  <c r="I163" i="6"/>
  <c r="K163" i="6" s="1"/>
  <c r="H163" i="6"/>
  <c r="I162" i="6"/>
  <c r="K162" i="6" s="1"/>
  <c r="H162" i="6"/>
  <c r="I161" i="6"/>
  <c r="K161" i="6" s="1"/>
  <c r="H161" i="6"/>
  <c r="I160" i="6"/>
  <c r="K160" i="6" s="1"/>
  <c r="H160" i="6"/>
  <c r="I159" i="6"/>
  <c r="K159" i="6" s="1"/>
  <c r="H159" i="6"/>
  <c r="I158" i="6"/>
  <c r="K158" i="6" s="1"/>
  <c r="H158" i="6"/>
  <c r="I157" i="6"/>
  <c r="K157" i="6" s="1"/>
  <c r="H157" i="6"/>
  <c r="I156" i="6"/>
  <c r="K156" i="6" s="1"/>
  <c r="H156" i="6"/>
  <c r="I155" i="6"/>
  <c r="K155" i="6" s="1"/>
  <c r="H155" i="6"/>
  <c r="I154" i="6"/>
  <c r="K154" i="6" s="1"/>
  <c r="H154" i="6"/>
  <c r="I153" i="6"/>
  <c r="K153" i="6" s="1"/>
  <c r="H153" i="6"/>
  <c r="I152" i="6"/>
  <c r="J152" i="6" s="1"/>
  <c r="H152" i="6"/>
  <c r="I151" i="6"/>
  <c r="K151" i="6" s="1"/>
  <c r="H151" i="6"/>
  <c r="I150" i="6"/>
  <c r="K150" i="6" s="1"/>
  <c r="H150" i="6"/>
  <c r="I149" i="6"/>
  <c r="K149" i="6" s="1"/>
  <c r="H149" i="6"/>
  <c r="I148" i="6"/>
  <c r="K148" i="6" s="1"/>
  <c r="H148" i="6"/>
  <c r="I147" i="6"/>
  <c r="K147" i="6" s="1"/>
  <c r="H147" i="6"/>
  <c r="I146" i="6"/>
  <c r="K146" i="6" s="1"/>
  <c r="H146" i="6"/>
  <c r="I145" i="6"/>
  <c r="K145" i="6" s="1"/>
  <c r="H145" i="6"/>
  <c r="I144" i="6"/>
  <c r="J144" i="6" s="1"/>
  <c r="H144" i="6"/>
  <c r="I143" i="6"/>
  <c r="K143" i="6" s="1"/>
  <c r="H143" i="6"/>
  <c r="I142" i="6"/>
  <c r="K142" i="6" s="1"/>
  <c r="H142" i="6"/>
  <c r="I141" i="6"/>
  <c r="K141" i="6" s="1"/>
  <c r="H141" i="6"/>
  <c r="I140" i="6"/>
  <c r="K140" i="6" s="1"/>
  <c r="H140" i="6"/>
  <c r="I139" i="6"/>
  <c r="K139" i="6" s="1"/>
  <c r="H139" i="6"/>
  <c r="I138" i="6"/>
  <c r="K138" i="6" s="1"/>
  <c r="H138" i="6"/>
  <c r="I137" i="6"/>
  <c r="K137" i="6" s="1"/>
  <c r="H137" i="6"/>
  <c r="I136" i="6"/>
  <c r="K136" i="6" s="1"/>
  <c r="H136" i="6"/>
  <c r="I135" i="6"/>
  <c r="K135" i="6" s="1"/>
  <c r="H135" i="6"/>
  <c r="I134" i="6"/>
  <c r="K134" i="6" s="1"/>
  <c r="H134" i="6"/>
  <c r="I133" i="6"/>
  <c r="K133" i="6" s="1"/>
  <c r="H133" i="6"/>
  <c r="I132" i="6"/>
  <c r="K132" i="6" s="1"/>
  <c r="H132" i="6"/>
  <c r="I131" i="6"/>
  <c r="K131" i="6" s="1"/>
  <c r="H131" i="6"/>
  <c r="I130" i="6"/>
  <c r="J130" i="6" s="1"/>
  <c r="H130" i="6"/>
  <c r="I129" i="6"/>
  <c r="K129" i="6" s="1"/>
  <c r="H129" i="6"/>
  <c r="I128" i="6"/>
  <c r="J128" i="6" s="1"/>
  <c r="H128" i="6"/>
  <c r="I127" i="6"/>
  <c r="K127" i="6" s="1"/>
  <c r="H127" i="6"/>
  <c r="I126" i="6"/>
  <c r="J126" i="6" s="1"/>
  <c r="H126" i="6"/>
  <c r="I125" i="6"/>
  <c r="K125" i="6" s="1"/>
  <c r="H125" i="6"/>
  <c r="I124" i="6"/>
  <c r="J124" i="6" s="1"/>
  <c r="H124" i="6"/>
  <c r="I123" i="6"/>
  <c r="J123" i="6" s="1"/>
  <c r="H123" i="6"/>
  <c r="I122" i="6"/>
  <c r="J122" i="6" s="1"/>
  <c r="H122" i="6"/>
  <c r="I121" i="6"/>
  <c r="J121" i="6" s="1"/>
  <c r="H121" i="6"/>
  <c r="I120" i="6"/>
  <c r="J120" i="6" s="1"/>
  <c r="H120" i="6"/>
  <c r="I119" i="6"/>
  <c r="K119" i="6" s="1"/>
  <c r="H119" i="6"/>
  <c r="I118" i="6"/>
  <c r="J118" i="6" s="1"/>
  <c r="H118" i="6"/>
  <c r="I117" i="6"/>
  <c r="J117" i="6" s="1"/>
  <c r="H117" i="6"/>
  <c r="I116" i="6"/>
  <c r="J116" i="6" s="1"/>
  <c r="H116" i="6"/>
  <c r="I115" i="6"/>
  <c r="K115" i="6" s="1"/>
  <c r="H115" i="6"/>
  <c r="I114" i="6"/>
  <c r="J114" i="6" s="1"/>
  <c r="H114" i="6"/>
  <c r="I113" i="6"/>
  <c r="K113" i="6" s="1"/>
  <c r="H113" i="6"/>
  <c r="I112" i="6"/>
  <c r="J112" i="6" s="1"/>
  <c r="H112" i="6"/>
  <c r="I111" i="6"/>
  <c r="J111" i="6" s="1"/>
  <c r="H111" i="6"/>
  <c r="I110" i="6"/>
  <c r="J110" i="6" s="1"/>
  <c r="H110" i="6"/>
  <c r="I109" i="6"/>
  <c r="K109" i="6" s="1"/>
  <c r="H109" i="6"/>
  <c r="I108" i="6"/>
  <c r="J108" i="6" s="1"/>
  <c r="H108" i="6"/>
  <c r="I107" i="6"/>
  <c r="J107" i="6" s="1"/>
  <c r="H107" i="6"/>
  <c r="I106" i="6"/>
  <c r="J106" i="6" s="1"/>
  <c r="H106" i="6"/>
  <c r="I105" i="6"/>
  <c r="K105" i="6" s="1"/>
  <c r="H105" i="6"/>
  <c r="I104" i="6"/>
  <c r="J104" i="6" s="1"/>
  <c r="H104" i="6"/>
  <c r="I103" i="6"/>
  <c r="K103" i="6" s="1"/>
  <c r="H103" i="6"/>
  <c r="I102" i="6"/>
  <c r="K102" i="6" s="1"/>
  <c r="H102" i="6"/>
  <c r="I101" i="6"/>
  <c r="K101" i="6" s="1"/>
  <c r="H101" i="6"/>
  <c r="I100" i="6"/>
  <c r="J100" i="6" s="1"/>
  <c r="H100" i="6"/>
  <c r="I99" i="6"/>
  <c r="J99" i="6" s="1"/>
  <c r="H99" i="6"/>
  <c r="I98" i="6"/>
  <c r="K98" i="6" s="1"/>
  <c r="H98" i="6"/>
  <c r="I97" i="6"/>
  <c r="J97" i="6" s="1"/>
  <c r="H97" i="6"/>
  <c r="I96" i="6"/>
  <c r="J96" i="6" s="1"/>
  <c r="H96" i="6"/>
  <c r="I95" i="6"/>
  <c r="K95" i="6" s="1"/>
  <c r="H95" i="6"/>
  <c r="I94" i="6"/>
  <c r="J94" i="6" s="1"/>
  <c r="H94" i="6"/>
  <c r="I93" i="6"/>
  <c r="K93" i="6" s="1"/>
  <c r="H93" i="6"/>
  <c r="I92" i="6"/>
  <c r="J92" i="6" s="1"/>
  <c r="H92" i="6"/>
  <c r="I91" i="6"/>
  <c r="K91" i="6" s="1"/>
  <c r="H91" i="6"/>
  <c r="I90" i="6"/>
  <c r="J90" i="6" s="1"/>
  <c r="H90" i="6"/>
  <c r="I89" i="6"/>
  <c r="K89" i="6" s="1"/>
  <c r="H89" i="6"/>
  <c r="I88" i="6"/>
  <c r="J88" i="6" s="1"/>
  <c r="H88" i="6"/>
  <c r="I87" i="6"/>
  <c r="J87" i="6" s="1"/>
  <c r="H87" i="6"/>
  <c r="I86" i="6"/>
  <c r="J86" i="6" s="1"/>
  <c r="H86" i="6"/>
  <c r="I85" i="6"/>
  <c r="K85" i="6" s="1"/>
  <c r="H85" i="6"/>
  <c r="I84" i="6"/>
  <c r="J84" i="6" s="1"/>
  <c r="H84" i="6"/>
  <c r="I83" i="6"/>
  <c r="K83" i="6" s="1"/>
  <c r="H83" i="6"/>
  <c r="I82" i="6"/>
  <c r="J82" i="6" s="1"/>
  <c r="H82" i="6"/>
  <c r="I81" i="6"/>
  <c r="J81" i="6" s="1"/>
  <c r="H81" i="6"/>
  <c r="I80" i="6"/>
  <c r="J80" i="6" s="1"/>
  <c r="H80" i="6"/>
  <c r="I79" i="6"/>
  <c r="K79" i="6" s="1"/>
  <c r="H79" i="6"/>
  <c r="I78" i="6"/>
  <c r="J78" i="6" s="1"/>
  <c r="H78" i="6"/>
  <c r="I77" i="6"/>
  <c r="K77" i="6" s="1"/>
  <c r="H77" i="6"/>
  <c r="I76" i="6"/>
  <c r="J76" i="6" s="1"/>
  <c r="H76" i="6"/>
  <c r="I75" i="6"/>
  <c r="K75" i="6" s="1"/>
  <c r="H75" i="6"/>
  <c r="I74" i="6"/>
  <c r="J74" i="6" s="1"/>
  <c r="H74" i="6"/>
  <c r="I73" i="6"/>
  <c r="K73" i="6" s="1"/>
  <c r="H73" i="6"/>
  <c r="I72" i="6"/>
  <c r="J72" i="6" s="1"/>
  <c r="H72" i="6"/>
  <c r="I71" i="6"/>
  <c r="J71" i="6" s="1"/>
  <c r="H71" i="6"/>
  <c r="I70" i="6"/>
  <c r="J70" i="6" s="1"/>
  <c r="H70" i="6"/>
  <c r="I69" i="6"/>
  <c r="K69" i="6" s="1"/>
  <c r="H69" i="6"/>
  <c r="I68" i="6"/>
  <c r="J68" i="6" s="1"/>
  <c r="H68" i="6"/>
  <c r="I67" i="6"/>
  <c r="K67" i="6" s="1"/>
  <c r="H67" i="6"/>
  <c r="I66" i="6"/>
  <c r="J66" i="6" s="1"/>
  <c r="H66" i="6"/>
  <c r="I65" i="6"/>
  <c r="J65" i="6" s="1"/>
  <c r="H65" i="6"/>
  <c r="I64" i="6"/>
  <c r="K64" i="6" s="1"/>
  <c r="H64" i="6"/>
  <c r="I63" i="6"/>
  <c r="J63" i="6" s="1"/>
  <c r="H63" i="6"/>
  <c r="I62" i="6"/>
  <c r="K62" i="6" s="1"/>
  <c r="H62" i="6"/>
  <c r="I61" i="6"/>
  <c r="J61" i="6" s="1"/>
  <c r="H61" i="6"/>
  <c r="I60" i="6"/>
  <c r="J60" i="6" s="1"/>
  <c r="H60" i="6"/>
  <c r="I59" i="6"/>
  <c r="K59" i="6" s="1"/>
  <c r="H59" i="6"/>
  <c r="I58" i="6"/>
  <c r="J58" i="6" s="1"/>
  <c r="H58" i="6"/>
  <c r="I57" i="6"/>
  <c r="K57" i="6" s="1"/>
  <c r="H57" i="6"/>
  <c r="I56" i="6"/>
  <c r="J56" i="6" s="1"/>
  <c r="H56" i="6"/>
  <c r="I55" i="6"/>
  <c r="J55" i="6" s="1"/>
  <c r="H55" i="6"/>
  <c r="I54" i="6"/>
  <c r="J54" i="6" s="1"/>
  <c r="H54" i="6"/>
  <c r="I53" i="6"/>
  <c r="K53" i="6" s="1"/>
  <c r="H53" i="6"/>
  <c r="I52" i="6"/>
  <c r="J52" i="6" s="1"/>
  <c r="H52" i="6"/>
  <c r="I51" i="6"/>
  <c r="J51" i="6" s="1"/>
  <c r="H51" i="6"/>
  <c r="I50" i="6"/>
  <c r="K50" i="6" s="1"/>
  <c r="H50" i="6"/>
  <c r="I49" i="6"/>
  <c r="J49" i="6" s="1"/>
  <c r="H49" i="6"/>
  <c r="I48" i="6"/>
  <c r="K48" i="6" s="1"/>
  <c r="H48" i="6"/>
  <c r="I47" i="6"/>
  <c r="J47" i="6" s="1"/>
  <c r="H47" i="6"/>
  <c r="I46" i="6"/>
  <c r="J46" i="6" s="1"/>
  <c r="H46" i="6"/>
  <c r="I45" i="6"/>
  <c r="J45" i="6" s="1"/>
  <c r="H45" i="6"/>
  <c r="I44" i="6"/>
  <c r="J44" i="6" s="1"/>
  <c r="H44" i="6"/>
  <c r="I43" i="6"/>
  <c r="K43" i="6" s="1"/>
  <c r="H43" i="6"/>
  <c r="I42" i="6"/>
  <c r="J42" i="6" s="1"/>
  <c r="H42" i="6"/>
  <c r="I41" i="6"/>
  <c r="J41" i="6" s="1"/>
  <c r="H41" i="6"/>
  <c r="I40" i="6"/>
  <c r="J40" i="6" s="1"/>
  <c r="H40" i="6"/>
  <c r="I39" i="6"/>
  <c r="K39" i="6" s="1"/>
  <c r="H39" i="6"/>
  <c r="I38" i="6"/>
  <c r="J38" i="6" s="1"/>
  <c r="H38" i="6"/>
  <c r="I37" i="6"/>
  <c r="K37" i="6" s="1"/>
  <c r="H37" i="6"/>
  <c r="I36" i="6"/>
  <c r="J36" i="6" s="1"/>
  <c r="H36" i="6"/>
  <c r="I35" i="6"/>
  <c r="J35" i="6" s="1"/>
  <c r="H35" i="6"/>
  <c r="I34" i="6"/>
  <c r="J34" i="6" s="1"/>
  <c r="H34" i="6"/>
  <c r="I33" i="6"/>
  <c r="K33" i="6" s="1"/>
  <c r="H33" i="6"/>
  <c r="I32" i="6"/>
  <c r="J32" i="6" s="1"/>
  <c r="H32" i="6"/>
  <c r="I31" i="6"/>
  <c r="J31" i="6" s="1"/>
  <c r="H31" i="6"/>
  <c r="I30" i="6"/>
  <c r="K30" i="6" s="1"/>
  <c r="H30" i="6"/>
  <c r="I29" i="6"/>
  <c r="J29" i="6" s="1"/>
  <c r="H29" i="6"/>
  <c r="I28" i="6"/>
  <c r="K28" i="6" s="1"/>
  <c r="H28" i="6"/>
  <c r="I27" i="6"/>
  <c r="J27" i="6" s="1"/>
  <c r="H27" i="6"/>
  <c r="I26" i="6"/>
  <c r="K26" i="6" s="1"/>
  <c r="H26" i="6"/>
  <c r="I25" i="6"/>
  <c r="J25" i="6" s="1"/>
  <c r="H25" i="6"/>
  <c r="I24" i="6"/>
  <c r="K24" i="6" s="1"/>
  <c r="H24" i="6"/>
  <c r="I23" i="6"/>
  <c r="J23" i="6" s="1"/>
  <c r="H23" i="6"/>
  <c r="I22" i="6"/>
  <c r="J22" i="6" s="1"/>
  <c r="H22" i="6"/>
  <c r="I21" i="6"/>
  <c r="K21" i="6" s="1"/>
  <c r="H21" i="6"/>
  <c r="I20" i="6"/>
  <c r="J20" i="6" s="1"/>
  <c r="H20" i="6"/>
  <c r="I19" i="6"/>
  <c r="K19" i="6" s="1"/>
  <c r="H19" i="6"/>
  <c r="I18" i="6"/>
  <c r="J18" i="6" s="1"/>
  <c r="H18" i="6"/>
  <c r="I17" i="6"/>
  <c r="J17" i="6" s="1"/>
  <c r="H17" i="6"/>
  <c r="I16" i="6"/>
  <c r="J16" i="6" s="1"/>
  <c r="H16" i="6"/>
  <c r="I15" i="6"/>
  <c r="K15" i="6" s="1"/>
  <c r="H15" i="6"/>
  <c r="I14" i="6"/>
  <c r="J14" i="6" s="1"/>
  <c r="H14" i="6"/>
  <c r="I13" i="6"/>
  <c r="K13" i="6" s="1"/>
  <c r="H13" i="6"/>
  <c r="I12" i="6"/>
  <c r="J12" i="6" s="1"/>
  <c r="H12" i="6"/>
  <c r="I11" i="6"/>
  <c r="K11" i="6" s="1"/>
  <c r="H11" i="6"/>
  <c r="I10" i="6"/>
  <c r="J10" i="6" s="1"/>
  <c r="H10" i="6"/>
  <c r="I9" i="6"/>
  <c r="K9" i="6" s="1"/>
  <c r="H9" i="6"/>
  <c r="I8" i="6"/>
  <c r="J8" i="6" s="1"/>
  <c r="H8" i="6"/>
  <c r="I7" i="6"/>
  <c r="J7" i="6" s="1"/>
  <c r="H7" i="6"/>
  <c r="I6" i="6"/>
  <c r="J6" i="6" s="1"/>
  <c r="H6" i="6"/>
  <c r="I5" i="6"/>
  <c r="K5" i="6" s="1"/>
  <c r="H5" i="6"/>
  <c r="I4" i="6"/>
  <c r="J4" i="6" s="1"/>
  <c r="H4" i="6"/>
  <c r="I3" i="6"/>
  <c r="K3" i="6" s="1"/>
  <c r="H3" i="6"/>
  <c r="I2" i="6"/>
  <c r="J2" i="6" s="1"/>
  <c r="H2" i="6"/>
  <c r="K49" i="3" a="1"/>
  <c r="K49" i="3" s="1"/>
  <c r="H49" i="3"/>
  <c r="G49" i="3"/>
  <c r="K48" i="3" a="1"/>
  <c r="K48" i="3" s="1"/>
  <c r="H48" i="3"/>
  <c r="G48" i="3"/>
  <c r="K47" i="3" a="1"/>
  <c r="K47" i="3" s="1"/>
  <c r="H47" i="3"/>
  <c r="G47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G11" i="3"/>
  <c r="C11" i="3"/>
  <c r="B11" i="3"/>
  <c r="G10" i="3"/>
  <c r="C10" i="3"/>
  <c r="B10" i="3"/>
  <c r="B3" i="3"/>
  <c r="A36" i="2"/>
  <c r="A35" i="2"/>
  <c r="A34" i="2"/>
  <c r="E28" i="2"/>
  <c r="A28" i="2"/>
  <c r="E27" i="2"/>
  <c r="A27" i="2"/>
  <c r="E26" i="2"/>
  <c r="A26" i="2"/>
  <c r="A20" i="2"/>
  <c r="E20" i="2" s="1"/>
  <c r="A19" i="2"/>
  <c r="E19" i="2" s="1"/>
  <c r="A18" i="2"/>
  <c r="E18" i="2" s="1"/>
  <c r="F6" i="2"/>
  <c r="E6" i="2"/>
  <c r="F5" i="2"/>
  <c r="E5" i="2"/>
  <c r="B5" i="2"/>
  <c r="F4" i="2"/>
  <c r="E4" i="2"/>
  <c r="B4" i="2"/>
  <c r="D5" i="8" s="1"/>
  <c r="C27" i="2" s="1"/>
  <c r="B3" i="2"/>
  <c r="J236" i="6" l="1"/>
  <c r="K236" i="6"/>
  <c r="K238" i="6"/>
  <c r="J238" i="6"/>
  <c r="K31" i="6"/>
  <c r="K121" i="6"/>
  <c r="K178" i="6"/>
  <c r="K29" i="6"/>
  <c r="K61" i="6"/>
  <c r="J138" i="6"/>
  <c r="K104" i="6"/>
  <c r="J162" i="6"/>
  <c r="K144" i="6"/>
  <c r="K55" i="6"/>
  <c r="J21" i="6"/>
  <c r="K35" i="6"/>
  <c r="J170" i="6"/>
  <c r="J11" i="6"/>
  <c r="J48" i="6"/>
  <c r="K168" i="6"/>
  <c r="K23" i="6"/>
  <c r="J154" i="6"/>
  <c r="J164" i="6"/>
  <c r="K152" i="6"/>
  <c r="J176" i="6"/>
  <c r="K72" i="6"/>
  <c r="J160" i="6"/>
  <c r="K65" i="6"/>
  <c r="J136" i="6"/>
  <c r="J142" i="6"/>
  <c r="K4" i="6"/>
  <c r="K51" i="6"/>
  <c r="K111" i="6"/>
  <c r="J156" i="6"/>
  <c r="J172" i="6"/>
  <c r="K45" i="6"/>
  <c r="K97" i="6"/>
  <c r="K130" i="6"/>
  <c r="J140" i="6"/>
  <c r="J180" i="6"/>
  <c r="K14" i="6"/>
  <c r="J39" i="6"/>
  <c r="J91" i="6"/>
  <c r="K117" i="6"/>
  <c r="K128" i="6"/>
  <c r="K58" i="6"/>
  <c r="K94" i="6"/>
  <c r="J101" i="6"/>
  <c r="K114" i="6"/>
  <c r="K124" i="6"/>
  <c r="J150" i="6"/>
  <c r="J182" i="6"/>
  <c r="K7" i="6"/>
  <c r="K17" i="6"/>
  <c r="J30" i="6"/>
  <c r="K49" i="6"/>
  <c r="J105" i="6"/>
  <c r="K108" i="6"/>
  <c r="J134" i="6"/>
  <c r="J148" i="6"/>
  <c r="J174" i="6"/>
  <c r="J5" i="6"/>
  <c r="K47" i="6"/>
  <c r="K63" i="6"/>
  <c r="J85" i="6"/>
  <c r="J132" i="6"/>
  <c r="J146" i="6"/>
  <c r="J166" i="6"/>
  <c r="B6" i="2"/>
  <c r="E9" i="7" s="1"/>
  <c r="B35" i="2" s="1"/>
  <c r="K25" i="6"/>
  <c r="K38" i="6"/>
  <c r="K41" i="6"/>
  <c r="K71" i="6"/>
  <c r="J158" i="6"/>
  <c r="E5" i="3"/>
  <c r="K20" i="6"/>
  <c r="J28" i="6"/>
  <c r="J79" i="6"/>
  <c r="K88" i="6"/>
  <c r="J103" i="6"/>
  <c r="K120" i="6"/>
  <c r="K8" i="6"/>
  <c r="J26" i="6"/>
  <c r="K44" i="6"/>
  <c r="K52" i="6"/>
  <c r="K68" i="6"/>
  <c r="J95" i="6"/>
  <c r="K112" i="6"/>
  <c r="J115" i="6"/>
  <c r="J127" i="6"/>
  <c r="J24" i="6"/>
  <c r="K32" i="6"/>
  <c r="J50" i="6"/>
  <c r="J59" i="6"/>
  <c r="K84" i="6"/>
  <c r="K99" i="6"/>
  <c r="J102" i="6"/>
  <c r="K107" i="6"/>
  <c r="J119" i="6"/>
  <c r="J15" i="6"/>
  <c r="K27" i="6"/>
  <c r="J69" i="6"/>
  <c r="J75" i="6"/>
  <c r="K78" i="6"/>
  <c r="K81" i="6"/>
  <c r="K87" i="6"/>
  <c r="B5" i="3"/>
  <c r="D16" i="3"/>
  <c r="D20" i="3"/>
  <c r="K123" i="6"/>
  <c r="J3" i="6"/>
  <c r="K12" i="6"/>
  <c r="J19" i="6"/>
  <c r="K36" i="6"/>
  <c r="J43" i="6"/>
  <c r="K56" i="6"/>
  <c r="J67" i="6"/>
  <c r="K76" i="6"/>
  <c r="J83" i="6"/>
  <c r="K92" i="6"/>
  <c r="K10" i="6"/>
  <c r="K34" i="6"/>
  <c r="K54" i="6"/>
  <c r="K74" i="6"/>
  <c r="K90" i="6"/>
  <c r="K110" i="6"/>
  <c r="K126" i="6"/>
  <c r="K6" i="6"/>
  <c r="J13" i="6"/>
  <c r="K22" i="6"/>
  <c r="J37" i="6"/>
  <c r="K46" i="6"/>
  <c r="J57" i="6"/>
  <c r="K70" i="6"/>
  <c r="J77" i="6"/>
  <c r="K86" i="6"/>
  <c r="J93" i="6"/>
  <c r="K106" i="6"/>
  <c r="J113" i="6"/>
  <c r="K122" i="6"/>
  <c r="J129" i="6"/>
  <c r="J131" i="6"/>
  <c r="J133" i="6"/>
  <c r="J135" i="6"/>
  <c r="J137" i="6"/>
  <c r="J139" i="6"/>
  <c r="J141" i="6"/>
  <c r="J143" i="6"/>
  <c r="J145" i="6"/>
  <c r="J147" i="6"/>
  <c r="J149" i="6"/>
  <c r="J151" i="6"/>
  <c r="J153" i="6"/>
  <c r="J155" i="6"/>
  <c r="J157" i="6"/>
  <c r="J159" i="6"/>
  <c r="J161" i="6"/>
  <c r="J163" i="6"/>
  <c r="J165" i="6"/>
  <c r="J167" i="6"/>
  <c r="J169" i="6"/>
  <c r="J171" i="6"/>
  <c r="J173" i="6"/>
  <c r="J175" i="6"/>
  <c r="J177" i="6"/>
  <c r="J179" i="6"/>
  <c r="J181" i="6"/>
  <c r="K2" i="6"/>
  <c r="J9" i="6"/>
  <c r="K18" i="6"/>
  <c r="J33" i="6"/>
  <c r="K42" i="6"/>
  <c r="J53" i="6"/>
  <c r="J62" i="6"/>
  <c r="J64" i="6"/>
  <c r="K66" i="6"/>
  <c r="J73" i="6"/>
  <c r="K82" i="6"/>
  <c r="J89" i="6"/>
  <c r="J98" i="6"/>
  <c r="K100" i="6"/>
  <c r="J109" i="6"/>
  <c r="K118" i="6"/>
  <c r="J125" i="6"/>
  <c r="K16" i="6"/>
  <c r="K40" i="6"/>
  <c r="K60" i="6"/>
  <c r="K80" i="6"/>
  <c r="K96" i="6"/>
  <c r="K116" i="6"/>
  <c r="D14" i="3"/>
  <c r="D12" i="3"/>
  <c r="D17" i="3"/>
  <c r="D21" i="3"/>
  <c r="D10" i="3"/>
  <c r="D11" i="3"/>
  <c r="D18" i="3"/>
  <c r="D15" i="3"/>
  <c r="D19" i="3"/>
  <c r="D13" i="3"/>
  <c r="E5" i="8"/>
  <c r="K184" i="6"/>
  <c r="K186" i="6"/>
  <c r="K188" i="6"/>
  <c r="K190" i="6"/>
  <c r="K192" i="6"/>
  <c r="K194" i="6"/>
  <c r="K196" i="6"/>
  <c r="K198" i="6"/>
  <c r="K200" i="6"/>
  <c r="K202" i="6"/>
  <c r="K204" i="6"/>
  <c r="K206" i="6"/>
  <c r="K208" i="6"/>
  <c r="K210" i="6"/>
  <c r="K212" i="6"/>
  <c r="K214" i="6"/>
  <c r="K216" i="6"/>
  <c r="K218" i="6"/>
  <c r="K220" i="6"/>
  <c r="K222" i="6"/>
  <c r="C10" i="7"/>
  <c r="C20" i="2" s="1"/>
  <c r="D4" i="8"/>
  <c r="C26" i="2" s="1"/>
  <c r="C9" i="7"/>
  <c r="C8" i="7"/>
  <c r="C18" i="2" s="1"/>
  <c r="J183" i="6"/>
  <c r="J185" i="6"/>
  <c r="J187" i="6"/>
  <c r="J189" i="6"/>
  <c r="J191" i="6"/>
  <c r="J193" i="6"/>
  <c r="J195" i="6"/>
  <c r="J197" i="6"/>
  <c r="J199" i="6"/>
  <c r="J201" i="6"/>
  <c r="J203" i="6"/>
  <c r="J205" i="6"/>
  <c r="J207" i="6"/>
  <c r="J209" i="6"/>
  <c r="J211" i="6"/>
  <c r="J213" i="6"/>
  <c r="J215" i="6"/>
  <c r="J217" i="6"/>
  <c r="J219" i="6"/>
  <c r="J221" i="6"/>
  <c r="D6" i="8"/>
  <c r="C28" i="2" s="1"/>
  <c r="B6" i="3" l="1"/>
  <c r="E10" i="7"/>
  <c r="B36" i="2" s="1"/>
  <c r="B7" i="2"/>
  <c r="E8" i="7"/>
  <c r="B34" i="2" s="1"/>
  <c r="E6" i="3"/>
  <c r="E6" i="8"/>
  <c r="D28" i="2" s="1"/>
  <c r="D10" i="7"/>
  <c r="D20" i="2" s="1"/>
  <c r="F20" i="2" s="1"/>
  <c r="G20" i="2" s="1"/>
  <c r="D9" i="7"/>
  <c r="C19" i="2"/>
  <c r="E4" i="8"/>
  <c r="G5" i="8"/>
  <c r="F27" i="2" s="1"/>
  <c r="G27" i="2" s="1"/>
  <c r="D27" i="2"/>
  <c r="D8" i="7"/>
  <c r="F10" i="7" l="1"/>
  <c r="H10" i="7" s="1"/>
  <c r="B12" i="2" s="1"/>
  <c r="G6" i="8"/>
  <c r="F28" i="2" s="1"/>
  <c r="G28" i="2" s="1"/>
  <c r="G4" i="8"/>
  <c r="F26" i="2" s="1"/>
  <c r="G26" i="2" s="1"/>
  <c r="D26" i="2"/>
  <c r="F8" i="7"/>
  <c r="H8" i="7" s="1"/>
  <c r="B10" i="2" s="1"/>
  <c r="D18" i="2"/>
  <c r="F18" i="2" s="1"/>
  <c r="G18" i="2" s="1"/>
  <c r="F9" i="7"/>
  <c r="H9" i="7" s="1"/>
  <c r="B11" i="2" s="1"/>
  <c r="D19" i="2"/>
  <c r="F19" i="2" s="1"/>
  <c r="G19" i="2" s="1"/>
</calcChain>
</file>

<file path=xl/sharedStrings.xml><?xml version="1.0" encoding="utf-8"?>
<sst xmlns="http://schemas.openxmlformats.org/spreadsheetml/2006/main" count="3197" uniqueCount="1270">
  <si>
    <t>Notes:</t>
  </si>
  <si>
    <t>Quick Start Guide:</t>
  </si>
  <si>
    <t>1. Add all Purchase entries first.</t>
  </si>
  <si>
    <t>2. Add Sales only after item exists in Purchases.</t>
  </si>
  <si>
    <t>3. Mark sale status as Completed when payment is fully received.</t>
  </si>
  <si>
    <t>4. Enter settlements only when real money is exchanged.</t>
  </si>
  <si>
    <t>5. Check Summary tab for final Pay/Receive for each partner.</t>
  </si>
  <si>
    <t>1. Totals reference existing Purchases and Sales sheets directly.</t>
  </si>
  <si>
    <t>2. Profit is only calculated on Completed sales (Status = "Completed").</t>
  </si>
  <si>
    <t>3. Partner details and settlements are maintained in PartnerShares and Cash Pool sheets.</t>
  </si>
  <si>
    <t>5. Cash Pool Logic:</t>
  </si>
  <si>
    <t xml:space="preserve">   - Cash Pool shows partner contributions &amp; withdrawals relative to each other.</t>
  </si>
  <si>
    <t xml:space="preserve">   - Positive = To Pay | Negative = To Pnegative to receive</t>
  </si>
  <si>
    <t>6. PartnerShares Sheet:</t>
  </si>
  <si>
    <t xml:space="preserve">   - Tracks each partner’s contribution, profit share, settlements, and net balance.</t>
  </si>
  <si>
    <t xml:space="preserve">   - Final value shows how much a partner should Pay/Receive after all adjustments.</t>
  </si>
  <si>
    <t xml:space="preserve">   - Positive = To Receive | Negative = To Pay.</t>
  </si>
  <si>
    <t>7. Settlements:</t>
  </si>
  <si>
    <t xml:space="preserve">   - Cash Pool settlements → enter in Cash Pool sheet.</t>
  </si>
  <si>
    <t xml:space="preserve">   - Profit/Partner settlements → enter in PartnerShares sheet.</t>
  </si>
  <si>
    <t xml:space="preserve">   - Summary auto-updates after every settlement.</t>
  </si>
  <si>
    <t>8. Summary Page:</t>
  </si>
  <si>
    <t xml:space="preserve">   - Shows totals for purchases, sales, profits, settlements, and partner positions.</t>
  </si>
  <si>
    <t xml:space="preserve">   - Final Pay/Receive amounts come only from summarized data.</t>
  </si>
  <si>
    <t>9. Sales Logic:</t>
  </si>
  <si>
    <t xml:space="preserve">   - Profit is calculated ONLY when Sale Status = Completed.</t>
  </si>
  <si>
    <t xml:space="preserve">   - Pending sales do NOT affect profit or partner balances.</t>
  </si>
  <si>
    <t>10. Usage Flow:</t>
  </si>
  <si>
    <t xml:space="preserve">   Step 1 → Add Purchase entries.</t>
  </si>
  <si>
    <t xml:space="preserve">   Step 2 → Add Sales entries after item exists in Purchases.</t>
  </si>
  <si>
    <t xml:space="preserve">   Step 3 → Update Sale Status (Pending → Completed).</t>
  </si>
  <si>
    <t xml:space="preserve">   Step 4 → Record any actual cash settlements.</t>
  </si>
  <si>
    <t>11. Universal Rule (Important):</t>
  </si>
  <si>
    <t xml:space="preserve">   -  Contribution Summary (Assets): Tracks what you GAVE: Positive (+): You gave more than your share. The business owes you money. (Receive)</t>
  </si>
  <si>
    <t xml:space="preserve">   - Cash Pool (Liabilities): Tracks what you are HOLDING - Positive (+): You are holding more cash than your share. You owe that money to the partners. (Pay)</t>
  </si>
  <si>
    <t>12. Editing Guidelines:</t>
  </si>
  <si>
    <t xml:space="preserve">   - Green cells = Manual entry allowed.</t>
  </si>
  <si>
    <t xml:space="preserve">   - White/Grey cells = Auto-calculated (Do NOT edit).</t>
  </si>
  <si>
    <t>This Notes tab helps anyone understand the full workflow clearly and consistently.</t>
  </si>
  <si>
    <t>13. Profit settlement is not required when Cash Pool is regularly settled; Profit summary is kept only for FYI.</t>
  </si>
  <si>
    <t>Chiraath - Business Summary</t>
  </si>
  <si>
    <t>Total Purchases (₹)</t>
  </si>
  <si>
    <t>Partner</t>
  </si>
  <si>
    <t>Share % (Cash/Profit)</t>
  </si>
  <si>
    <t>Total Sales (₹ - Completed only)</t>
  </si>
  <si>
    <t>Total Sales (₹ - All rows)</t>
  </si>
  <si>
    <t>Profit / (Loss) (₹, on Completed sales only)</t>
  </si>
  <si>
    <t>Profit Status</t>
  </si>
  <si>
    <t>Net Position After Settlements (₹)</t>
  </si>
  <si>
    <t>Rajna</t>
  </si>
  <si>
    <t>Anoop</t>
  </si>
  <si>
    <t>Rameez</t>
  </si>
  <si>
    <t>Contribution Summary</t>
  </si>
  <si>
    <t>Total Paid (₹)</t>
  </si>
  <si>
    <t>Target (Equal 1/3)</t>
  </si>
  <si>
    <t xml:space="preserve"> Excess Paid (Refund Due)(₹)</t>
  </si>
  <si>
    <t>Settled So Far</t>
  </si>
  <si>
    <t>Pending Balance (+ Receive / - Pay)</t>
  </si>
  <si>
    <t>Action</t>
  </si>
  <si>
    <t>Cash Pool Summary</t>
  </si>
  <si>
    <t>Cash Collected (₹)</t>
  </si>
  <si>
    <t>Target Cash (₹)</t>
  </si>
  <si>
    <t>Excess Cash Held (Debt to Pool)(₹)</t>
  </si>
  <si>
    <t>Cash Transferred So Far</t>
  </si>
  <si>
    <t>Pending Balance (+ Pay / - Receive)</t>
  </si>
  <si>
    <t>Profit Summary</t>
  </si>
  <si>
    <t>Profit Share (₹)</t>
  </si>
  <si>
    <t>Chiraath Boutique – Business Dashboard</t>
  </si>
  <si>
    <t>Last Updated</t>
  </si>
  <si>
    <t>Total Sales (₹ - Completed)</t>
  </si>
  <si>
    <t>Total Profit (₹)</t>
  </si>
  <si>
    <t>Pending Stock Value (₹)</t>
  </si>
  <si>
    <t>Filter Year:</t>
  </si>
  <si>
    <t>Month</t>
  </si>
  <si>
    <t>Purchases (₹)</t>
  </si>
  <si>
    <t>Sales (₹)</t>
  </si>
  <si>
    <t>Net Cash Flow (₹)</t>
  </si>
  <si>
    <t>Metric</t>
  </si>
  <si>
    <t>Qty</t>
  </si>
  <si>
    <t>Jan</t>
  </si>
  <si>
    <t>Qty Sold</t>
  </si>
  <si>
    <t>Feb</t>
  </si>
  <si>
    <t>Qty Pending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</si>
  <si>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</si>
  <si>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</si>
  <si>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</si>
  <si>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</si>
  <si>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</si>
  <si>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</si>
  <si>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</si>
  <si>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</si>
  <si>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</si>
  <si>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</si>
  <si>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</si>
  <si>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Pending Value (₹)</t>
  </si>
  <si>
    <t>Saree</t>
  </si>
  <si>
    <t>Salwar</t>
  </si>
  <si>
    <t>Kurti</t>
  </si>
  <si>
    <t>Date</t>
  </si>
  <si>
    <t>Amount (₹)</t>
  </si>
  <si>
    <t>Notes</t>
  </si>
  <si>
    <t>Initial contribution</t>
  </si>
  <si>
    <t>Initial contribution (Anoop transferered 35k)</t>
  </si>
  <si>
    <t>Davani for Priya</t>
  </si>
  <si>
    <t>Kannur courier</t>
  </si>
  <si>
    <t>Recharge</t>
  </si>
  <si>
    <t>Courier cover</t>
  </si>
  <si>
    <t>Courier Assam</t>
  </si>
  <si>
    <t>New purchases Salwars</t>
  </si>
  <si>
    <t>Cotton Saree</t>
  </si>
  <si>
    <t>Speed post</t>
  </si>
  <si>
    <t>Komappa</t>
  </si>
  <si>
    <t>Calicut fabrics</t>
  </si>
  <si>
    <t>Whatsapp &amp; Inta ads</t>
  </si>
  <si>
    <t>Khadee sarees</t>
  </si>
  <si>
    <t>Hyderabad Sarees</t>
  </si>
  <si>
    <t>Aanchal</t>
  </si>
  <si>
    <t>Kannur Salwars</t>
  </si>
  <si>
    <t>Komappas</t>
  </si>
  <si>
    <t>Postal charges</t>
  </si>
  <si>
    <t>Domain Registration (3 years)</t>
  </si>
  <si>
    <t>Aanchal (Shidhin)</t>
  </si>
  <si>
    <t>Aanchal (Seeniya)</t>
  </si>
  <si>
    <t>Pothys</t>
  </si>
  <si>
    <t>Zinfab</t>
  </si>
  <si>
    <t>speed post</t>
  </si>
  <si>
    <t>Misc expenses - cover, speed post, sticker</t>
  </si>
  <si>
    <t>Dec, Jan &amp; Feb boosting</t>
  </si>
  <si>
    <t>Aanchal cotton salwars</t>
  </si>
  <si>
    <t>Khadee and Cotton Silk Sarees</t>
  </si>
  <si>
    <t>March boosting</t>
  </si>
  <si>
    <t>Courier Charges Bangalore</t>
  </si>
  <si>
    <t>Boosting - March &amp; April</t>
  </si>
  <si>
    <t>Boostin charges</t>
  </si>
  <si>
    <t>Kannur Salwar Purchase</t>
  </si>
  <si>
    <t>Courier covers and butter papers</t>
  </si>
  <si>
    <t>Postal parcel charges</t>
  </si>
  <si>
    <t>Postal</t>
  </si>
  <si>
    <t>Parcel Charges</t>
  </si>
  <si>
    <t>Customer</t>
  </si>
  <si>
    <t>Payment Method</t>
  </si>
  <si>
    <t>Partner Received</t>
  </si>
  <si>
    <t>Size</t>
  </si>
  <si>
    <t>Color</t>
  </si>
  <si>
    <t>Comments</t>
  </si>
  <si>
    <t>Status</t>
  </si>
  <si>
    <t>Chris</t>
  </si>
  <si>
    <t>GPay</t>
  </si>
  <si>
    <t>Completed</t>
  </si>
  <si>
    <t>Susmitha</t>
  </si>
  <si>
    <t>Cash</t>
  </si>
  <si>
    <t>Jisha</t>
  </si>
  <si>
    <t>Sreejesh</t>
  </si>
  <si>
    <t>Latha</t>
  </si>
  <si>
    <t>Beena (Knr)</t>
  </si>
  <si>
    <t>Binoy</t>
  </si>
  <si>
    <t>Suresh (PVB)</t>
  </si>
  <si>
    <t>Raji</t>
  </si>
  <si>
    <t>Divya</t>
  </si>
  <si>
    <t>Karassery Bank</t>
  </si>
  <si>
    <t>Munni</t>
  </si>
  <si>
    <t>Indu</t>
  </si>
  <si>
    <t>Gpay</t>
  </si>
  <si>
    <t>Bhaskaran</t>
  </si>
  <si>
    <t>Leena</t>
  </si>
  <si>
    <t>Sindhu</t>
  </si>
  <si>
    <t>Sudisha</t>
  </si>
  <si>
    <t>Denny</t>
  </si>
  <si>
    <t>Amina</t>
  </si>
  <si>
    <t>Lulu</t>
  </si>
  <si>
    <t>Deepthi</t>
  </si>
  <si>
    <t>Jasin</t>
  </si>
  <si>
    <t>Salmath</t>
  </si>
  <si>
    <t>Malini</t>
  </si>
  <si>
    <t>Priya</t>
  </si>
  <si>
    <t>Saida</t>
  </si>
  <si>
    <t>Arun Sir</t>
  </si>
  <si>
    <t>Dona</t>
  </si>
  <si>
    <t>Yassar</t>
  </si>
  <si>
    <t>Anju</t>
  </si>
  <si>
    <t>Karassery Account</t>
  </si>
  <si>
    <t>Nishitha</t>
  </si>
  <si>
    <t>Asha Rose</t>
  </si>
  <si>
    <t>Susmi</t>
  </si>
  <si>
    <t>Dilna</t>
  </si>
  <si>
    <t>Binija</t>
  </si>
  <si>
    <t>Baby Khadeeja</t>
  </si>
  <si>
    <t>Athulya</t>
  </si>
  <si>
    <t>Shinoob friend</t>
  </si>
  <si>
    <t>Silpa</t>
  </si>
  <si>
    <t>Sreelakshmi</t>
  </si>
  <si>
    <t>Aasa</t>
  </si>
  <si>
    <t>Haseena</t>
  </si>
  <si>
    <t>Pramitha</t>
  </si>
  <si>
    <t>Shimna</t>
  </si>
  <si>
    <t>Anchal 3 salwars</t>
  </si>
  <si>
    <t>Yaaser</t>
  </si>
  <si>
    <t>Shanu</t>
  </si>
  <si>
    <t>Chanderi silk salwar</t>
  </si>
  <si>
    <t>Ranju</t>
  </si>
  <si>
    <t>Black Salwar (XXL)</t>
  </si>
  <si>
    <t>Aruna</t>
  </si>
  <si>
    <t>Silk Saree, Kalyani yellow saree, Banarasi biscuit, Banarasi blue, Pashmina saree, Chanderi violet saree</t>
  </si>
  <si>
    <t>Banarasi Chikku</t>
  </si>
  <si>
    <t>Resmi</t>
  </si>
  <si>
    <t>Net banking</t>
  </si>
  <si>
    <t>Chanderi blue saree</t>
  </si>
  <si>
    <t>L</t>
  </si>
  <si>
    <t>Maroon - Silk Blend Salwar set</t>
  </si>
  <si>
    <t>Rishma</t>
  </si>
  <si>
    <t>Yellow Banarasi</t>
  </si>
  <si>
    <t>Yellow/Green Banarasi</t>
  </si>
  <si>
    <t>Chanderi rani pink saree</t>
  </si>
  <si>
    <t>Aanchal green floral &amp; Silk Saree</t>
  </si>
  <si>
    <t>Jyothi mol</t>
  </si>
  <si>
    <t>Prema</t>
  </si>
  <si>
    <t>XXL</t>
  </si>
  <si>
    <t>Brick Red Salwar Elephant print</t>
  </si>
  <si>
    <t>Sruthi</t>
  </si>
  <si>
    <t>Anchal Off white/blue dupatta salwar, red wine salwar, Anchal black salwar</t>
  </si>
  <si>
    <t>Nalini</t>
  </si>
  <si>
    <t>Tie &amp; Dye Rani Pink</t>
  </si>
  <si>
    <t>gift(Khadi/Salwars) - White violet salwar, Khadi</t>
  </si>
  <si>
    <t>gift(Khadi/Salwars) - Khadi</t>
  </si>
  <si>
    <t>Girija</t>
  </si>
  <si>
    <t>Viscose Rayan Saree, Banarasi Chikku green, Khadi, Rayon multi colored Salwar(XL)</t>
  </si>
  <si>
    <t>Malu</t>
  </si>
  <si>
    <t>Golden Banarasi, Cotton Silk (contrast colors), Kalyani Cotton Orange</t>
  </si>
  <si>
    <t>Sourabhya</t>
  </si>
  <si>
    <t>XL</t>
  </si>
  <si>
    <t>Jute Kurti</t>
  </si>
  <si>
    <t>Shajeena (TVM)</t>
  </si>
  <si>
    <t>Vijina (Kannur)</t>
  </si>
  <si>
    <t>Banarasi Golden Yellow</t>
  </si>
  <si>
    <t>Nisha Nair (Alappuzha)</t>
  </si>
  <si>
    <t>Parrot Green Banarasi</t>
  </si>
  <si>
    <t xml:space="preserve">Banarasi Saree - Biscuit </t>
  </si>
  <si>
    <t>Aanchal Salwars</t>
  </si>
  <si>
    <t>Shiji</t>
  </si>
  <si>
    <t>Banarasi parrot green, vneck peach(L)</t>
  </si>
  <si>
    <t>Lathika</t>
  </si>
  <si>
    <t>Indig blue salwar (L)</t>
  </si>
  <si>
    <t>Sushitha</t>
  </si>
  <si>
    <t>Roman Silk(XL)</t>
  </si>
  <si>
    <t>Off white saree</t>
  </si>
  <si>
    <t>Shidhin</t>
  </si>
  <si>
    <t>Plus size white salwar - XXXL</t>
  </si>
  <si>
    <t>Aswathy (TVM)</t>
  </si>
  <si>
    <t>Biscuit Banarasi</t>
  </si>
  <si>
    <t>Priya Reji (Alappuzha)</t>
  </si>
  <si>
    <t>Divya (Kollam)</t>
  </si>
  <si>
    <t>Kalyani Cotton</t>
  </si>
  <si>
    <t>Resmi (Thrissur)</t>
  </si>
  <si>
    <t>Ananya(TVM)</t>
  </si>
  <si>
    <t>Liji(Vadakara)</t>
  </si>
  <si>
    <t>Dr Annie Syam</t>
  </si>
  <si>
    <t>2 Tusser embroidery(blue/green), Yellow tissue silk</t>
  </si>
  <si>
    <t>Neethu(Palakkad)</t>
  </si>
  <si>
    <t>Viscose Chokda(blue)</t>
  </si>
  <si>
    <t>Amalu(Kottayam)</t>
  </si>
  <si>
    <t>Viscose Georgette</t>
  </si>
  <si>
    <t>Linu (Kottayam)</t>
  </si>
  <si>
    <t>Seeniya</t>
  </si>
  <si>
    <t>Aanchal maroon salwar</t>
  </si>
  <si>
    <t>Rinsha</t>
  </si>
  <si>
    <t>Banarasi Black, Black mul mul cotton saree</t>
  </si>
  <si>
    <t>Simi (TVM)</t>
  </si>
  <si>
    <t>Dusty mauve</t>
  </si>
  <si>
    <t>Anu (kottayam)</t>
  </si>
  <si>
    <t>Remya (Palakkad)</t>
  </si>
  <si>
    <t>Viscose Chokda(green)</t>
  </si>
  <si>
    <t>Asha(Navaikulam)</t>
  </si>
  <si>
    <t>Banarasi Chikku maroon</t>
  </si>
  <si>
    <t>Susheela (Kannur)</t>
  </si>
  <si>
    <t>Indigo Ajrakh Salwar</t>
  </si>
  <si>
    <t>Anitha (Pathanamthitta)</t>
  </si>
  <si>
    <t>Ambika (Pazhanji)</t>
  </si>
  <si>
    <t>Biscuit Banarasi, Pink Banarasi</t>
  </si>
  <si>
    <t>Nisha Sajith (Chengannur)</t>
  </si>
  <si>
    <t>Preethy Thomas (Chingavanam)</t>
  </si>
  <si>
    <t>Golden yellow Banarasi</t>
  </si>
  <si>
    <t>Annu</t>
  </si>
  <si>
    <t>Light Violet Semi Silk</t>
  </si>
  <si>
    <t>Sreeja (TVM)</t>
  </si>
  <si>
    <t>Chokda Green</t>
  </si>
  <si>
    <t>Vinod(kottayam)</t>
  </si>
  <si>
    <t>Salini(kottayam)</t>
  </si>
  <si>
    <t>cash</t>
  </si>
  <si>
    <t>Short Kurta - M</t>
  </si>
  <si>
    <t>Rameez Relative</t>
  </si>
  <si>
    <t>Lavender Ajrakh Print Salwar(XXL):900, Violet Salwar:900</t>
  </si>
  <si>
    <t>Lethy Manoj(Thiruvalla)</t>
  </si>
  <si>
    <t>Lavender Banarasi</t>
  </si>
  <si>
    <t>Shylaja</t>
  </si>
  <si>
    <t>Black Linen Saree</t>
  </si>
  <si>
    <t>Rinsha friend</t>
  </si>
  <si>
    <t>Chanderi Soft Silk Salwar Set</t>
  </si>
  <si>
    <t>Jiji</t>
  </si>
  <si>
    <t>Mull Cotton Floral print with lace detailing</t>
  </si>
  <si>
    <t>Resmi (Tvm)</t>
  </si>
  <si>
    <t>Basheer</t>
  </si>
  <si>
    <t xml:space="preserve">Gpay </t>
  </si>
  <si>
    <t>Kota Doria (Natural off-white - Aqua blues-green design)</t>
  </si>
  <si>
    <t>Coffee brown semi silk</t>
  </si>
  <si>
    <t>Navya</t>
  </si>
  <si>
    <t>Mustard semi silk</t>
  </si>
  <si>
    <t>Laks Pillai</t>
  </si>
  <si>
    <t>Saranya Gopalakrishnan(Hyd)</t>
  </si>
  <si>
    <t>Semi Silk Black and Cotton Silk Green</t>
  </si>
  <si>
    <t>Rainbow saree &amp; Golden yellow with Butterfly on pallu</t>
  </si>
  <si>
    <t>Rajitha</t>
  </si>
  <si>
    <t>Tissue silk floral</t>
  </si>
  <si>
    <t>Priya (Hosur)</t>
  </si>
  <si>
    <t>Net kota saree - turquoise blue</t>
  </si>
  <si>
    <t>Haris (EKM)</t>
  </si>
  <si>
    <t>Maheswari Cotton Sil Red/Black</t>
  </si>
  <si>
    <t>Sheeja mol</t>
  </si>
  <si>
    <t>Coral Pink Salwar (XXL)</t>
  </si>
  <si>
    <t>Praneetha (Kochi)</t>
  </si>
  <si>
    <t>Chikkankari(L)</t>
  </si>
  <si>
    <t>Matka silk - Blue/Green</t>
  </si>
  <si>
    <t>Rameez Cousin</t>
  </si>
  <si>
    <t>Chikkankari(M)</t>
  </si>
  <si>
    <t>Off-white cotton 2-piece set with blue floral prints (XXL)</t>
  </si>
  <si>
    <t>Rayon Mutli colored salwar</t>
  </si>
  <si>
    <t>Vineet (External)</t>
  </si>
  <si>
    <t>Georgette maroon</t>
  </si>
  <si>
    <t>Sari</t>
  </si>
  <si>
    <t>Soft Cotton Peach with butterfly design</t>
  </si>
  <si>
    <t>Neethu</t>
  </si>
  <si>
    <t>Aanchal Maroon XXXL Salwar</t>
  </si>
  <si>
    <t>Viscose Georgette(Black Yellow), Net Kota Arrow, Linen Green with Golden Checks</t>
  </si>
  <si>
    <t>Shinoob</t>
  </si>
  <si>
    <t>Banarasi Yello &amp; Green, Tussar Silk Teal Blue, Green Cotton Silk</t>
  </si>
  <si>
    <t>Golden color tissue with flowers</t>
  </si>
  <si>
    <t>Jothika(Pkd)</t>
  </si>
  <si>
    <t>Matka silk - Blue/red</t>
  </si>
  <si>
    <t>Vineetha(Kottayam)</t>
  </si>
  <si>
    <t>Matka Silk - mustard</t>
  </si>
  <si>
    <t>Geemol Mathew (Kottayam)</t>
  </si>
  <si>
    <t>Viscose georgette - Black/Violet</t>
  </si>
  <si>
    <t>Tant mix bank - peacock blue</t>
  </si>
  <si>
    <t>Tussar silk Green(CHR-70)</t>
  </si>
  <si>
    <t>Jitha Joy</t>
  </si>
  <si>
    <t>Cotton blend saree yellow - CHR-67</t>
  </si>
  <si>
    <t>Deepa Rajan</t>
  </si>
  <si>
    <t>Mulmul cotton black - CHR-65</t>
  </si>
  <si>
    <t>Sungudi (Alice Christy inspired)</t>
  </si>
  <si>
    <t>Green Cotton Silk (CHR-88)</t>
  </si>
  <si>
    <t>Swapna Binu(Thrisurr)</t>
  </si>
  <si>
    <t>Yellow Green (CHR-146)</t>
  </si>
  <si>
    <t>Chokda Rust Orange, Dolla</t>
  </si>
  <si>
    <t>Rasha Suresh (PKD)</t>
  </si>
  <si>
    <t>Banarasi Rust Orange</t>
  </si>
  <si>
    <t>Jeena</t>
  </si>
  <si>
    <t>Sudhisha</t>
  </si>
  <si>
    <t>Pending</t>
  </si>
  <si>
    <t>Anusree Bangalore</t>
  </si>
  <si>
    <t>CHR-117 - Tie &amp; Dye blue</t>
  </si>
  <si>
    <t>Shini</t>
  </si>
  <si>
    <t>Banarasi Green Old design</t>
  </si>
  <si>
    <t>Priya Pillai (TVM)</t>
  </si>
  <si>
    <t>Manipuri Silk</t>
  </si>
  <si>
    <t>Green Aanchal - XXL, Cream 2 piece aanchal - M,  Chikankari - XL, Blue Ajrakh Salwar - XXL, Maroon Banarasi new design</t>
  </si>
  <si>
    <t>Ponnu</t>
  </si>
  <si>
    <t>Red Banarasi New design</t>
  </si>
  <si>
    <t>Chikku Maroon banarasi</t>
  </si>
  <si>
    <t>Chikku Green Banarasi</t>
  </si>
  <si>
    <t>Sheeja EKM</t>
  </si>
  <si>
    <t>Kota Linen</t>
  </si>
  <si>
    <t>Chokda Lotus</t>
  </si>
  <si>
    <t>Salwar maroon single piece M (CHR-78)</t>
  </si>
  <si>
    <t>CHR-119 - Chanderi Silk Blue</t>
  </si>
  <si>
    <t>Jayalakshmi</t>
  </si>
  <si>
    <t>CHR-119 - Chanderi Silk Pink</t>
  </si>
  <si>
    <t>Amrutha Pathanamthitta</t>
  </si>
  <si>
    <t>CHR-119 - Chanderi Silk Maroon</t>
  </si>
  <si>
    <t>Sherin Fathima (Thalassery)</t>
  </si>
  <si>
    <t>matka - Maroon/Navy Blue</t>
  </si>
  <si>
    <t>Athira (Kollam)</t>
  </si>
  <si>
    <t>CHR-119 - Chanderi Silk Black</t>
  </si>
  <si>
    <t>Jini (Palakkad)</t>
  </si>
  <si>
    <t>Sreelekha (Kayamkulam)</t>
  </si>
  <si>
    <t>CHR-119 - Black</t>
  </si>
  <si>
    <t>Anju Shinoob</t>
  </si>
  <si>
    <t>New Banarasi - Blue</t>
  </si>
  <si>
    <t>Khadi Saree Violet and Rainbow saree</t>
  </si>
  <si>
    <t>Kavya (Kasargod)</t>
  </si>
  <si>
    <t>Matka Black with Golden Yellow</t>
  </si>
  <si>
    <t>Silpa Kannur</t>
  </si>
  <si>
    <t>Matka Green/Yellow</t>
  </si>
  <si>
    <t>Aji Roy(Trichue)</t>
  </si>
  <si>
    <t>CHR-119 - Black &amp; Mustard</t>
  </si>
  <si>
    <t>Gopika (TVM)</t>
  </si>
  <si>
    <t>Lily Kutty (Kottayam)</t>
  </si>
  <si>
    <t>CHR-119 - Maroon</t>
  </si>
  <si>
    <t>Sindhu (Pkd)</t>
  </si>
  <si>
    <t>Aasha (EKM)</t>
  </si>
  <si>
    <t>CHR-119 - Green</t>
  </si>
  <si>
    <t>Soorya (Perumbavoor)</t>
  </si>
  <si>
    <t>CHR-119 - Rani Pink</t>
  </si>
  <si>
    <t>Asha Latha</t>
  </si>
  <si>
    <t>CHR-119 - Off white</t>
  </si>
  <si>
    <t>Subha</t>
  </si>
  <si>
    <t>Matka - Black/Mustard yellow</t>
  </si>
  <si>
    <t>Subi</t>
  </si>
  <si>
    <t>Roman Silk(L)</t>
  </si>
  <si>
    <t>Khadee saree - black &amp; biege lief print</t>
  </si>
  <si>
    <t>Smita Michigan</t>
  </si>
  <si>
    <t>Chanderi Black/Parrot Green, Silk Blend Salwar 3 piece set - M, Kerala Saree Floral Design, Tussar Silk - Burned Orange and Onion peel</t>
  </si>
  <si>
    <t>Lipcy Michigan</t>
  </si>
  <si>
    <t>Tussar Silk Blue, Tussar Silk Green, Roman Silk XL, Matka Saree red/green</t>
  </si>
  <si>
    <t>Chithra</t>
  </si>
  <si>
    <t>Narayanpett peacock blue, Linen Saree maroon, cotton 3 piece salwar set mirror work - XL, soft silk saree- black</t>
  </si>
  <si>
    <t>Lakshmi</t>
  </si>
  <si>
    <t>Chanderi Black/Orange, Jute - L, Matka - Blue &amp; Red, Matka Navy Blue &amp; maroon</t>
  </si>
  <si>
    <t>Indukala</t>
  </si>
  <si>
    <t>Kathakali Saree, Chanderi Black/Pink, Aanchal Black Salwar set with Printed Dupatta(L), Aanchal white 3 piece salwar XL</t>
  </si>
  <si>
    <t>Indu Varrier</t>
  </si>
  <si>
    <t>Aanchal Blue Salwar XL, Mul cottoan floral salwar with lace detailing L, Tussar silk golden color, Narayanpet green</t>
  </si>
  <si>
    <t>Narayanpett Maroon, Aanchal Olive Green with floral details M, Chanferi Off white, Soft Silk Saree Violet</t>
  </si>
  <si>
    <t>Revathi</t>
  </si>
  <si>
    <t>Kerala Saree Temple Design, Pink Cottton Saree (CHR-61), Chanderi Silk Saree (Orange &amp; Maroon-CHR-119), Matka Saree (Green/Pink -CHR-179)</t>
  </si>
  <si>
    <t>Siji</t>
  </si>
  <si>
    <t>Tussar Silk Saree (CHR-177)</t>
  </si>
  <si>
    <t>Anju Sanjeev</t>
  </si>
  <si>
    <t>Matka (royal blue/rani pink-CHR-179), Soft Silk Saree (Navy Blue-CHR-175)</t>
  </si>
  <si>
    <t>Jaimy</t>
  </si>
  <si>
    <t>Matka (peacock blue/maroon CHR-174), Narayanpett purple/bottle green (CHR-163), Ganga Jamuna (CHR-140)</t>
  </si>
  <si>
    <t>Saritha</t>
  </si>
  <si>
    <t>Chanderi Silk Saree (Rani Pink- CHR-119)</t>
  </si>
  <si>
    <t>Rose</t>
  </si>
  <si>
    <t>Chanderi Silk Saree (Black - CHR-119)</t>
  </si>
  <si>
    <t>Bindu Krishnaraj</t>
  </si>
  <si>
    <t>Kavitha</t>
  </si>
  <si>
    <t>Chanderi Silk Saree (off white - CHR-119)</t>
  </si>
  <si>
    <t>Jisa Suresh (Anita)</t>
  </si>
  <si>
    <t>Chanderi Silk Saree (Rani Pink(2)- CHR-119)</t>
  </si>
  <si>
    <t>Sudharma</t>
  </si>
  <si>
    <t>Chanderi Silk Saree (Navy Blue- CHR-119)</t>
  </si>
  <si>
    <t>P K Sopitha (Sindrella)</t>
  </si>
  <si>
    <t>Chanderi Silk Saree (Maroon - CHR-119)</t>
  </si>
  <si>
    <t>Shaino Benny</t>
  </si>
  <si>
    <t>Simi Sudhir</t>
  </si>
  <si>
    <t>Chanderi Silk Saree (Navy Blue- CHR-119) &amp; Kerala Saree Temple Design</t>
  </si>
  <si>
    <t>Supriya</t>
  </si>
  <si>
    <t>Chanderi Silk Saree (Green- CHR-119)</t>
  </si>
  <si>
    <t>Mercy Reji</t>
  </si>
  <si>
    <t>Kalaisari (Dharmapuri)</t>
  </si>
  <si>
    <t>Latha Suresh (Malappuram)</t>
  </si>
  <si>
    <t>Bhavana Meenakshi</t>
  </si>
  <si>
    <t>Nishida</t>
  </si>
  <si>
    <t>Rajitha Teacher</t>
  </si>
  <si>
    <t>Green/maroon banarasi new design</t>
  </si>
  <si>
    <t>Sheeba George</t>
  </si>
  <si>
    <t>Soji Thomas</t>
  </si>
  <si>
    <t>Jessy Joseph</t>
  </si>
  <si>
    <t>Preetha</t>
  </si>
  <si>
    <t>Jeeja Anil</t>
  </si>
  <si>
    <t>Prasanna</t>
  </si>
  <si>
    <t>Philomina Anto</t>
  </si>
  <si>
    <t>Sanam</t>
  </si>
  <si>
    <t>Geetha</t>
  </si>
  <si>
    <t>Sumi Boben</t>
  </si>
  <si>
    <t>Jet Black (CHR-119)</t>
  </si>
  <si>
    <t>Jinu Varghese</t>
  </si>
  <si>
    <t>Blue (CHR-119)</t>
  </si>
  <si>
    <t>Smitha S</t>
  </si>
  <si>
    <t>Raji V T</t>
  </si>
  <si>
    <t>Sushama Bhaskar</t>
  </si>
  <si>
    <t>CHR-194-Light Blue cotton, CHR-206 - green temple/brown</t>
  </si>
  <si>
    <t>CHR-202 - Yellow Linen(699), CHR-200 - Tissue Mulmul(1250), CHR-206 - Grey/Black &amp; purple/blue (1000 advace)</t>
  </si>
  <si>
    <t>Nishida Friend</t>
  </si>
  <si>
    <t>Orange (CHR-119)</t>
  </si>
  <si>
    <t>brown/maroon (CHR-203: 1100), Rust Orange/Coffee Brown (CHR-188)</t>
  </si>
  <si>
    <t>CHR-202 Yellow</t>
  </si>
  <si>
    <t>Shirley</t>
  </si>
  <si>
    <t>Banarasi Yello CHR-152</t>
  </si>
  <si>
    <t>Karthika</t>
  </si>
  <si>
    <t>CHR-119 Chanderi Blue</t>
  </si>
  <si>
    <t>Banarasi CM(CHR-183), Black Orange (CHR-204), CHR-199 - Navy/blue &amp; maroon/grey</t>
  </si>
  <si>
    <t>Divya Jacob</t>
  </si>
  <si>
    <t>Razia Salim</t>
  </si>
  <si>
    <t>Banarasi Silk (New Design) - Chikku Green (CHR-188)</t>
  </si>
  <si>
    <t>Baby Johny</t>
  </si>
  <si>
    <t>Chanderi White (CHR-119)</t>
  </si>
  <si>
    <t>Jayasree</t>
  </si>
  <si>
    <t>Bindu Saji</t>
  </si>
  <si>
    <t>Vanajakshi</t>
  </si>
  <si>
    <t>CHR-141 Semi Silk Pink</t>
  </si>
  <si>
    <t>SKU</t>
  </si>
  <si>
    <t>Item Name</t>
  </si>
  <si>
    <t>Purchase Price (₹)</t>
  </si>
  <si>
    <t>Sale Amount (₹)</t>
  </si>
  <si>
    <t>Qty Purchased</t>
  </si>
  <si>
    <t>Cost per Item (₹)</t>
  </si>
  <si>
    <t>Cost of Sold (₹)</t>
  </si>
  <si>
    <t>Stock Value (₹)</t>
  </si>
  <si>
    <t>Buyer</t>
  </si>
  <si>
    <t>Brand</t>
  </si>
  <si>
    <t>Material</t>
  </si>
  <si>
    <t>Discount</t>
  </si>
  <si>
    <t>CHR-1</t>
  </si>
  <si>
    <t>Black Saree</t>
  </si>
  <si>
    <t>Sold Out</t>
  </si>
  <si>
    <t>CHR-2</t>
  </si>
  <si>
    <t>Imported Rayon Salwar Black</t>
  </si>
  <si>
    <t>CHR-3</t>
  </si>
  <si>
    <t>Cotton Silk</t>
  </si>
  <si>
    <t>CHR-4</t>
  </si>
  <si>
    <t>Silk Saree</t>
  </si>
  <si>
    <t>CHR-5</t>
  </si>
  <si>
    <t>Light weight cotton</t>
  </si>
  <si>
    <t>Beena (Knr), Sudhisha</t>
  </si>
  <si>
    <t>CHR-6</t>
  </si>
  <si>
    <t>Saree USA print (step photo)</t>
  </si>
  <si>
    <t>CHR-7</t>
  </si>
  <si>
    <t>Saree 95 1</t>
  </si>
  <si>
    <t>CHR-8</t>
  </si>
  <si>
    <t>Linen Block Print Salwar Set</t>
  </si>
  <si>
    <t>CHR-9</t>
  </si>
  <si>
    <t>CHR-10</t>
  </si>
  <si>
    <t>Black red banarasi</t>
  </si>
  <si>
    <t>Raji, Jisha</t>
  </si>
  <si>
    <t>CHR-11</t>
  </si>
  <si>
    <t>Black Imported Rayon Set</t>
  </si>
  <si>
    <t>CHR-12</t>
  </si>
  <si>
    <t>Imported Rayon Salwar Set Red</t>
  </si>
  <si>
    <t>CHR-13</t>
  </si>
  <si>
    <t>Silk Blend Salwar set - Blue</t>
  </si>
  <si>
    <t>CHR-14</t>
  </si>
  <si>
    <t>Linen Block Print Salwar Set (sunflower)</t>
  </si>
  <si>
    <t>CHR-15</t>
  </si>
  <si>
    <t>Linen Salwar Set (Christmas tree)</t>
  </si>
  <si>
    <t>CHR-16</t>
  </si>
  <si>
    <t>Mul mul cotton</t>
  </si>
  <si>
    <t>CHR-17</t>
  </si>
  <si>
    <t>CHR-18</t>
  </si>
  <si>
    <t>Silk Blend Salwar set - gray</t>
  </si>
  <si>
    <t>CHR-19</t>
  </si>
  <si>
    <t>CHR-20</t>
  </si>
  <si>
    <t>CHR-21</t>
  </si>
  <si>
    <t>violet sil saree</t>
  </si>
  <si>
    <t>CHR-22</t>
  </si>
  <si>
    <t>Bhaskaran, Divya, Amina</t>
  </si>
  <si>
    <t>CHR-23</t>
  </si>
  <si>
    <t>CHR-24</t>
  </si>
  <si>
    <t>CHR-25</t>
  </si>
  <si>
    <t>Kota Linen Saree - biege &amp; maroon</t>
  </si>
  <si>
    <t>CHR-26</t>
  </si>
  <si>
    <t>CHR-27</t>
  </si>
  <si>
    <t>Kota Linen Saree - green silver</t>
  </si>
  <si>
    <t>CHR-28</t>
  </si>
  <si>
    <t>Linen Floral Salwar Set</t>
  </si>
  <si>
    <t>CHR-29</t>
  </si>
  <si>
    <t>Hakoba Cotton Chridar - brown</t>
  </si>
  <si>
    <t>CHR-30</t>
  </si>
  <si>
    <t>Black 2 piece rayon</t>
  </si>
  <si>
    <t>CHR-31</t>
  </si>
  <si>
    <t>Linen Block Print Salwar Set (violet)</t>
  </si>
  <si>
    <t>CHR-32</t>
  </si>
  <si>
    <t>CHR-33</t>
  </si>
  <si>
    <t>CHR-34</t>
  </si>
  <si>
    <t>Black Soft Cotton Flared Salwar Set</t>
  </si>
  <si>
    <t>CHR-35</t>
  </si>
  <si>
    <t>Davani</t>
  </si>
  <si>
    <t>CHR-36</t>
  </si>
  <si>
    <t>Chanderi soft silk</t>
  </si>
  <si>
    <t>CHR-37</t>
  </si>
  <si>
    <t>Tussar Embroidary saree</t>
  </si>
  <si>
    <t>CHR-38</t>
  </si>
  <si>
    <t>CHR-39</t>
  </si>
  <si>
    <t>Imported Rayon Salwar Set peacock blue</t>
  </si>
  <si>
    <t>CHR-40</t>
  </si>
  <si>
    <t>CHR-41</t>
  </si>
  <si>
    <t>Imported Rayon Salwar Set</t>
  </si>
  <si>
    <t>CHR-42</t>
  </si>
  <si>
    <t>Linen Floral Salwar Set (sunflower)</t>
  </si>
  <si>
    <t>CHR-43</t>
  </si>
  <si>
    <t>Anju, Ranju</t>
  </si>
  <si>
    <t>XXL pending</t>
  </si>
  <si>
    <t>CHR-44</t>
  </si>
  <si>
    <t>Green &amp; black cotton silk</t>
  </si>
  <si>
    <t>CHR-45</t>
  </si>
  <si>
    <t>Cotton Peach</t>
  </si>
  <si>
    <t>CHR-46</t>
  </si>
  <si>
    <t>Tusser embroidary saress</t>
  </si>
  <si>
    <t>Anju, Annie(2-blue/green)</t>
  </si>
  <si>
    <t>Rajna/Rameez</t>
  </si>
  <si>
    <t>Partially Sold</t>
  </si>
  <si>
    <t>CHR-47</t>
  </si>
  <si>
    <t>Mal Chanderi</t>
  </si>
  <si>
    <t>CHR-48</t>
  </si>
  <si>
    <t>Pink Tussar Emb</t>
  </si>
  <si>
    <t>Pink</t>
  </si>
  <si>
    <t>CHR-49</t>
  </si>
  <si>
    <t>Soft Cotton Salwar set - wine red</t>
  </si>
  <si>
    <t>CHR-50</t>
  </si>
  <si>
    <t>CHR-51</t>
  </si>
  <si>
    <t>Jiji-XL, Indu varrier-L</t>
  </si>
  <si>
    <t>M, XXL</t>
  </si>
  <si>
    <t>Red</t>
  </si>
  <si>
    <t>CHR-52</t>
  </si>
  <si>
    <t>Shanu - 1800, Rinsha friend - 1000</t>
  </si>
  <si>
    <t>Ocean Blue</t>
  </si>
  <si>
    <t>CHR-53</t>
  </si>
  <si>
    <t>Hakoba Cotton Chridar</t>
  </si>
  <si>
    <t>Blue, Black</t>
  </si>
  <si>
    <t>Returned</t>
  </si>
  <si>
    <t>CHR-54</t>
  </si>
  <si>
    <t>Linen Floral Print Salwar Set</t>
  </si>
  <si>
    <t>Sruthi(M)</t>
  </si>
  <si>
    <t>CHR-55</t>
  </si>
  <si>
    <t>XL-XXL</t>
  </si>
  <si>
    <t>CHR-56</t>
  </si>
  <si>
    <t>Pakistani Semi Silk Blend</t>
  </si>
  <si>
    <t>M-XL</t>
  </si>
  <si>
    <t>CHR-57</t>
  </si>
  <si>
    <t>Linen Floral Salwar Set (yellow)</t>
  </si>
  <si>
    <t>L, XL</t>
  </si>
  <si>
    <t>CHR-58</t>
  </si>
  <si>
    <t>M, XL</t>
  </si>
  <si>
    <t>Wine red</t>
  </si>
  <si>
    <t>CHR-59</t>
  </si>
  <si>
    <t>Silk Blend Salwar Set</t>
  </si>
  <si>
    <t>Jisha (XL), Rameez Relative(L): 900</t>
  </si>
  <si>
    <t>Maroon, Violet</t>
  </si>
  <si>
    <t>CHR-60</t>
  </si>
  <si>
    <t>Deepthi - Mustard for Hokoba return</t>
  </si>
  <si>
    <t>M/XL</t>
  </si>
  <si>
    <t>Violet(M&amp;XL), Pink</t>
  </si>
  <si>
    <t>Peacock blue sold, grey returned</t>
  </si>
  <si>
    <t>CHR-61</t>
  </si>
  <si>
    <t>Resmi(Tvm) - 500, Revathi</t>
  </si>
  <si>
    <t>CHR-62</t>
  </si>
  <si>
    <t>CHR-63</t>
  </si>
  <si>
    <t>CHR-64</t>
  </si>
  <si>
    <t>Kota Linen Saree</t>
  </si>
  <si>
    <t>Sheeja EKM - 1280</t>
  </si>
  <si>
    <t>CHR-65</t>
  </si>
  <si>
    <t>Mulmul Cotton Collection</t>
  </si>
  <si>
    <t>Athulya (blued and white), Rinsha (violet &amp; pink -850)</t>
  </si>
  <si>
    <t>CHR-66</t>
  </si>
  <si>
    <t>Mul Chanderi Saree with Ajrakh Palu</t>
  </si>
  <si>
    <t>CHR-67</t>
  </si>
  <si>
    <t>Cotton Blend Saree</t>
  </si>
  <si>
    <t>Jitha Joy - 650</t>
  </si>
  <si>
    <t>Green/Yellow available</t>
  </si>
  <si>
    <t>CHR-68</t>
  </si>
  <si>
    <t>Soft Muslin Cotton Chridar</t>
  </si>
  <si>
    <t>M-XXL</t>
  </si>
  <si>
    <t>CHR-69</t>
  </si>
  <si>
    <t>Cotton Silk (Green &amp; dusty mauve)</t>
  </si>
  <si>
    <t>Simi (TVM), Saranya Gopalakrishanan (pending-1250)</t>
  </si>
  <si>
    <t>CHR-70</t>
  </si>
  <si>
    <t>Tussar Silk</t>
  </si>
  <si>
    <t>Susmi. Shinoob (Teal blue), Sarany Hyd -980</t>
  </si>
  <si>
    <t>Green</t>
  </si>
  <si>
    <t>CHR-71</t>
  </si>
  <si>
    <t>Cotton Silk (contrast colors)</t>
  </si>
  <si>
    <t>CHR-72</t>
  </si>
  <si>
    <t>Black 2 pice Rayon</t>
  </si>
  <si>
    <t>CHR-73</t>
  </si>
  <si>
    <t>Linen Blend Saree</t>
  </si>
  <si>
    <t>CHR-74</t>
  </si>
  <si>
    <t>CHR-75</t>
  </si>
  <si>
    <t>Linen Buti</t>
  </si>
  <si>
    <t>CHR-76</t>
  </si>
  <si>
    <t>Soft cotton white and blue printed salwar suit set (plus size)</t>
  </si>
  <si>
    <t>Shidhin (XXXL-1250)</t>
  </si>
  <si>
    <t>Size: XL, XXL</t>
  </si>
  <si>
    <t>CHR-77</t>
  </si>
  <si>
    <t>Chanderi silk soft dusty rose/pink kurta suit set with delicate floral prints and light embroiderysalwar 3 piece set</t>
  </si>
  <si>
    <t>Saida (1400), Binija (1560), Shinoob Cousin(1000)</t>
  </si>
  <si>
    <t>Size: M</t>
  </si>
  <si>
    <t>CHR-78</t>
  </si>
  <si>
    <t>Linen blend deep wine/maroon kurta suit with elegant embroidery and a contrasting dupatta</t>
  </si>
  <si>
    <t xml:space="preserve">Sudhisha - </t>
  </si>
  <si>
    <t>New</t>
  </si>
  <si>
    <t>CHR-79</t>
  </si>
  <si>
    <t>Silk blend 3 piece salwar set(indigo blue)</t>
  </si>
  <si>
    <t>Saida (1600), Lathika (L-1400), Smitha - M</t>
  </si>
  <si>
    <t>Size: XXL</t>
  </si>
  <si>
    <t>CHR-80</t>
  </si>
  <si>
    <t>Rayon multicolored printed kurta set with a bold and artistic patchwork-style</t>
  </si>
  <si>
    <t>Dilna (XL)
Girija (L), Amma (XXL)</t>
  </si>
  <si>
    <t>CHR-81</t>
  </si>
  <si>
    <t>Soft cotton salwar 3 piece set - coral pink</t>
  </si>
  <si>
    <t>Jisha (1545-XL), Shiji(1370-L), Sheejamol(XXL)-850</t>
  </si>
  <si>
    <t>CHR-82</t>
  </si>
  <si>
    <t>Soft cotton with white embroidery/sequence work incl shall (3 piece, beige)</t>
  </si>
  <si>
    <t>Jisha (XL - 1455), Shinoob friend (L) (1400), Divya ordered - XXL (1400)</t>
  </si>
  <si>
    <t>Size: L, XL, XXL</t>
  </si>
  <si>
    <t>CHR-83</t>
  </si>
  <si>
    <t>Co-ord set short (2 piece) linen blend</t>
  </si>
  <si>
    <t>Silpa (600) - M</t>
  </si>
  <si>
    <t>Size: L, XL</t>
  </si>
  <si>
    <t>CHR-84</t>
  </si>
  <si>
    <t>Soft cotton salwar 3 piece set (Indigo/royal blue) Ajrakh print</t>
  </si>
  <si>
    <t>Susmi (M), Susheela(Kannur)XL-950, Indu(XXL)-650</t>
  </si>
  <si>
    <t>CHR-85</t>
  </si>
  <si>
    <t>Linen Blend cotton Salwar Set- 3 piece (lavender with ajrakh print)</t>
  </si>
  <si>
    <t>Baby Khadeeja - 1400, Rameez Relative(XXL): 900</t>
  </si>
  <si>
    <t>Size: M, L</t>
  </si>
  <si>
    <t>CHR-86</t>
  </si>
  <si>
    <t>Soft cotton buble work salwar - 3 piece set (mustard)</t>
  </si>
  <si>
    <t xml:space="preserve">Size: M, L,XL </t>
  </si>
  <si>
    <t>CHR-87</t>
  </si>
  <si>
    <t>Cotton printed Salwar Set - 3 piece (brick red with black elephant)</t>
  </si>
  <si>
    <t>CHR-88</t>
  </si>
  <si>
    <t>Cotton silk saree in green and black</t>
  </si>
  <si>
    <t>Shinoob - 1100, Sruthi - 1100</t>
  </si>
  <si>
    <t>CHR-89</t>
  </si>
  <si>
    <t>Banarasi Silk black &amp; pink</t>
  </si>
  <si>
    <t>CHR-90</t>
  </si>
  <si>
    <t>Rainbow saree</t>
  </si>
  <si>
    <t>saree</t>
  </si>
  <si>
    <t>Latha (500), Baby Khadeeja</t>
  </si>
  <si>
    <t>CHR-91</t>
  </si>
  <si>
    <t>Tissue Silk</t>
  </si>
  <si>
    <t>Athulya (brick red)-789, Annie-600(Yellow), Rajitha (Peach)-500</t>
  </si>
  <si>
    <t>CHR-92</t>
  </si>
  <si>
    <t>Kurti blue Jute</t>
  </si>
  <si>
    <t>CHR-93</t>
  </si>
  <si>
    <t>banarasi silk saree</t>
  </si>
  <si>
    <t>CHR-94</t>
  </si>
  <si>
    <t>Khadi stripe saree</t>
  </si>
  <si>
    <t>Nalini, Latha, Girija</t>
  </si>
  <si>
    <t>CHR-95</t>
  </si>
  <si>
    <t>Chinon silk saree</t>
  </si>
  <si>
    <t>CHR-96</t>
  </si>
  <si>
    <t>Pashmina silk saree</t>
  </si>
  <si>
    <t>CHR-97</t>
  </si>
  <si>
    <t>Aanchal - Black and whit salawar</t>
  </si>
  <si>
    <t>CHR-98</t>
  </si>
  <si>
    <t>Aanchal - Red Salwar with black flowers</t>
  </si>
  <si>
    <t>CHR-99</t>
  </si>
  <si>
    <t>Aanchal - Red salwar with white flower</t>
  </si>
  <si>
    <t>CHR-100</t>
  </si>
  <si>
    <t>Aanchal yellow salwar</t>
  </si>
  <si>
    <t>CHR-101</t>
  </si>
  <si>
    <t>Aanchal blue Salwar with white lining (bagru hand printed)</t>
  </si>
  <si>
    <t>CHR-102</t>
  </si>
  <si>
    <t>Aanchal black &amp; white floral print salwar</t>
  </si>
  <si>
    <t>CHR-103</t>
  </si>
  <si>
    <t>Aanchal navy blue cotton kurta with red  embriodered detailing</t>
  </si>
  <si>
    <t>CHR-104</t>
  </si>
  <si>
    <t>Aanchal black Salwar with white printex work</t>
  </si>
  <si>
    <t>CHR-105</t>
  </si>
  <si>
    <t>Aanchal navy blue embroidered Pakistani Aghanoor cotton 3-piece set</t>
  </si>
  <si>
    <t>CHR-106</t>
  </si>
  <si>
    <t>Aanchal green floral print cotton salwar set</t>
  </si>
  <si>
    <t>CHR-107</t>
  </si>
  <si>
    <t>Aanchal black ajrakh hand block printed salwar set</t>
  </si>
  <si>
    <t>CHR-108</t>
  </si>
  <si>
    <t>Aanchal Rani cotton salwar</t>
  </si>
  <si>
    <t>CHR-109</t>
  </si>
  <si>
    <t>Aanchal Blue &amp; red cotton Azrakh print</t>
  </si>
  <si>
    <t>CHR-110</t>
  </si>
  <si>
    <t>Aanchal white Anarkali Salwar</t>
  </si>
  <si>
    <t>CHR-111</t>
  </si>
  <si>
    <t>Aanchal Cotton white salwar set</t>
  </si>
  <si>
    <t>CHR-112</t>
  </si>
  <si>
    <t>Aanchal beige cotton salwar with navy blue block-print dupatta</t>
  </si>
  <si>
    <t>CHR-113</t>
  </si>
  <si>
    <t>Viscose Rayon Silk Saree (Cocoa brown)</t>
  </si>
  <si>
    <t>CHR-114</t>
  </si>
  <si>
    <t>Viscose Georgette Saree</t>
  </si>
  <si>
    <t>Amalu(black/maroon), Lethy(Thiruvalla):1550, Vineet(Maroon): 1550, Chris(Yellow) - 1250, Geemol (Black/Violet) - 1500</t>
  </si>
  <si>
    <t>CHR-115</t>
  </si>
  <si>
    <t>Banarasi Silk</t>
  </si>
  <si>
    <t>Biscuit - Aruna, Silpa, Malini, Aswathi,  Resmi(Thrissur), Asha(Navaikulam), Ambika Preman (Pazhanji), Anitha(Pathanamthitta),salini(kottayam) vinod(kottayam), Laks Pillai
Yellow green - Aasa, Jyothi
Chikku green - Girija
Blue blue - Aruna
Golden yellow - Malu 
Golden Yellow - Vijina, Preethi Thomas
Pink - Ambika Preman (Pazhanji)
Rust Orange - Rasha Suresh (Palakkad) - 1299</t>
  </si>
  <si>
    <t>CHR-116</t>
  </si>
  <si>
    <t>Banarasi Silk (Yellow design)</t>
  </si>
  <si>
    <t>CHR-117</t>
  </si>
  <si>
    <t>Chanderi Silk Tie &amp; Dye collection</t>
  </si>
  <si>
    <t>Nalini - Pink (1400), Anusree Bangalore - 1280</t>
  </si>
  <si>
    <t>Blue - 1</t>
  </si>
  <si>
    <t>CHR-118</t>
  </si>
  <si>
    <t>Off-white block-printed silk saree</t>
  </si>
  <si>
    <t>CHR-119</t>
  </si>
  <si>
    <t>Chanderi Printed Silk Saree</t>
  </si>
  <si>
    <t>CHR-120</t>
  </si>
  <si>
    <t>Kalyani cotton silk</t>
  </si>
  <si>
    <t>Aruna - Yellow, Malu - Orange (Pending)</t>
  </si>
  <si>
    <t>yellow green &amp; orange green</t>
  </si>
  <si>
    <t>CHR-121</t>
  </si>
  <si>
    <t>Roman Silk Salwar Set</t>
  </si>
  <si>
    <t>Sushitha (XXL-1600), M-Returned, L - Subi(), XL-Lipsy(1500)</t>
  </si>
  <si>
    <t>CHR-122</t>
  </si>
  <si>
    <t>Banarasi Silk (Parrot Green)</t>
  </si>
  <si>
    <t>Nisha Nair
Shiji
Priya Reji
Raji
Nisha Sajitha, Bhavana Meenakshi</t>
  </si>
  <si>
    <t>CHR-123</t>
  </si>
  <si>
    <t>Kalyani cotton silk (red)</t>
  </si>
  <si>
    <t>Divya (Kollam), Ananya (TVM), Liji (Vadakara), Archana(Devagiri)-Ordered, Anu(Kottayam), Linu(Kottayam)</t>
  </si>
  <si>
    <t>CHR-124</t>
  </si>
  <si>
    <t>Viscose Chokda</t>
  </si>
  <si>
    <t>Neethu(Pkd)-1450, Remya(Pkd)-1250</t>
  </si>
  <si>
    <t>Blue, Green</t>
  </si>
  <si>
    <t>CHR-125</t>
  </si>
  <si>
    <t>Aanchal Maroon Salwar</t>
  </si>
  <si>
    <t>Malu (1800)</t>
  </si>
  <si>
    <t>XXXL</t>
  </si>
  <si>
    <t>CHR-126</t>
  </si>
  <si>
    <t>Aanchal maroon palzo kurta</t>
  </si>
  <si>
    <t>CHR-127</t>
  </si>
  <si>
    <t>⁠Rustic Geo Kota (Stairs) - Net Kota</t>
  </si>
  <si>
    <t>CHR-128</t>
  </si>
  <si>
    <t>⁠Grey Arrow Kota (Arrow) - Net kota</t>
  </si>
  <si>
    <t>Chris (1250)</t>
  </si>
  <si>
    <t>CHR-129</t>
  </si>
  <si>
    <t>Dolla silk Olive Green</t>
  </si>
  <si>
    <t>Ranju(1000)</t>
  </si>
  <si>
    <t>CHR-130</t>
  </si>
  <si>
    <t>Chanderi Cotton (Golden Yellow)</t>
  </si>
  <si>
    <t>CHR-131</t>
  </si>
  <si>
    <t>⁠​Regal Black semi silk Brocade type</t>
  </si>
  <si>
    <t>Saranya Gopalakrishnan(1300)</t>
  </si>
  <si>
    <t>CHR-132</t>
  </si>
  <si>
    <t>Kota Doria (Green with silver floral work)</t>
  </si>
  <si>
    <t>CHR-133</t>
  </si>
  <si>
    <t>Semi Silk (Peach)</t>
  </si>
  <si>
    <t>CHR-134</t>
  </si>
  <si>
    <t>Net kota saree - turquoise blue with floral design and maroon border</t>
  </si>
  <si>
    <t>priya(hosur)</t>
  </si>
  <si>
    <t>CHR-135</t>
  </si>
  <si>
    <t>⁠Viscose Chokda</t>
  </si>
  <si>
    <t>Sreeja -Green:1250, Ranju - rust orange:1000, Aasa - 1250 (Lotus)</t>
  </si>
  <si>
    <t>burned orange (lotus)</t>
  </si>
  <si>
    <t>CHR-136</t>
  </si>
  <si>
    <t>Banarasi silk (lavender)</t>
  </si>
  <si>
    <t>CHR-137</t>
  </si>
  <si>
    <t>⁠​Blue manipuri silk saree</t>
  </si>
  <si>
    <t>Priya (TVM)</t>
  </si>
  <si>
    <t>CHR-138</t>
  </si>
  <si>
    <t>⁠​Linen black saree</t>
  </si>
  <si>
    <t>CHR-139</t>
  </si>
  <si>
    <t xml:space="preserve">⁠​Maheswari cotton Silk saree </t>
  </si>
  <si>
    <t>haris(ekm)</t>
  </si>
  <si>
    <t>CHR-140</t>
  </si>
  <si>
    <t>⁠​Ganga Jamuna kalyani Cotton Saree</t>
  </si>
  <si>
    <t>Jaimy (1000)</t>
  </si>
  <si>
    <t>CHR-141</t>
  </si>
  <si>
    <t>Semi Silk</t>
  </si>
  <si>
    <t>Annu (Light Violet Semi Silk), Susmi - Coffee, Navya - mustard, Shinoob - Pink(1000)</t>
  </si>
  <si>
    <t>CHR-142</t>
  </si>
  <si>
    <t>Semi Silk (Rose Pink)</t>
  </si>
  <si>
    <t>CHR-143</t>
  </si>
  <si>
    <t>Synthetic Net Kota Doria (Soft ivory/off-white - Muted Coral Pink &amp; Olive green floral motifs)</t>
  </si>
  <si>
    <t>CHR-144</t>
  </si>
  <si>
    <t>CHR-145</t>
  </si>
  <si>
    <t>Linen Saree with Check (Maroon with golden checks, Rust Orange with golden checks)</t>
  </si>
  <si>
    <t>Chris (1000 - Green), Chithra - Maroon</t>
  </si>
  <si>
    <t>Rust Orange</t>
  </si>
  <si>
    <t>CHR-146</t>
  </si>
  <si>
    <t>Matka Silk Saree collections - old design</t>
  </si>
  <si>
    <t>CHR-147</t>
  </si>
  <si>
    <t>Soft Cotton Saree (with butterfly design on Pallu)</t>
  </si>
  <si>
    <t>CHR-148</t>
  </si>
  <si>
    <t>SAREES 5619 (Tissue Silk Saree Golden Color)</t>
  </si>
  <si>
    <t>CHR-149</t>
  </si>
  <si>
    <t>SAREE TISSUE EMB (Lavender (light &amp; dark), Red)</t>
  </si>
  <si>
    <t>CHR-150</t>
  </si>
  <si>
    <t>CHIKKANKARI SALWAR</t>
  </si>
  <si>
    <t>Praneetha (L), Rameez Cousin (M), Indu (XL)</t>
  </si>
  <si>
    <t>Purple</t>
  </si>
  <si>
    <t>CHR-151</t>
  </si>
  <si>
    <t>Short Kurta</t>
  </si>
  <si>
    <t>Rinsha(M), Shinoob Cousin(L)</t>
  </si>
  <si>
    <t>XL,XXL</t>
  </si>
  <si>
    <t>Light Brown colr</t>
  </si>
  <si>
    <t>CHR-152</t>
  </si>
  <si>
    <t>Banarasi (Yellow/Green)</t>
  </si>
  <si>
    <t xml:space="preserve">Shinoob (1200), Shirley </t>
  </si>
  <si>
    <t>Yellow Green</t>
  </si>
  <si>
    <t>CHR-153</t>
  </si>
  <si>
    <t>Ivory &amp; black printed cotton 3-piece salwar set</t>
  </si>
  <si>
    <t>CHR-154</t>
  </si>
  <si>
    <t>Dark brown embroidered cotton 3-piece salwar set</t>
  </si>
  <si>
    <t>CHR-155</t>
  </si>
  <si>
    <t>Black cotton 3-piece salwar set with printed dupatta</t>
  </si>
  <si>
    <t>CHR-156</t>
  </si>
  <si>
    <t>Off-white cotton 2-piece set with blue floral prints</t>
  </si>
  <si>
    <t>Prema(XXL)- 550, Shinoob cousin(M)-850</t>
  </si>
  <si>
    <t>CHR-157</t>
  </si>
  <si>
    <t>Off-white printed 2-piece kurti set with multicolor pattern</t>
  </si>
  <si>
    <t>Indu - M</t>
  </si>
  <si>
    <t>L, XL, XXL, XXXL</t>
  </si>
  <si>
    <t>CHR-158</t>
  </si>
  <si>
    <t>Olive green cotton 2-piece kurti set with floral prints</t>
  </si>
  <si>
    <t>Indu - XXL, Susmi - M</t>
  </si>
  <si>
    <t>L, XL, XXXL</t>
  </si>
  <si>
    <t>CHR-159</t>
  </si>
  <si>
    <t>Khadee Saree - Navy Blue and Olive Green</t>
  </si>
  <si>
    <t>CHR-160</t>
  </si>
  <si>
    <t>Khadee Saree - Brown &amp; Black</t>
  </si>
  <si>
    <t>CHR-161</t>
  </si>
  <si>
    <t>Khadee Saree - Black &amp; Beige Leaf Print Cotton Silk Saree</t>
  </si>
  <si>
    <t>CHR-162</t>
  </si>
  <si>
    <t>Khadee Saree - Teal &amp; Coral Abstract Print Cotton Silk Saree</t>
  </si>
  <si>
    <t>CHR-163</t>
  </si>
  <si>
    <t>Narayanpet sarees</t>
  </si>
  <si>
    <t>CHR-164</t>
  </si>
  <si>
    <t>Sungudi Saree (Alice Christy inspired)</t>
  </si>
  <si>
    <t xml:space="preserve">Red &amp; Navy Blue </t>
  </si>
  <si>
    <t>CHR-165</t>
  </si>
  <si>
    <t>Jute Silk Checked Saree</t>
  </si>
  <si>
    <t>CHR-166</t>
  </si>
  <si>
    <t>Tant Mix (Bank)</t>
  </si>
  <si>
    <t>Rajna - 740, Malini - 980, Baby Khadeeja - 980</t>
  </si>
  <si>
    <t>Peacock blue with rany pink</t>
  </si>
  <si>
    <t>CHR-167</t>
  </si>
  <si>
    <t xml:space="preserve">Khadi Cotton Saree (Jar Border)  </t>
  </si>
  <si>
    <t>Baby Khadeeja - Violet</t>
  </si>
  <si>
    <t>Yellow, Dark Green</t>
  </si>
  <si>
    <t>CHR-168</t>
  </si>
  <si>
    <t xml:space="preserve">Bengal Cotton (Light Orange Floral)  </t>
  </si>
  <si>
    <t>Orange floral</t>
  </si>
  <si>
    <t>CHR-169</t>
  </si>
  <si>
    <t>Banarasi Sarees (New Collection)</t>
  </si>
  <si>
    <t>Leena - Chikku Green, Prema - Chikku Maroon, Shini - Green</t>
  </si>
  <si>
    <t>Dark biege with bottle green, Biege Maroon combination, Green</t>
  </si>
  <si>
    <t>CHR-170</t>
  </si>
  <si>
    <t>Banarasi Sarees with Paisley motifs</t>
  </si>
  <si>
    <t>Ponnu - Red (1350), Indu - Maroon, Anju Shinoob - Blue</t>
  </si>
  <si>
    <t>CHR-171</t>
  </si>
  <si>
    <t>Kerala Saree Temple design</t>
  </si>
  <si>
    <t>Revathi, Simi Sudhir</t>
  </si>
  <si>
    <t>CHR-172</t>
  </si>
  <si>
    <t>Kerala Saree Kathakali</t>
  </si>
  <si>
    <t>CHR-173</t>
  </si>
  <si>
    <t>Kerala Saree floral embroidery</t>
  </si>
  <si>
    <t>Smita</t>
  </si>
  <si>
    <t>CHR-174</t>
  </si>
  <si>
    <t>Matka Silk Saree collections - new design</t>
  </si>
  <si>
    <t>CHR-175</t>
  </si>
  <si>
    <t>Soft Silk Saree Collection</t>
  </si>
  <si>
    <t>Soft Silk Black - Chithra, Violet - Susmi, Maroon - Returned, Anju Sanjeev - Navy Blue</t>
  </si>
  <si>
    <t>CHR-176</t>
  </si>
  <si>
    <t>Tussar Silk Collection</t>
  </si>
  <si>
    <t>Smitha - Rust orange &amp; Onion Peel, Lipcy - Blue, Grey &amp; Wine - Returned</t>
  </si>
  <si>
    <t>Grey, wine (damaged)</t>
  </si>
  <si>
    <t>CHR-177</t>
  </si>
  <si>
    <t>Tissue Silk Saree Collection</t>
  </si>
  <si>
    <t>Lipcy - Green, Siji -Dusty Rose</t>
  </si>
  <si>
    <t>Light brown</t>
  </si>
  <si>
    <t>CHR-178</t>
  </si>
  <si>
    <t>Chanderi Silk Saree Collection</t>
  </si>
  <si>
    <t>Smita - Parrot Green, Lakshmi - Black &amp; Orange, Indukala - Black/Pink</t>
  </si>
  <si>
    <t>black/pink</t>
  </si>
  <si>
    <t>CHR-179</t>
  </si>
  <si>
    <t>Matka Silk Saree Collection</t>
  </si>
  <si>
    <t>Lipcy - Red/Green, Revathi - Parrot Green/Red, Anju Sanjeev - royal blue/rani pink</t>
  </si>
  <si>
    <t>CHR-180</t>
  </si>
  <si>
    <t>Cotton 3 piece salwar set</t>
  </si>
  <si>
    <t>Coffee brown with Rust Floral Print</t>
  </si>
  <si>
    <t>CHR-181</t>
  </si>
  <si>
    <t>Linen Blend floral embrioidered sarees</t>
  </si>
  <si>
    <t>Sky Blue, Mint Green, Blush Pink</t>
  </si>
  <si>
    <t>CHR-182</t>
  </si>
  <si>
    <t>Yellow Lotus Saree Line</t>
  </si>
  <si>
    <t>CHR-183</t>
  </si>
  <si>
    <t>Banarasil Silk (Chikku Maroon)</t>
  </si>
  <si>
    <t>CHR-184</t>
  </si>
  <si>
    <t>Banarasi Silk (Chikku Green)</t>
  </si>
  <si>
    <t>Jayalakshmi, Preetha, Prasanna, Philomina, Smitha S</t>
  </si>
  <si>
    <t>CHR-185</t>
  </si>
  <si>
    <t>CHR-186</t>
  </si>
  <si>
    <t>Banarasi Silk (Golden Yellow Green)</t>
  </si>
  <si>
    <t>CHR-187</t>
  </si>
  <si>
    <t>Banarasi Silk (Golden Yellow Blue)</t>
  </si>
  <si>
    <t>CHR-188</t>
  </si>
  <si>
    <t>Banarasi Silk (New Design)</t>
  </si>
  <si>
    <t>CHR-189</t>
  </si>
  <si>
    <t>Banarasi Silk (Leaf design)</t>
  </si>
  <si>
    <t>CHR-190</t>
  </si>
  <si>
    <t xml:space="preserve">Silk Sarees </t>
  </si>
  <si>
    <t>Green/maroon border, maroon peacock blue, light green &amp; bottle green, purple &amp; blue</t>
  </si>
  <si>
    <t>CHR-191</t>
  </si>
  <si>
    <t>Kerala Sarees with Floral design</t>
  </si>
  <si>
    <t>CHR-192</t>
  </si>
  <si>
    <t>Kerala Saree with small temple design</t>
  </si>
  <si>
    <t>Small temple design</t>
  </si>
  <si>
    <t>CHR-193</t>
  </si>
  <si>
    <t>Cotton Saree Collections (Jari Check)</t>
  </si>
  <si>
    <t>Light blue/onion peel, brown/dark maroon, black/light green</t>
  </si>
  <si>
    <t>CHR-194</t>
  </si>
  <si>
    <t>Cotton Saree Collections (Tower Check)</t>
  </si>
  <si>
    <t>Denny - Light Blue</t>
  </si>
  <si>
    <t>Green, pink, navy blue, dark navy, dark maroon, red, orange</t>
  </si>
  <si>
    <t>CHR-195</t>
  </si>
  <si>
    <t>Cotton Saree Collections (Body Jergai)</t>
  </si>
  <si>
    <t>CHR-196</t>
  </si>
  <si>
    <t>Linen Saree Semi Party Wear Collections</t>
  </si>
  <si>
    <t>Pink, grey, onion peel, blue</t>
  </si>
  <si>
    <t>CHR-197</t>
  </si>
  <si>
    <t>Kerala Saree Floral Embroidery</t>
  </si>
  <si>
    <t>Floral Embroidery</t>
  </si>
  <si>
    <t>CHR-198</t>
  </si>
  <si>
    <t>Semi Silk Saree Collections</t>
  </si>
  <si>
    <t>CHR-199</t>
  </si>
  <si>
    <t>Tissue Fancy Saree with Butta</t>
  </si>
  <si>
    <t>CHR-200</t>
  </si>
  <si>
    <t>Tissue mulmul (soft cotton) blend sarees</t>
  </si>
  <si>
    <t>Light Majenta - Latha</t>
  </si>
  <si>
    <t>Grey</t>
  </si>
  <si>
    <t>CHR-201</t>
  </si>
  <si>
    <t>Tusser Silk Saree Collection</t>
  </si>
  <si>
    <t>CHR-202</t>
  </si>
  <si>
    <t>Linen Saree</t>
  </si>
  <si>
    <t>Latha, Nishida</t>
  </si>
  <si>
    <t>Yellow</t>
  </si>
  <si>
    <t>CHR-203</t>
  </si>
  <si>
    <t>Kalyani Cotton Sarees with check</t>
  </si>
  <si>
    <t>CHR-204</t>
  </si>
  <si>
    <t>Matka Saree Collections</t>
  </si>
  <si>
    <t>Navya - Black Orange</t>
  </si>
  <si>
    <t>Black/pink, black/orange, violet/bottle green</t>
  </si>
  <si>
    <t>CHR-205</t>
  </si>
  <si>
    <t>Matka Saree</t>
  </si>
  <si>
    <t>Golden yellow/bottle green</t>
  </si>
  <si>
    <t>CHR-206</t>
  </si>
  <si>
    <t>Cotton Saree Collection</t>
  </si>
  <si>
    <t>Denny - green temple/brown</t>
  </si>
  <si>
    <t>Grey/black, brown/navy, purple/blue, mustard/blue</t>
  </si>
  <si>
    <t>CHR-207</t>
  </si>
  <si>
    <t>Cotton Saree Collection ( Kabhali Check)</t>
  </si>
  <si>
    <t>Navy/blue, yellow/peacock blue, violet/mustard, turquoise/violet</t>
  </si>
  <si>
    <t>CHR-208</t>
  </si>
  <si>
    <t>Kerala Saree Collections Check/Floral</t>
  </si>
  <si>
    <t>CHR-209</t>
  </si>
  <si>
    <t>Kerala Saree with lines</t>
  </si>
  <si>
    <t>Cotton Lines</t>
  </si>
  <si>
    <t>CHR-210</t>
  </si>
  <si>
    <t>Maroon/black, violet/red</t>
  </si>
  <si>
    <t>CHR-211</t>
  </si>
  <si>
    <t>CHR-212</t>
  </si>
  <si>
    <t>CHR-213</t>
  </si>
  <si>
    <t>CHR-214</t>
  </si>
  <si>
    <t>CHR-215</t>
  </si>
  <si>
    <t>CHR-216</t>
  </si>
  <si>
    <t>CHR-217</t>
  </si>
  <si>
    <t>CHR-218</t>
  </si>
  <si>
    <t>CHR-219</t>
  </si>
  <si>
    <t>CHR-220</t>
  </si>
  <si>
    <t>CHR-221</t>
  </si>
  <si>
    <t>CHR-222</t>
  </si>
  <si>
    <t>CHR-223</t>
  </si>
  <si>
    <t>CHR-224</t>
  </si>
  <si>
    <t>CHR-225</t>
  </si>
  <si>
    <t>Partner Settings</t>
  </si>
  <si>
    <t>Share %</t>
  </si>
  <si>
    <t>Total Purchases (Contributions)</t>
  </si>
  <si>
    <t>Target Contributions (by %)</t>
  </si>
  <si>
    <t>Contribution Over/(Under)</t>
  </si>
  <si>
    <t>Profit Share (Completed Only)</t>
  </si>
  <si>
    <t>Net Before Settlements</t>
  </si>
  <si>
    <t>Net Settlements (Received - Paid)</t>
  </si>
  <si>
    <t>Net Position After Settlements</t>
  </si>
  <si>
    <t>Global Settlements Log (used for Contributions, Cash Pool &amp; Profit)</t>
  </si>
  <si>
    <t>Type (Contribution/Cash/Profit)</t>
  </si>
  <si>
    <t>From Partner</t>
  </si>
  <si>
    <t>To Partner</t>
  </si>
  <si>
    <t>Contribution</t>
  </si>
  <si>
    <t xml:space="preserve"> </t>
  </si>
  <si>
    <t>Cash Pool Overview (Completed Sales Only)</t>
  </si>
  <si>
    <t>Cash Collected (Completed Sales)</t>
  </si>
  <si>
    <t>Target Cash Based on %</t>
  </si>
  <si>
    <t>Over/(Under) Collection</t>
  </si>
  <si>
    <t>Net Cash Settlements (Received - Paid)</t>
  </si>
  <si>
    <t>Cash Position After Settlements</t>
  </si>
  <si>
    <t>1. Cash Collected only counts sales with Status = "Completed".</t>
  </si>
  <si>
    <t>2. Target Cash is based on the same partner percentages as profit sharing.</t>
  </si>
  <si>
    <t>3. Over/(Under) is the raw difference before any cash settlements.</t>
  </si>
  <si>
    <t>4. Net Cash Settlements reads Type = "Cash" rows from PartnerShares Settlements Log.</t>
  </si>
  <si>
    <t>5. Cash Position After Settlements = Over/(Under) + Net Cash Settlements.</t>
  </si>
  <si>
    <t>Matka old design - Navy Blue/Bottle Green</t>
  </si>
  <si>
    <t>Leena - 950</t>
  </si>
  <si>
    <t>Net Kota Stairs</t>
  </si>
  <si>
    <t>Linu Goerge</t>
  </si>
  <si>
    <t>CHR-119 Black</t>
  </si>
  <si>
    <t>Sheeja S</t>
  </si>
  <si>
    <t>CHR-119 White</t>
  </si>
  <si>
    <t>SARANYA S</t>
  </si>
  <si>
    <t>CHR-119 Maroon</t>
  </si>
  <si>
    <t>CHR-191 (Floral Green) &amp; CHR-208 (Kathakali)</t>
  </si>
  <si>
    <t>Nishida friend - 1250</t>
  </si>
  <si>
    <t>floral peach, floral lavender</t>
  </si>
  <si>
    <t xml:space="preserve">Checks/floral + leaf, </t>
  </si>
  <si>
    <t>Nishida friend - 1400 - checks/floral + kathakali</t>
  </si>
  <si>
    <t>Navy/blue &amp; maroon/grey - Navya</t>
  </si>
  <si>
    <t>Green/Navy, Red/maroon, Dark green/Navy</t>
  </si>
  <si>
    <t>Cotton 2-piece set with blue floral prints-M (CHR-156), Short Kurti(CHR-151)-L, Dusty Rose Salwar(CHR-77)-L, Chanderis Silk Saree(Yellow-CHR-119), Matka - Lavender/Violet(CHR-174), Chikku Maroon new design(CHR-188)</t>
  </si>
  <si>
    <t>Dison Jose</t>
  </si>
  <si>
    <t>Albert (Kattapana)</t>
  </si>
  <si>
    <t>CHR-165 (Chocolate Brown)</t>
  </si>
  <si>
    <t>Chocolate Brown - Albert</t>
  </si>
  <si>
    <t xml:space="preserve">Violet, Bottle Green  </t>
  </si>
  <si>
    <t>Irene Anna Reji</t>
  </si>
  <si>
    <t>CHR-182 (Yellow Linen Saree with Lotus)</t>
  </si>
  <si>
    <t>Shinoob School</t>
  </si>
  <si>
    <t>CHR-180 - Cotton Salwar (XXL)</t>
  </si>
  <si>
    <t>Peacok Blue/Maroon - 1,
Navy Blue/Maroon - 2,
Grey/Blue - 1, Purple/Green - 1</t>
  </si>
  <si>
    <t>Sherin - Maroon/navy blue(1099), Lakshmi - Navy Blue &amp; Maroon, Jaimy - Peacok Blue/Maroon, Shinoob Cousin - Lavender/Violet, Shinoob friend - Peacok Blue/Maroon(1200)</t>
  </si>
  <si>
    <t>CHR-174 Matka new design Peacok Blue/Maroon</t>
  </si>
  <si>
    <t>CHR-201 Blue</t>
  </si>
  <si>
    <t>Komalavalli</t>
  </si>
  <si>
    <t>Banarasi bulk order - Komappas</t>
  </si>
  <si>
    <t>Parrot Green Banarasi bulk order</t>
  </si>
  <si>
    <t>Jisha Bank</t>
  </si>
  <si>
    <t>Shinoob School - 1500(XXL)</t>
  </si>
  <si>
    <t>M, L, XL</t>
  </si>
  <si>
    <t>M</t>
  </si>
  <si>
    <t>Akshitha</t>
  </si>
  <si>
    <t>Bahuleyan</t>
  </si>
  <si>
    <t>Indukala - XL, Shylaja - XXL</t>
  </si>
  <si>
    <t>Indukala - L, Shylaja - XXL</t>
  </si>
  <si>
    <t>Bank of baroda customer</t>
  </si>
  <si>
    <t>CHR-188 Red/green new banarasi</t>
  </si>
  <si>
    <t>CHR-195 Purple Cotton Saree</t>
  </si>
  <si>
    <t>light green/maroon</t>
  </si>
  <si>
    <t>Nishitha Friend - brown/maroon (1100), JIJI - Blue/maroon (1100)</t>
  </si>
  <si>
    <t>JIJI</t>
  </si>
  <si>
    <t xml:space="preserve">CHR-203 kalyani Blue/maroon </t>
  </si>
  <si>
    <t>Bank of baroda customer 2</t>
  </si>
  <si>
    <t>Shylaja Bank</t>
  </si>
  <si>
    <t>CHR-153 (XXL), CHR-155 (XXL), CHR-51(XXL) - 1000 advance</t>
  </si>
  <si>
    <t>Sruthi (1300) - L, Bank of baroda customer - M</t>
  </si>
  <si>
    <t>Susmi (1200) - L
Sreelakshmi (1000) - XL, Prema (1000) - XXL, bank of baroda customer 2- M</t>
  </si>
  <si>
    <t>Parrot Green Banarasi bulk order advance</t>
  </si>
  <si>
    <t>Renju R S</t>
  </si>
  <si>
    <t>CHR-187 - Banarasi Silk (Golden Yellow Blue)</t>
  </si>
  <si>
    <t>CHR-76 (XXL Plus white salwar) - 1100 advance, 200 balance</t>
  </si>
  <si>
    <t>CHR-87 Red Salwar with Elephant print, CHR-58 Wine Red Salwar (1000 advance, 1350 balance)</t>
  </si>
  <si>
    <t>Renju, Jisha bank</t>
  </si>
  <si>
    <t>Urmila</t>
  </si>
  <si>
    <t>Preeha Rajeevan</t>
  </si>
  <si>
    <t>Chithra - XL, Shanu - XXL (1350)</t>
  </si>
  <si>
    <t>CHR-154 Dark Brown Salwar with mirrion work - XL</t>
  </si>
  <si>
    <t>Gokul</t>
  </si>
  <si>
    <t>CHR-201 Tusser Saree Maroon &amp; Blue</t>
  </si>
  <si>
    <t>Anjumol Canada</t>
  </si>
  <si>
    <t>Gincy Jibi</t>
  </si>
  <si>
    <t>Sheeba George, Soji Thomas, Jessy Joseph, Jeeja Anil ,Sanam, Geetha, Sushama Bhaskar, Divya Jacob, Baby Johny, Jayasree, Navya, Bindu Saji, Vanajakshi, Dison Jose, Akshitha, Bahuleyan, Urmila, Gincy Jibi, Razia Salim</t>
  </si>
  <si>
    <t>Green/maroon - Rajitha Teacher,  chikku green - Razia Salim, Rust Orange/Coffee Brown - Nishida, Chikku Maroon(1200) - Nishida, Komalavalli - Red/green, peacock blue/navy - returned, mustard/blue - girija(1200)</t>
  </si>
  <si>
    <t>Golden yellow &amp; green triangle, Red &amp; Green</t>
  </si>
  <si>
    <t>mustard/blue CHR-188</t>
  </si>
  <si>
    <t>Courier Charges</t>
  </si>
  <si>
    <t>Butter paper, courier covers etc</t>
  </si>
  <si>
    <t>Sticker</t>
  </si>
  <si>
    <t>Latha(Yellow), Sari(Peach),</t>
  </si>
  <si>
    <t>Chris (Goldern with flowers), Indu Varrier, Nalini</t>
  </si>
  <si>
    <t>CHR-205 Matka, CHR-148 Tissue</t>
  </si>
  <si>
    <t>Linen Saree with elephant print</t>
  </si>
  <si>
    <t>purple - Malini, Olive green - Latha</t>
  </si>
  <si>
    <t>Navy, rani pink, olive green(2)</t>
  </si>
  <si>
    <t>Chithra- peacok blue, Indu Varier - Green, Susmi - Maroon, Jaimy - Purple/Bottle Green, Latha - Grey</t>
  </si>
  <si>
    <t>CHR-212-Red, CHR-195-Mustard,CHR-163 -Grey Narayanpet</t>
  </si>
  <si>
    <t>120-count mulmul cotton saree</t>
  </si>
  <si>
    <t>Black with gold stripes</t>
  </si>
  <si>
    <t>Chanderi Silk Saree</t>
  </si>
  <si>
    <t>Yellow/Blue</t>
  </si>
  <si>
    <t>Butter silk saree collection</t>
  </si>
  <si>
    <t xml:space="preserve">Lime Green, Parrot Green </t>
  </si>
  <si>
    <t>Shimmer Saree Collection</t>
  </si>
  <si>
    <t>Soft Mul Tissue saree Collection</t>
  </si>
  <si>
    <t>Mul Tissue saree Collection</t>
  </si>
  <si>
    <t>Lekha</t>
  </si>
  <si>
    <t>CHR-201 Yellow</t>
  </si>
  <si>
    <t>Komalavalli - Blue, Anjumol canada - Blue &amp; Red, Lekha - Yellow</t>
  </si>
  <si>
    <t>Green, Pink</t>
  </si>
  <si>
    <t>Suma Soman</t>
  </si>
  <si>
    <t>CHR-146 - Green/Yellow</t>
  </si>
  <si>
    <t>Teena Mathew</t>
  </si>
  <si>
    <t>CHR-198 Semi Silk Peach</t>
  </si>
  <si>
    <t>Ancy Philip</t>
  </si>
  <si>
    <t>CHR-146 - Navy Blue/Bottle Green</t>
  </si>
  <si>
    <t>Blue/bottle green - Saranya Hyd, Blue/red - Jothika, Mustard - Vineetha, Bottle Green/Golden Yellow - Swapna (Thrissur)-1200, Black/Golden yellow - Kavya(Kasargod) - 1200, Back/Yellow - Subha - 1200, Navy Blue/Bottle Green - Latha, Suma Soman - Green/Yellow(1100), Ancy Philip - Navy Blue/Bottle Green(1250)</t>
  </si>
  <si>
    <t>Saneesh Devasia</t>
  </si>
  <si>
    <t>Sabida</t>
  </si>
  <si>
    <t>First Set: Aruna - violet, Resmi - navy blue, Malini - Rani Pink
Second Set: Sreelekha - Black, Dona - navy Blue, Jayalakshmi - Pink, Jyothimol - Navy Blue, Amrutha - Maroon, Athira - Black, Jini - Maroon, Gopika - Black, Aji Roy - Black, Aji Roy - Mustard, Lili Kutty - Maroon, Sindhu - Black, Asha - Green, Soorya - Rani Pink, Asha Latha - Offwhite, Susmi - Off white, Revathi - Maroon &amp; Orange, Saritha - Rani Pink, Rose - Black, Bindu Krisharaj - Black, Kavitha - off white, Jisha Suresh - Rani Pink(2), Sudharma - Navy Blue, SIndrella - Maroon, Shaino Benny - Navy blue, Simi Sudhir - Navy Blue, Supriya - Green, Mercy - Black, Kalisari - Green, Latha Suresh - Black, Shinoob cousin - mustard yellow, off white returned, Sumi Boben (Jet black), Jinu (Blue), Raji VT(Black), Nishitha friend (Orange), Karthika (Blue), SIndhu (White), Linu George (Black), Sheeja S(White), Sarnya (Maroon), Saneesh (Maroon), Sabida(Maroon)</t>
  </si>
  <si>
    <t xml:space="preserve">
White(3), maroon(3)</t>
  </si>
  <si>
    <t>Ambika</t>
  </si>
  <si>
    <t>CHR-189 - Violet</t>
  </si>
  <si>
    <t>Saraladevi</t>
  </si>
  <si>
    <t>Simi Upanesh</t>
  </si>
  <si>
    <t>Sourabhya (XL - 580), Lakshmi - L</t>
  </si>
  <si>
    <t>Violet - Ambika, Navy Blue - Simi Upanesh, Light Green - Saraladevi</t>
  </si>
  <si>
    <t>CHR-189 - Navy Blue</t>
  </si>
  <si>
    <t>CHR-189 - Light Green</t>
  </si>
  <si>
    <t>Banarasi Saree with Rich Gold Zari Border</t>
  </si>
  <si>
    <t>Black</t>
  </si>
  <si>
    <t>CHR-219 Brick red</t>
  </si>
  <si>
    <t>Baby khadeeja (brick red) - 1250</t>
  </si>
  <si>
    <t>Rose pink, dusty lavender, champagne, chocolate brown, magenta</t>
  </si>
  <si>
    <t>Ranju Bank Staff</t>
  </si>
  <si>
    <t>Irene, Preetha Rajeevan, Gokul, Bank Staff (650)</t>
  </si>
  <si>
    <t>Bank Staff - cream/gold with stars and paisley(650)</t>
  </si>
  <si>
    <t>Cream/gold with leaves, cream/gold with flowers</t>
  </si>
  <si>
    <t>Shylaja - Green and maroon with golden design</t>
  </si>
  <si>
    <t>Green and maroon, deep purple and dark green, blue and dark green, rose pink and olive green, Red</t>
  </si>
  <si>
    <t>Latha - Red, Shylaja - Purple, Jisha - Red</t>
  </si>
  <si>
    <t>Yellow/Orange(4), Green, Blue</t>
  </si>
  <si>
    <t>CHR-111 white cotton salwar, Banarasi golden yellow blue</t>
  </si>
  <si>
    <t>CHR-212 - Red, CHR-214 - Yellow/Blue Chanderi Silk, CHR-95 Chinon Silk</t>
  </si>
  <si>
    <t>Teena mathew - Paeach</t>
  </si>
  <si>
    <t>pink, light green, light blue</t>
  </si>
  <si>
    <t>Niroop</t>
  </si>
  <si>
    <t>CHR-192 Small temple design</t>
  </si>
  <si>
    <t>Rust, Purple, Olive Green</t>
  </si>
  <si>
    <t>Dark Grey - returned</t>
  </si>
  <si>
    <t>Churi material with pant &amp; shawl</t>
  </si>
  <si>
    <t>Matka Silk Saree</t>
  </si>
  <si>
    <t>Matka Printed Saree</t>
  </si>
  <si>
    <t>Coffee Silk Saree</t>
  </si>
  <si>
    <t>Tussar Silk Saree</t>
  </si>
  <si>
    <t>Semi Jute Printed Saree</t>
  </si>
  <si>
    <t>Jute Saree</t>
  </si>
  <si>
    <t>Jute Silk Saree</t>
  </si>
  <si>
    <t>Modal Ajrakh Saree</t>
  </si>
  <si>
    <t>Soft Linen Saree</t>
  </si>
  <si>
    <t>Kerala Saree</t>
  </si>
  <si>
    <t>Semi Linen Sare</t>
  </si>
  <si>
    <t>Banarasi Saree (Big Buta Style)</t>
  </si>
  <si>
    <t>Silk Saree with Checks</t>
  </si>
  <si>
    <t>Semi Jute Saree</t>
  </si>
  <si>
    <t>CHR-226</t>
  </si>
  <si>
    <t>CHR-227</t>
  </si>
  <si>
    <t>CHR-228</t>
  </si>
  <si>
    <t>CHR-229</t>
  </si>
  <si>
    <t>CHR-230</t>
  </si>
  <si>
    <t>CHR-231</t>
  </si>
  <si>
    <t>CHR-232</t>
  </si>
  <si>
    <t>CHR-233</t>
  </si>
  <si>
    <t>CHR-234</t>
  </si>
  <si>
    <t>CHR-235</t>
  </si>
  <si>
    <t>CHR-236</t>
  </si>
  <si>
    <t>CHR-237</t>
  </si>
  <si>
    <t>White</t>
  </si>
  <si>
    <t>Light Blue/Navy Blue, Black/Red, Red/Green, Violet/Green, Green/Red</t>
  </si>
  <si>
    <t>Brown</t>
  </si>
  <si>
    <t>Black, Wine</t>
  </si>
  <si>
    <t>Jet Black</t>
  </si>
  <si>
    <t>Black/Silver</t>
  </si>
  <si>
    <t>Black, Maroon, Violet, Rani Pink, Olive Green, Navy Blue</t>
  </si>
  <si>
    <t>Golden (Different Designs)</t>
  </si>
  <si>
    <t>-</t>
  </si>
  <si>
    <t>White with Butterfly (Different Border Colors)</t>
  </si>
  <si>
    <t>Blue, Beige/Green, Orange/Maroon</t>
  </si>
  <si>
    <t>Pink with Silver Butas, Black/Red, Wine/Green, Yellow/Black</t>
  </si>
  <si>
    <t>Green, Red, Olive Green</t>
  </si>
  <si>
    <t>Blue, Pink, Black</t>
  </si>
  <si>
    <t>1479 - Jiji Fried</t>
  </si>
  <si>
    <t>CHR-214 - Yellow/Blue Chanderi Silk</t>
  </si>
  <si>
    <t>CHR-182 (Yellow Linen Saree with Lotus, CHR-217 cream/gold with stars and paisley &amp; cream/gold with flowers - 1000 advance, 900 - pending</t>
  </si>
  <si>
    <t>CHR-212 - Purple, CHR-215 - Green and Maroon with golden design, CHR-172 - Kathakali - 1000 advance, 2000 pending</t>
  </si>
  <si>
    <t>Asha Sharath (Haritha Karma Sena Bulk Order)</t>
  </si>
  <si>
    <t>Asha Sharath (Haritha Karma Sena Bulk - 6 pieces)</t>
  </si>
  <si>
    <t>Parrot Green Banarasi - 6 pieces from bulk</t>
  </si>
  <si>
    <t>1250 X 6</t>
  </si>
  <si>
    <t>Asha Sandran</t>
  </si>
  <si>
    <t>Jisha Bank, Asha Sandran</t>
  </si>
  <si>
    <t>CHR-232 - Kerala Saree</t>
  </si>
  <si>
    <t>Jiji Friend</t>
  </si>
  <si>
    <t>Prabha Chidambaram - Purple/Green</t>
  </si>
  <si>
    <t>Maroon/Mustard, Green/Coffee Brown</t>
  </si>
  <si>
    <t>CHR-223 - Purple/Green, CHR-229 - Black</t>
  </si>
  <si>
    <t>Rajan</t>
  </si>
  <si>
    <t>Blue, Wine</t>
  </si>
  <si>
    <t>Prabha Chidambaram -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</si>
</sst>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yyyy\-mm\-dd;@"/>
    <numFmt numFmtId="166" formatCode="m/d/yyyy"/>
  </numFmts>
  <fonts count="32">
    <font>
      <sz val="11"/>
      <color theme="1"/>
      <name val="Calibri"/>
      <family val="2"/>
      <charset val="1"/>
    </font>
    <font>
      <sz val="14"/>
      <color theme="1"/>
      <name val="Calibri (Body)"/>
      <charset val="1"/>
    </font>
    <font>
      <sz val="14"/>
      <name val="Calibri (Body)"/>
      <charset val="1"/>
    </font>
    <font>
      <b/>
      <sz val="14"/>
      <color rgb="FFFFFFFF"/>
      <name val="Calibri (Body)"/>
      <charset val="1"/>
    </font>
    <font>
      <sz val="11"/>
      <color theme="1"/>
      <name val="Trebuchet MS"/>
      <family val="2"/>
      <charset val="1"/>
    </font>
    <font>
      <b/>
      <sz val="16"/>
      <color theme="1"/>
      <name val="Trebuchet MS"/>
      <family val="2"/>
      <charset val="1"/>
    </font>
    <font>
      <b/>
      <sz val="11"/>
      <name val="Trebuchet MS"/>
      <family val="2"/>
      <charset val="1"/>
    </font>
    <font>
      <b/>
      <sz val="14"/>
      <color rgb="FF002060"/>
      <name val="Trebuchet MS"/>
      <family val="2"/>
      <charset val="1"/>
    </font>
    <font>
      <b/>
      <sz val="11"/>
      <color rgb="FF00B050"/>
      <name val="Trebuchet MS"/>
      <family val="2"/>
      <charset val="1"/>
    </font>
    <font>
      <b/>
      <sz val="11"/>
      <color rgb="FFFF0000"/>
      <name val="Trebuchet MS"/>
      <family val="2"/>
      <charset val="1"/>
    </font>
    <font>
      <b/>
      <sz val="16"/>
      <name val="Calibri"/>
      <family val="2"/>
      <charset val="1"/>
    </font>
    <font>
      <b/>
      <sz val="11"/>
      <name val="Calibri"/>
      <family val="2"/>
      <charset val="1"/>
    </font>
    <font>
      <b/>
      <sz val="11"/>
      <name val="Cambria"/>
      <family val="1"/>
      <charset val="1"/>
    </font>
    <font>
      <b/>
      <sz val="12"/>
      <color rgb="FF0070C0"/>
      <name val="Cambria"/>
      <family val="1"/>
      <charset val="1"/>
    </font>
    <font>
      <b/>
      <sz val="11"/>
      <color rgb="FF444746"/>
      <name val="Arial"/>
      <family val="2"/>
      <charset val="1"/>
    </font>
    <font>
      <b/>
      <sz val="11"/>
      <color rgb="FF1F1F1F"/>
      <name val="Arial"/>
      <family val="2"/>
      <charset val="1"/>
    </font>
    <font>
      <sz val="11"/>
      <color rgb="FF1F1F1F"/>
      <name val="Arial"/>
      <family val="2"/>
      <charset val="1"/>
    </font>
    <font>
      <i/>
      <sz val="11"/>
      <color rgb="FF1F1F1F"/>
      <name val="Arial"/>
      <family val="2"/>
      <charset val="1"/>
    </font>
    <font>
      <sz val="10"/>
      <color rgb="FF444746"/>
      <name val="Google Sans Text"/>
      <family val="2"/>
      <charset val="1"/>
    </font>
    <font>
      <b/>
      <sz val="9"/>
      <name val="Trebuchet MS"/>
      <family val="2"/>
      <charset val="1"/>
    </font>
    <font>
      <sz val="9"/>
      <color theme="1"/>
      <name val="Trebuchet MS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Trebuchet MS"/>
      <family val="2"/>
      <charset val="1"/>
    </font>
    <font>
      <b/>
      <sz val="10"/>
      <name val="Trebuchet MS"/>
      <family val="2"/>
      <charset val="1"/>
    </font>
    <font>
      <b/>
      <sz val="12"/>
      <name val="Trebuchet MS"/>
      <family val="2"/>
      <charset val="1"/>
    </font>
    <font>
      <sz val="12"/>
      <color theme="1"/>
      <name val="Trebuchet MS"/>
      <family val="2"/>
      <charset val="1"/>
    </font>
    <font>
      <strike/>
      <sz val="11"/>
      <color theme="1"/>
      <name val="Trebuchet MS"/>
      <family val="2"/>
      <charset val="1"/>
    </font>
    <font>
      <sz val="12"/>
      <color theme="1"/>
      <name val="Arial"/>
      <family val="2"/>
      <charset val="1"/>
    </font>
    <font>
      <b/>
      <sz val="11"/>
      <color theme="1"/>
      <name val="Trebuchet MS"/>
      <family val="2"/>
      <charset val="1"/>
    </font>
    <font>
      <b/>
      <sz val="12"/>
      <color theme="1"/>
      <name val="Trebuchet MS"/>
      <family val="2"/>
      <charset val="1"/>
    </font>
    <font>
      <sz val="8"/>
      <name val="Calibri"/>
      <family val="2"/>
      <charset val="1"/>
    </font>
    <font>
      <sz val="12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4F81BD"/>
        <bgColor rgb="FF4A7EBB"/>
      </patternFill>
    </fill>
    <fill>
      <patternFill patternType="solid">
        <fgColor rgb="FFBDD7EE"/>
        <bgColor rgb="FFD0D0D0"/>
      </patternFill>
    </fill>
    <fill>
      <patternFill patternType="solid">
        <fgColor rgb="FFE9F2FB"/>
        <bgColor rgb="FFF2F2F2"/>
      </patternFill>
    </fill>
    <fill>
      <patternFill patternType="solid">
        <fgColor rgb="FF9DC3E6"/>
        <bgColor rgb="FF99CCFF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79979857783745845"/>
        <bgColor rgb="FFE9F2FB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 indent="2"/>
    </xf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1" fillId="0" borderId="0" xfId="0" applyFont="1"/>
    <xf numFmtId="164" fontId="0" fillId="0" borderId="0" xfId="0" applyNumberFormat="1"/>
    <xf numFmtId="0" fontId="0" fillId="4" borderId="1" xfId="0" applyFill="1" applyBorder="1" applyAlignment="1">
      <alignment horizontal="right" vertical="center"/>
    </xf>
    <xf numFmtId="0" fontId="12" fillId="0" borderId="0" xfId="0" applyFont="1"/>
    <xf numFmtId="0" fontId="13" fillId="6" borderId="0" xfId="0" applyFont="1" applyFill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5" fontId="19" fillId="3" borderId="2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65" fontId="20" fillId="4" borderId="2" xfId="0" applyNumberFormat="1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right" vertical="center"/>
    </xf>
    <xf numFmtId="165" fontId="20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right" vertical="center"/>
    </xf>
    <xf numFmtId="0" fontId="21" fillId="0" borderId="0" xfId="0" applyFont="1"/>
    <xf numFmtId="0" fontId="22" fillId="0" borderId="0" xfId="0" applyFont="1" applyAlignment="1">
      <alignment wrapText="1"/>
    </xf>
    <xf numFmtId="0" fontId="23" fillId="3" borderId="2" xfId="0" applyFont="1" applyFill="1" applyBorder="1" applyAlignment="1">
      <alignment horizontal="left" vertical="center" wrapText="1"/>
    </xf>
    <xf numFmtId="0" fontId="22" fillId="4" borderId="2" xfId="0" applyFont="1" applyFill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24" fillId="3" borderId="2" xfId="0" applyFont="1" applyFill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2" xfId="0" applyFont="1" applyBorder="1" applyAlignment="1">
      <alignment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4" fillId="0" borderId="3" xfId="0" applyFont="1" applyBorder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7" borderId="0" xfId="0" applyFont="1" applyFill="1" applyAlignment="1">
      <alignment wrapText="1"/>
    </xf>
    <xf numFmtId="0" fontId="4" fillId="7" borderId="2" xfId="0" applyFont="1" applyFill="1" applyBorder="1" applyAlignment="1">
      <alignment wrapText="1"/>
    </xf>
    <xf numFmtId="0" fontId="26" fillId="4" borderId="2" xfId="0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right" vertical="center" wrapText="1"/>
    </xf>
    <xf numFmtId="0" fontId="26" fillId="0" borderId="0" xfId="0" applyFont="1" applyAlignment="1">
      <alignment wrapText="1"/>
    </xf>
    <xf numFmtId="0" fontId="26" fillId="0" borderId="2" xfId="0" applyFont="1" applyBorder="1" applyAlignment="1">
      <alignment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righ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right" vertical="center" wrapText="1"/>
    </xf>
    <xf numFmtId="0" fontId="4" fillId="8" borderId="0" xfId="0" applyFont="1" applyFill="1" applyAlignment="1">
      <alignment wrapText="1"/>
    </xf>
    <xf numFmtId="0" fontId="4" fillId="8" borderId="2" xfId="0" applyFont="1" applyFill="1" applyBorder="1" applyAlignment="1">
      <alignment wrapText="1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1" fontId="4" fillId="0" borderId="1" xfId="0" applyNumberFormat="1" applyFont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left" vertical="center"/>
    </xf>
    <xf numFmtId="0" fontId="29" fillId="0" borderId="0" xfId="0" applyFont="1"/>
    <xf numFmtId="166" fontId="4" fillId="0" borderId="1" xfId="0" applyNumberFormat="1" applyFont="1" applyBorder="1" applyAlignment="1">
      <alignment horizontal="left" vertical="center"/>
    </xf>
    <xf numFmtId="166" fontId="4" fillId="4" borderId="1" xfId="0" applyNumberFormat="1" applyFont="1" applyFill="1" applyBorder="1" applyAlignment="1">
      <alignment horizontal="left" vertical="center"/>
    </xf>
    <xf numFmtId="0" fontId="28" fillId="0" borderId="0" xfId="0" applyFont="1"/>
    <xf numFmtId="0" fontId="27" fillId="0" borderId="2" xfId="0" applyFont="1" applyBorder="1" applyAlignment="1">
      <alignment wrapText="1"/>
    </xf>
    <xf numFmtId="165" fontId="23" fillId="3" borderId="2" xfId="0" applyNumberFormat="1" applyFont="1" applyFill="1" applyBorder="1" applyAlignment="1">
      <alignment horizontal="left" vertical="center" wrapText="1"/>
    </xf>
    <xf numFmtId="0" fontId="22" fillId="0" borderId="0" xfId="0" applyFont="1" applyAlignment="1">
      <alignment horizontal="left" wrapText="1"/>
    </xf>
    <xf numFmtId="165" fontId="22" fillId="4" borderId="2" xfId="0" applyNumberFormat="1" applyFont="1" applyFill="1" applyBorder="1" applyAlignment="1">
      <alignment horizontal="left" vertical="center" wrapText="1"/>
    </xf>
    <xf numFmtId="0" fontId="22" fillId="4" borderId="2" xfId="0" applyFont="1" applyFill="1" applyBorder="1" applyAlignment="1">
      <alignment horizontal="right" vertical="center" wrapText="1"/>
    </xf>
    <xf numFmtId="165" fontId="22" fillId="0" borderId="2" xfId="0" applyNumberFormat="1" applyFont="1" applyBorder="1" applyAlignment="1">
      <alignment horizontal="left" vertical="center" wrapText="1"/>
    </xf>
    <xf numFmtId="0" fontId="22" fillId="0" borderId="2" xfId="0" applyFont="1" applyBorder="1" applyAlignment="1">
      <alignment horizontal="right" vertical="center" wrapText="1"/>
    </xf>
    <xf numFmtId="0" fontId="31" fillId="0" borderId="2" xfId="0" applyFont="1" applyBorder="1" applyAlignment="1">
      <alignment wrapText="1"/>
    </xf>
    <xf numFmtId="0" fontId="10" fillId="3" borderId="0" xfId="0" applyFont="1" applyFill="1" applyAlignment="1">
      <alignment horizontal="center" vertical="center"/>
    </xf>
    <xf numFmtId="0" fontId="28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2E5F99"/>
      <rgbColor rgb="FFD0D0D0"/>
      <rgbColor rgb="FF878787"/>
      <rgbColor rgb="FF9DC3E6"/>
      <rgbColor rgb="FFBE4B48"/>
      <rgbColor rgb="FFFFF2CC"/>
      <rgbColor rgb="FFE9F2FB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DCE6F2"/>
      <rgbColor rgb="FFC6EFCE"/>
      <rgbColor rgb="FFF2F2F2"/>
      <rgbColor rgb="FF99CCFF"/>
      <rgbColor rgb="FFFF99CC"/>
      <rgbColor rgb="FFD9D9D9"/>
      <rgbColor rgb="FFFFC7CE"/>
      <rgbColor rgb="FF397BCA"/>
      <rgbColor rgb="FF4F81BD"/>
      <rgbColor rgb="FF9BBB59"/>
      <rgbColor rgb="FFFFCC00"/>
      <rgbColor rgb="FFFF9900"/>
      <rgbColor rgb="FFFF6600"/>
      <rgbColor rgb="FF595959"/>
      <rgbColor rgb="FF888888"/>
      <rgbColor rgb="FF002060"/>
      <rgbColor rgb="FF00B050"/>
      <rgbColor rgb="FF1F1F1F"/>
      <rgbColor rgb="FF262626"/>
      <rgbColor rgb="FF444746"/>
      <rgbColor rgb="FFC0504D"/>
      <rgbColor rgb="FF404040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595959"/>
                </a:solidFill>
                <a:uFillTx/>
                <a:latin typeface="Calibri"/>
              </a:rPr>
              <a:t> </a:t>
            </a:r>
            <a:r>
              <a:rPr lang="en-US" sz="1800" b="1" u="none" strike="noStrike">
                <a:solidFill>
                  <a:srgbClr val="3A3A3A"/>
                </a:solidFill>
                <a:uFillTx/>
                <a:latin typeface="Calibri"/>
              </a:rPr>
              <a:t>Sold vs Pending by Category </a:t>
            </a:r>
          </a:p>
        </c:rich>
      </c:tx>
      <c:layout>
        <c:manualLayout>
          <c:xMode val="edge"/>
          <c:yMode val="edge"/>
          <c:x val="0.14784805715281399"/>
          <c:y val="5.2342318764721295E-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009757797525699E-2"/>
          <c:y val="0.16252289976445999"/>
          <c:w val="0.90233490155079299"/>
          <c:h val="0.61476053389165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Dashboard!$G$46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Dashboard!$G$47:$G$49</c:f>
              <c:numCache>
                <c:formatCode>General</c:formatCode>
                <c:ptCount val="3"/>
                <c:pt idx="0">
                  <c:v>307</c:v>
                </c:pt>
                <c:pt idx="1">
                  <c:v>96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3-D641-A8F9-04B7891720FC}"/>
            </c:ext>
          </c:extLst>
        </c:ser>
        <c:ser>
          <c:idx val="1"/>
          <c:order val="1"/>
          <c:tx>
            <c:strRef>
              <c:f>Dashboard!$H$46</c:f>
              <c:strCache>
                <c:ptCount val="1"/>
                <c:pt idx="0">
                  <c:v>Qty Pending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Dashboard!$H$47:$H$49</c:f>
              <c:numCache>
                <c:formatCode>General</c:formatCode>
                <c:ptCount val="3"/>
                <c:pt idx="0">
                  <c:v>216</c:v>
                </c:pt>
                <c:pt idx="1">
                  <c:v>54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33-D641-A8F9-04B789172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18294"/>
        <c:axId val="60271389"/>
      </c:barChart>
      <c:catAx>
        <c:axId val="940182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60271389"/>
        <c:crosses val="autoZero"/>
        <c:auto val="1"/>
        <c:lblAlgn val="ctr"/>
        <c:lblOffset val="100"/>
        <c:noMultiLvlLbl val="0"/>
      </c:catAx>
      <c:valAx>
        <c:axId val="602713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940182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Calibri"/>
              </a:rPr>
              <a:t>Pending Value by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059024807527804E-2"/>
          <c:y val="0.201575837163493"/>
          <c:w val="0.86432848588537203"/>
          <c:h val="0.7092580433355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Dashboard!$K$46</c:f>
              <c:strCache>
                <c:ptCount val="1"/>
                <c:pt idx="0">
                  <c:v>Pending Value (₹)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D9D9D9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Dashboard!$J$47:$J$49</c:f>
              <c:strCache>
                <c:ptCount val="3"/>
                <c:pt idx="0">
                  <c:v>Salwar</c:v>
                </c:pt>
                <c:pt idx="1">
                  <c:v>Saree</c:v>
                </c:pt>
                <c:pt idx="2">
                  <c:v>Kurti</c:v>
                </c:pt>
              </c:strCache>
            </c:strRef>
          </c:cat>
          <c:val>
            <c:numRef>
              <c:f>Dashboard!$K$47:$K$49</c:f>
              <c:numCache>
                <c:formatCode>General</c:formatCode>
                <c:ptCount val="3"/>
                <c:pt idx="0">
                  <c:v>57128</c:v>
                </c:pt>
                <c:pt idx="1">
                  <c:v>160465.19666666666</c:v>
                </c:pt>
                <c:pt idx="2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E-E148-B6E7-2C5AB9AA5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8277"/>
        <c:axId val="39680802"/>
      </c:barChart>
      <c:catAx>
        <c:axId val="18182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D9D9D9"/>
                </a:solidFill>
                <a:uFillTx/>
                <a:latin typeface="Calibri"/>
              </a:defRPr>
            </a:pPr>
            <a:endParaRPr lang="en-US"/>
          </a:p>
        </c:txPr>
        <c:crossAx val="39680802"/>
        <c:crosses val="autoZero"/>
        <c:auto val="1"/>
        <c:lblAlgn val="ctr"/>
        <c:lblOffset val="100"/>
        <c:noMultiLvlLbl val="0"/>
      </c:catAx>
      <c:valAx>
        <c:axId val="39680802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D9D9D9"/>
                </a:solidFill>
                <a:uFillTx/>
                <a:latin typeface="Calibri"/>
              </a:defRPr>
            </a:pPr>
            <a:endParaRPr lang="en-US"/>
          </a:p>
        </c:txPr>
        <c:crossAx val="18182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Purchases vs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Purchases (₹)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Dashboard!$B$10:$B$21</c:f>
              <c:numCache>
                <c:formatCode>General</c:formatCode>
                <c:ptCount val="12"/>
                <c:pt idx="0">
                  <c:v>47311</c:v>
                </c:pt>
                <c:pt idx="1">
                  <c:v>5152</c:v>
                </c:pt>
                <c:pt idx="2">
                  <c:v>22172</c:v>
                </c:pt>
                <c:pt idx="3">
                  <c:v>71002</c:v>
                </c:pt>
                <c:pt idx="4">
                  <c:v>4449</c:v>
                </c:pt>
                <c:pt idx="5">
                  <c:v>99043</c:v>
                </c:pt>
                <c:pt idx="6">
                  <c:v>102200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3-0C43-A8E4-236F52C838CC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Sales (₹)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Dashboard!$C$10:$C$21</c:f>
              <c:numCache>
                <c:formatCode>General</c:formatCode>
                <c:ptCount val="12"/>
                <c:pt idx="0">
                  <c:v>45448</c:v>
                </c:pt>
                <c:pt idx="1">
                  <c:v>19089</c:v>
                </c:pt>
                <c:pt idx="2">
                  <c:v>16248</c:v>
                </c:pt>
                <c:pt idx="3">
                  <c:v>54177</c:v>
                </c:pt>
                <c:pt idx="4">
                  <c:v>54624</c:v>
                </c:pt>
                <c:pt idx="5">
                  <c:v>72885</c:v>
                </c:pt>
                <c:pt idx="6">
                  <c:v>62696</c:v>
                </c:pt>
                <c:pt idx="7">
                  <c:v>9829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3-0C43-A8E4-236F52C83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232224"/>
        <c:axId val="71594860"/>
      </c:lineChart>
      <c:catAx>
        <c:axId val="252322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594860"/>
        <c:crosses val="autoZero"/>
        <c:auto val="1"/>
        <c:lblAlgn val="ctr"/>
        <c:lblOffset val="100"/>
        <c:noMultiLvlLbl val="0"/>
      </c:catAx>
      <c:valAx>
        <c:axId val="715948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52322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Net Cash Flow (₹)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Dashboard!$D$10:$D$21</c:f>
              <c:numCache>
                <c:formatCode>General</c:formatCode>
                <c:ptCount val="12"/>
                <c:pt idx="0">
                  <c:v>-1863</c:v>
                </c:pt>
                <c:pt idx="1">
                  <c:v>13937</c:v>
                </c:pt>
                <c:pt idx="2">
                  <c:v>-5924</c:v>
                </c:pt>
                <c:pt idx="3">
                  <c:v>-16825</c:v>
                </c:pt>
                <c:pt idx="4">
                  <c:v>50175</c:v>
                </c:pt>
                <c:pt idx="5">
                  <c:v>-26158</c:v>
                </c:pt>
                <c:pt idx="6">
                  <c:v>-39504</c:v>
                </c:pt>
                <c:pt idx="7">
                  <c:v>9829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7-0643-9053-7C910E74A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612119"/>
        <c:axId val="51522391"/>
      </c:lineChart>
      <c:catAx>
        <c:axId val="106121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1522391"/>
        <c:crosses val="autoZero"/>
        <c:auto val="1"/>
        <c:lblAlgn val="ctr"/>
        <c:lblOffset val="100"/>
        <c:noMultiLvlLbl val="0"/>
      </c:catAx>
      <c:valAx>
        <c:axId val="51522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06121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Qty Sold vs Pending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99041267194701"/>
          <c:y val="0.203252032520325"/>
          <c:w val="0.70354314297623999"/>
          <c:h val="0.61013133208255199"/>
        </c:manualLayout>
      </c:layout>
      <c:pieChart>
        <c:varyColors val="1"/>
        <c:ser>
          <c:idx val="0"/>
          <c:order val="0"/>
          <c:tx>
            <c:strRef>
              <c:f>Dashboard!$G$9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DA2-6642-A350-11F859A939FC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DA2-6642-A350-11F859A939F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A2-6642-A350-11F859A939F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A2-6642-A350-11F859A939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Dashboard!$F$10:$F$11</c:f>
              <c:strCache>
                <c:ptCount val="2"/>
                <c:pt idx="0">
                  <c:v>Qty Sold</c:v>
                </c:pt>
                <c:pt idx="1">
                  <c:v>Qty Pending</c:v>
                </c:pt>
              </c:strCache>
            </c:strRef>
          </c:cat>
          <c:val>
            <c:numRef>
              <c:f>Dashboard!$G$10:$G$11</c:f>
              <c:numCache>
                <c:formatCode>General</c:formatCode>
                <c:ptCount val="2"/>
                <c:pt idx="0">
                  <c:v>408</c:v>
                </c:pt>
                <c:pt idx="1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A2-6642-A350-11F859A93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888888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330120</xdr:colOff>
      <xdr:row>4</xdr:row>
      <xdr:rowOff>184320</xdr:rowOff>
    </xdr:from>
    <xdr:to>
      <xdr:col>12</xdr:col>
      <xdr:colOff>10440</xdr:colOff>
      <xdr:row>19</xdr:row>
      <xdr:rowOff>68040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343080</xdr:colOff>
      <xdr:row>23</xdr:row>
      <xdr:rowOff>76320</xdr:rowOff>
    </xdr:from>
    <xdr:to>
      <xdr:col>12</xdr:col>
      <xdr:colOff>99720</xdr:colOff>
      <xdr:row>37</xdr:row>
      <xdr:rowOff>150480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3</xdr:col>
      <xdr:colOff>134280</xdr:colOff>
      <xdr:row>41</xdr:row>
      <xdr:rowOff>168840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43</xdr:row>
      <xdr:rowOff>38160</xdr:rowOff>
    </xdr:from>
    <xdr:to>
      <xdr:col>3</xdr:col>
      <xdr:colOff>134280</xdr:colOff>
      <xdr:row>62</xdr:row>
      <xdr:rowOff>16560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25560</xdr:colOff>
      <xdr:row>23</xdr:row>
      <xdr:rowOff>0</xdr:rowOff>
    </xdr:from>
    <xdr:to>
      <xdr:col>6</xdr:col>
      <xdr:colOff>525600</xdr:colOff>
      <xdr:row>38</xdr:row>
      <xdr:rowOff>20520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3"/>
  <sheetViews>
    <sheetView zoomScaleNormal="100" workbookViewId="0"/>
  </sheetViews>
  <sheetFormatPr baseColWidth="10" defaultColWidth="10.83203125" defaultRowHeight="18.75" customHeight="1"/>
  <cols>
    <col min="1" max="1" width="106.5" style="1" customWidth="1"/>
    <col min="2" max="16384" width="10.83203125" style="1"/>
  </cols>
  <sheetData>
    <row r="1" spans="1:1" ht="19.5" customHeight="1">
      <c r="A1" s="2" t="s">
        <v>0</v>
      </c>
    </row>
    <row r="2" spans="1:1" ht="19.5" customHeight="1">
      <c r="A2" s="3" t="s">
        <v>1</v>
      </c>
    </row>
    <row r="3" spans="1:1" ht="19.5" customHeight="1">
      <c r="A3" s="2" t="s">
        <v>2</v>
      </c>
    </row>
    <row r="4" spans="1:1" ht="19.5" customHeight="1">
      <c r="A4" s="2" t="s">
        <v>3</v>
      </c>
    </row>
    <row r="5" spans="1:1" ht="19.5" customHeight="1">
      <c r="A5" s="2" t="s">
        <v>4</v>
      </c>
    </row>
    <row r="6" spans="1:1" ht="19.5" customHeight="1">
      <c r="A6" s="2" t="s">
        <v>5</v>
      </c>
    </row>
    <row r="7" spans="1:1" ht="18.75" customHeight="1">
      <c r="A7" s="2"/>
    </row>
    <row r="8" spans="1:1" ht="19.5" customHeight="1">
      <c r="A8" s="4" t="s">
        <v>6</v>
      </c>
    </row>
    <row r="9" spans="1:1" ht="18.75" customHeight="1">
      <c r="A9" s="2"/>
    </row>
    <row r="10" spans="1:1" ht="19.5" customHeight="1">
      <c r="A10" s="2" t="s">
        <v>7</v>
      </c>
    </row>
    <row r="11" spans="1:1" ht="19.5" customHeight="1">
      <c r="A11" s="2" t="s">
        <v>8</v>
      </c>
    </row>
    <row r="12" spans="1:1" ht="19.5" customHeight="1">
      <c r="A12" s="2" t="s">
        <v>9</v>
      </c>
    </row>
    <row r="13" spans="1:1" ht="18.75" customHeight="1">
      <c r="A13" s="2"/>
    </row>
    <row r="14" spans="1:1" ht="19.5" customHeight="1">
      <c r="A14" s="4" t="s">
        <v>10</v>
      </c>
    </row>
    <row r="15" spans="1:1" ht="19.5" customHeight="1">
      <c r="A15" s="5" t="s">
        <v>11</v>
      </c>
    </row>
    <row r="16" spans="1:1" ht="19.5" customHeight="1">
      <c r="A16" s="5" t="s">
        <v>12</v>
      </c>
    </row>
    <row r="17" spans="1:1" ht="18.75" customHeight="1">
      <c r="A17" s="2"/>
    </row>
    <row r="18" spans="1:1" ht="19.5" customHeight="1">
      <c r="A18" s="4" t="s">
        <v>13</v>
      </c>
    </row>
    <row r="19" spans="1:1" ht="19.5" customHeight="1">
      <c r="A19" s="5" t="s">
        <v>14</v>
      </c>
    </row>
    <row r="20" spans="1:1" ht="19.5" customHeight="1">
      <c r="A20" s="5" t="s">
        <v>15</v>
      </c>
    </row>
    <row r="21" spans="1:1" ht="19.5" customHeight="1">
      <c r="A21" s="5" t="s">
        <v>16</v>
      </c>
    </row>
    <row r="22" spans="1:1" ht="18.75" customHeight="1">
      <c r="A22" s="2"/>
    </row>
    <row r="23" spans="1:1" ht="19.5" customHeight="1">
      <c r="A23" s="4" t="s">
        <v>17</v>
      </c>
    </row>
    <row r="24" spans="1:1" ht="19.5" customHeight="1">
      <c r="A24" s="5" t="s">
        <v>18</v>
      </c>
    </row>
    <row r="25" spans="1:1" ht="19.5" customHeight="1">
      <c r="A25" s="5" t="s">
        <v>19</v>
      </c>
    </row>
    <row r="26" spans="1:1" ht="19.5" customHeight="1">
      <c r="A26" s="5" t="s">
        <v>20</v>
      </c>
    </row>
    <row r="27" spans="1:1" ht="18.75" customHeight="1">
      <c r="A27" s="2"/>
    </row>
    <row r="28" spans="1:1" ht="19.5" customHeight="1">
      <c r="A28" s="4" t="s">
        <v>21</v>
      </c>
    </row>
    <row r="29" spans="1:1" ht="19.5" customHeight="1">
      <c r="A29" s="5" t="s">
        <v>22</v>
      </c>
    </row>
    <row r="30" spans="1:1" ht="19.5" customHeight="1">
      <c r="A30" s="5" t="s">
        <v>23</v>
      </c>
    </row>
    <row r="31" spans="1:1" ht="18.75" customHeight="1">
      <c r="A31" s="2"/>
    </row>
    <row r="32" spans="1:1" ht="19.5" customHeight="1">
      <c r="A32" s="4" t="s">
        <v>24</v>
      </c>
    </row>
    <row r="33" spans="1:1" ht="19.5" customHeight="1">
      <c r="A33" s="5" t="s">
        <v>25</v>
      </c>
    </row>
    <row r="34" spans="1:1" ht="19.5" customHeight="1">
      <c r="A34" s="5" t="s">
        <v>26</v>
      </c>
    </row>
    <row r="35" spans="1:1" ht="18.75" customHeight="1">
      <c r="A35" s="2"/>
    </row>
    <row r="36" spans="1:1" ht="19.5" customHeight="1">
      <c r="A36" s="4" t="s">
        <v>27</v>
      </c>
    </row>
    <row r="37" spans="1:1" ht="19.5" customHeight="1">
      <c r="A37" s="2" t="s">
        <v>28</v>
      </c>
    </row>
    <row r="38" spans="1:1" ht="19.5" customHeight="1">
      <c r="A38" s="2" t="s">
        <v>29</v>
      </c>
    </row>
    <row r="39" spans="1:1" ht="19.5" customHeight="1">
      <c r="A39" s="2" t="s">
        <v>30</v>
      </c>
    </row>
    <row r="40" spans="1:1" ht="19.5" customHeight="1">
      <c r="A40" s="2" t="s">
        <v>31</v>
      </c>
    </row>
    <row r="41" spans="1:1" ht="18.75" customHeight="1">
      <c r="A41" s="2"/>
    </row>
    <row r="42" spans="1:1" ht="19.5" customHeight="1">
      <c r="A42" s="4" t="s">
        <v>32</v>
      </c>
    </row>
    <row r="43" spans="1:1" ht="39.75" customHeight="1">
      <c r="A43" s="5" t="s">
        <v>33</v>
      </c>
    </row>
    <row r="44" spans="1:1" ht="39.75" customHeight="1">
      <c r="A44" s="5" t="s">
        <v>34</v>
      </c>
    </row>
    <row r="45" spans="1:1" ht="18.75" customHeight="1">
      <c r="A45" s="2"/>
    </row>
    <row r="46" spans="1:1" ht="19.5" customHeight="1">
      <c r="A46" s="4" t="s">
        <v>35</v>
      </c>
    </row>
    <row r="47" spans="1:1" ht="19.5" customHeight="1">
      <c r="A47" s="5" t="s">
        <v>36</v>
      </c>
    </row>
    <row r="48" spans="1:1" ht="19.5" customHeight="1">
      <c r="A48" s="5" t="s">
        <v>37</v>
      </c>
    </row>
    <row r="49" spans="1:1" ht="18.75" customHeight="1">
      <c r="A49" s="2"/>
    </row>
    <row r="50" spans="1:1" ht="19.5" customHeight="1">
      <c r="A50" s="2" t="s">
        <v>38</v>
      </c>
    </row>
    <row r="51" spans="1:1" ht="18.75" customHeight="1">
      <c r="A51" s="2"/>
    </row>
    <row r="52" spans="1:1" ht="18.75" customHeight="1">
      <c r="A52" s="2"/>
    </row>
    <row r="53" spans="1:1" ht="18.75" customHeight="1">
      <c r="A53" s="2"/>
    </row>
    <row r="54" spans="1:1" ht="18.75" customHeight="1">
      <c r="A54" s="2"/>
    </row>
    <row r="55" spans="1:1" ht="18.75" customHeight="1">
      <c r="A55" s="2"/>
    </row>
    <row r="56" spans="1:1" ht="18.75" customHeight="1">
      <c r="A56" s="2"/>
    </row>
    <row r="57" spans="1:1" ht="18.75" customHeight="1">
      <c r="A57" s="2"/>
    </row>
    <row r="58" spans="1:1" ht="18.75" customHeight="1">
      <c r="A58" s="2"/>
    </row>
    <row r="59" spans="1:1" ht="18.75" customHeight="1">
      <c r="A59" s="2"/>
    </row>
    <row r="60" spans="1:1" ht="18.75" customHeight="1">
      <c r="A60" s="2"/>
    </row>
    <row r="61" spans="1:1" ht="18.75" customHeight="1">
      <c r="A61" s="2"/>
    </row>
    <row r="62" spans="1:1" ht="18.75" customHeight="1">
      <c r="A62" s="2"/>
    </row>
    <row r="63" spans="1:1" ht="18.75" customHeight="1">
      <c r="A63" s="2"/>
    </row>
    <row r="64" spans="1:1" ht="18.75" customHeight="1">
      <c r="A64" s="2"/>
    </row>
    <row r="65" spans="1:1" ht="18.75" customHeight="1">
      <c r="A65" s="2"/>
    </row>
    <row r="66" spans="1:1" ht="18.75" customHeight="1">
      <c r="A66" s="2"/>
    </row>
    <row r="67" spans="1:1" ht="18.75" customHeight="1">
      <c r="A67" s="2"/>
    </row>
    <row r="68" spans="1:1" ht="18.75" customHeight="1">
      <c r="A68" s="2"/>
    </row>
    <row r="69" spans="1:1" ht="18.75" customHeight="1">
      <c r="A69" s="2"/>
    </row>
    <row r="70" spans="1:1" ht="18.75" customHeight="1">
      <c r="A70" s="2"/>
    </row>
    <row r="71" spans="1:1" ht="18.75" customHeight="1">
      <c r="A71" s="2"/>
    </row>
    <row r="72" spans="1:1" ht="18.75" customHeight="1">
      <c r="A72" s="2"/>
    </row>
    <row r="73" spans="1:1" ht="18.75" customHeight="1">
      <c r="A73" s="2"/>
    </row>
    <row r="74" spans="1:1" ht="18.75" customHeight="1">
      <c r="A74" s="2"/>
    </row>
    <row r="75" spans="1:1" ht="18.75" customHeight="1">
      <c r="A75" s="2"/>
    </row>
    <row r="76" spans="1:1" ht="18.75" customHeight="1">
      <c r="A76" s="2"/>
    </row>
    <row r="77" spans="1:1" ht="18.75" customHeight="1">
      <c r="A77" s="2"/>
    </row>
    <row r="78" spans="1:1" ht="18.75" customHeight="1">
      <c r="A78" s="2"/>
    </row>
    <row r="79" spans="1:1" ht="18.75" customHeight="1">
      <c r="A79" s="2"/>
    </row>
    <row r="80" spans="1:1" ht="18.75" customHeight="1">
      <c r="A80" s="2"/>
    </row>
    <row r="81" spans="1:1" ht="18.75" customHeight="1">
      <c r="A81" s="2"/>
    </row>
    <row r="82" spans="1:1" ht="18.75" customHeight="1">
      <c r="A82" s="2"/>
    </row>
    <row r="83" spans="1:1" ht="18.75" customHeight="1">
      <c r="A83" s="2"/>
    </row>
    <row r="84" spans="1:1" ht="18.75" customHeight="1">
      <c r="A84" s="2"/>
    </row>
    <row r="85" spans="1:1" ht="18.75" customHeight="1">
      <c r="A85" s="2"/>
    </row>
    <row r="86" spans="1:1" ht="18.75" customHeight="1">
      <c r="A86" s="2"/>
    </row>
    <row r="87" spans="1:1" ht="18.75" customHeight="1">
      <c r="A87" s="2"/>
    </row>
    <row r="88" spans="1:1" ht="18.75" customHeight="1">
      <c r="A88" s="2"/>
    </row>
    <row r="89" spans="1:1" ht="18.75" customHeight="1">
      <c r="A89" s="2"/>
    </row>
    <row r="90" spans="1:1" ht="18.75" customHeight="1">
      <c r="A90" s="2"/>
    </row>
    <row r="91" spans="1:1" ht="18.75" customHeight="1">
      <c r="A91" s="2"/>
    </row>
    <row r="92" spans="1:1" ht="18.75" customHeight="1">
      <c r="A92" s="2"/>
    </row>
    <row r="93" spans="1:1" ht="18.75" customHeight="1">
      <c r="A93" s="2"/>
    </row>
    <row r="94" spans="1:1" ht="18.75" customHeight="1">
      <c r="A94" s="2"/>
    </row>
    <row r="95" spans="1:1" ht="18.75" customHeight="1">
      <c r="A95" s="2"/>
    </row>
    <row r="96" spans="1:1" ht="18.75" customHeight="1">
      <c r="A96" s="2"/>
    </row>
    <row r="97" spans="1:1" ht="18.75" customHeight="1">
      <c r="A97" s="2"/>
    </row>
    <row r="98" spans="1:1" ht="18.75" customHeight="1">
      <c r="A98" s="2"/>
    </row>
    <row r="99" spans="1:1" ht="18.75" customHeight="1">
      <c r="A99" s="2"/>
    </row>
    <row r="100" spans="1:1" ht="18.75" customHeight="1">
      <c r="A100" s="2"/>
    </row>
    <row r="101" spans="1:1" ht="18.75" customHeight="1">
      <c r="A101" s="2"/>
    </row>
    <row r="102" spans="1:1" ht="18.75" customHeight="1">
      <c r="A102" s="2"/>
    </row>
    <row r="103" spans="1:1" ht="18.75" customHeight="1">
      <c r="A103" s="2"/>
    </row>
    <row r="104" spans="1:1" ht="18.75" customHeight="1">
      <c r="A104" s="2"/>
    </row>
    <row r="105" spans="1:1" ht="18.75" customHeight="1">
      <c r="A105" s="2"/>
    </row>
    <row r="106" spans="1:1" ht="18.75" customHeight="1">
      <c r="A106" s="2"/>
    </row>
    <row r="107" spans="1:1" ht="18.75" customHeight="1">
      <c r="A107" s="2"/>
    </row>
    <row r="108" spans="1:1" ht="18.75" customHeight="1">
      <c r="A108" s="2"/>
    </row>
    <row r="109" spans="1:1" ht="18.75" customHeight="1">
      <c r="A109" s="2"/>
    </row>
    <row r="110" spans="1:1" ht="18.75" customHeight="1">
      <c r="A110" s="2"/>
    </row>
    <row r="111" spans="1:1" ht="18.75" customHeight="1">
      <c r="A111" s="2"/>
    </row>
    <row r="112" spans="1:1" ht="18.75" customHeight="1">
      <c r="A112" s="2"/>
    </row>
    <row r="113" spans="1:1" ht="18.75" customHeight="1">
      <c r="A113" s="2"/>
    </row>
    <row r="114" spans="1:1" ht="18.75" customHeight="1">
      <c r="A114" s="2"/>
    </row>
    <row r="115" spans="1:1" ht="18.75" customHeight="1">
      <c r="A115" s="2"/>
    </row>
    <row r="116" spans="1:1" ht="18.75" customHeight="1">
      <c r="A116" s="2"/>
    </row>
    <row r="117" spans="1:1" ht="18.75" customHeight="1">
      <c r="A117" s="2"/>
    </row>
    <row r="118" spans="1:1" ht="18.75" customHeight="1">
      <c r="A118" s="2"/>
    </row>
    <row r="119" spans="1:1" ht="18.75" customHeight="1">
      <c r="A119" s="2"/>
    </row>
    <row r="120" spans="1:1" ht="18.75" customHeight="1">
      <c r="A120" s="2"/>
    </row>
    <row r="121" spans="1:1" ht="18.75" customHeight="1">
      <c r="A121" s="2"/>
    </row>
    <row r="122" spans="1:1" ht="18.75" customHeight="1">
      <c r="A122" s="2"/>
    </row>
    <row r="123" spans="1:1" ht="18.75" customHeight="1">
      <c r="A123" s="2"/>
    </row>
    <row r="124" spans="1:1" ht="18.75" customHeight="1">
      <c r="A124" s="2"/>
    </row>
    <row r="125" spans="1:1" ht="18.75" customHeight="1">
      <c r="A125" s="2"/>
    </row>
    <row r="126" spans="1:1" ht="18.75" customHeight="1">
      <c r="A126" s="2"/>
    </row>
    <row r="127" spans="1:1" ht="18.75" customHeight="1">
      <c r="A127" s="2"/>
    </row>
    <row r="128" spans="1:1" ht="18.75" customHeight="1">
      <c r="A128" s="2"/>
    </row>
    <row r="129" spans="1:1" ht="18.75" customHeight="1">
      <c r="A129" s="2"/>
    </row>
    <row r="130" spans="1:1" ht="18.75" customHeight="1">
      <c r="A130" s="2"/>
    </row>
    <row r="131" spans="1:1" ht="18.75" customHeight="1">
      <c r="A131" s="2"/>
    </row>
    <row r="132" spans="1:1" ht="18.75" customHeight="1">
      <c r="A132" s="2"/>
    </row>
    <row r="133" spans="1:1" ht="18.75" customHeight="1">
      <c r="A133" s="2"/>
    </row>
    <row r="134" spans="1:1" ht="18.75" customHeight="1">
      <c r="A134" s="2"/>
    </row>
    <row r="135" spans="1:1" ht="18.75" customHeight="1">
      <c r="A135" s="2"/>
    </row>
    <row r="136" spans="1:1" ht="18.75" customHeight="1">
      <c r="A136" s="2"/>
    </row>
    <row r="137" spans="1:1" ht="18.75" customHeight="1">
      <c r="A137" s="2"/>
    </row>
    <row r="138" spans="1:1" ht="18.75" customHeight="1">
      <c r="A138" s="2"/>
    </row>
    <row r="139" spans="1:1" ht="18.75" customHeight="1">
      <c r="A139" s="2"/>
    </row>
    <row r="140" spans="1:1" ht="18.75" customHeight="1">
      <c r="A140" s="2"/>
    </row>
    <row r="141" spans="1:1" ht="18.75" customHeight="1">
      <c r="A141" s="2"/>
    </row>
    <row r="142" spans="1:1" ht="18.75" customHeight="1">
      <c r="A142" s="2"/>
    </row>
    <row r="143" spans="1:1" ht="18.75" customHeight="1">
      <c r="A143" s="2"/>
    </row>
    <row r="144" spans="1:1" ht="18.75" customHeight="1">
      <c r="A144" s="2"/>
    </row>
    <row r="145" spans="1:1" ht="18.75" customHeight="1">
      <c r="A145" s="2"/>
    </row>
    <row r="146" spans="1:1" ht="18.75" customHeight="1">
      <c r="A146" s="2"/>
    </row>
    <row r="147" spans="1:1" ht="18.75" customHeight="1">
      <c r="A147" s="2"/>
    </row>
    <row r="148" spans="1:1" ht="18.75" customHeight="1">
      <c r="A148" s="2"/>
    </row>
    <row r="149" spans="1:1" ht="18.75" customHeight="1">
      <c r="A149" s="2"/>
    </row>
    <row r="150" spans="1:1" ht="18.75" customHeight="1">
      <c r="A150" s="2"/>
    </row>
    <row r="151" spans="1:1" ht="18.75" customHeight="1">
      <c r="A151" s="2"/>
    </row>
    <row r="152" spans="1:1" ht="18.75" customHeight="1">
      <c r="A152" s="2"/>
    </row>
    <row r="153" spans="1:1" ht="18.75" customHeight="1">
      <c r="A153" s="2"/>
    </row>
    <row r="154" spans="1:1" ht="18.75" customHeight="1">
      <c r="A154" s="2"/>
    </row>
    <row r="155" spans="1:1" ht="18.75" customHeight="1">
      <c r="A155" s="2"/>
    </row>
    <row r="156" spans="1:1" ht="18.75" customHeight="1">
      <c r="A156" s="2"/>
    </row>
    <row r="157" spans="1:1" ht="18.75" customHeight="1">
      <c r="A157" s="2"/>
    </row>
    <row r="158" spans="1:1" ht="18.75" customHeight="1">
      <c r="A158" s="2"/>
    </row>
    <row r="159" spans="1:1" ht="18.75" customHeight="1">
      <c r="A159" s="2"/>
    </row>
    <row r="160" spans="1:1" ht="18.75" customHeight="1">
      <c r="A160" s="2"/>
    </row>
    <row r="161" spans="1:1" ht="18.75" customHeight="1">
      <c r="A161" s="2"/>
    </row>
    <row r="162" spans="1:1" ht="18.75" customHeight="1">
      <c r="A162" s="2"/>
    </row>
    <row r="163" spans="1:1" ht="18.75" customHeight="1">
      <c r="A163" s="2"/>
    </row>
    <row r="164" spans="1:1" ht="18.75" customHeight="1">
      <c r="A164" s="2"/>
    </row>
    <row r="165" spans="1:1" ht="18.75" customHeight="1">
      <c r="A165" s="2"/>
    </row>
    <row r="166" spans="1:1" ht="18.75" customHeight="1">
      <c r="A166" s="2"/>
    </row>
    <row r="167" spans="1:1" ht="18.75" customHeight="1">
      <c r="A167" s="2"/>
    </row>
    <row r="168" spans="1:1" ht="18.75" customHeight="1">
      <c r="A168" s="2"/>
    </row>
    <row r="169" spans="1:1" ht="18.75" customHeight="1">
      <c r="A169" s="2"/>
    </row>
    <row r="170" spans="1:1" ht="18.75" customHeight="1">
      <c r="A170" s="2"/>
    </row>
    <row r="171" spans="1:1" ht="18.75" customHeight="1">
      <c r="A171" s="2"/>
    </row>
    <row r="172" spans="1:1" ht="18.75" customHeight="1">
      <c r="A172" s="2"/>
    </row>
    <row r="173" spans="1:1" ht="18.75" customHeight="1">
      <c r="A173" s="2"/>
    </row>
    <row r="174" spans="1:1" ht="18.75" customHeight="1">
      <c r="A174" s="2"/>
    </row>
    <row r="175" spans="1:1" ht="18.75" customHeight="1">
      <c r="A175" s="2"/>
    </row>
    <row r="176" spans="1:1" ht="18.75" customHeight="1">
      <c r="A176" s="2"/>
    </row>
    <row r="177" spans="1:1" ht="18.75" customHeight="1">
      <c r="A177" s="2"/>
    </row>
    <row r="178" spans="1:1" ht="18.75" customHeight="1">
      <c r="A178" s="2"/>
    </row>
    <row r="179" spans="1:1" ht="18.75" customHeight="1">
      <c r="A179" s="2"/>
    </row>
    <row r="180" spans="1:1" ht="18.75" customHeight="1">
      <c r="A180" s="2"/>
    </row>
    <row r="181" spans="1:1" ht="18.75" customHeight="1">
      <c r="A181" s="2"/>
    </row>
    <row r="182" spans="1:1" ht="18.75" customHeight="1">
      <c r="A182" s="2"/>
    </row>
    <row r="183" spans="1:1" ht="18.75" customHeight="1">
      <c r="A183" s="2"/>
    </row>
    <row r="184" spans="1:1" ht="18.75" customHeight="1">
      <c r="A184" s="2"/>
    </row>
    <row r="185" spans="1:1" ht="18.75" customHeight="1">
      <c r="A185" s="2"/>
    </row>
    <row r="186" spans="1:1" ht="18.75" customHeight="1">
      <c r="A186" s="2"/>
    </row>
    <row r="187" spans="1:1" ht="18.75" customHeight="1">
      <c r="A187" s="2"/>
    </row>
    <row r="188" spans="1:1" ht="18.75" customHeight="1">
      <c r="A188" s="2"/>
    </row>
    <row r="189" spans="1:1" ht="18.75" customHeight="1">
      <c r="A189" s="2"/>
    </row>
    <row r="190" spans="1:1" ht="18.75" customHeight="1">
      <c r="A190" s="2"/>
    </row>
    <row r="191" spans="1:1" ht="18.75" customHeight="1">
      <c r="A191" s="2"/>
    </row>
    <row r="192" spans="1:1" ht="18.75" customHeight="1">
      <c r="A192" s="2"/>
    </row>
    <row r="193" spans="1:1" ht="18.75" customHeight="1">
      <c r="A193" s="2"/>
    </row>
    <row r="194" spans="1:1" ht="18.75" customHeight="1">
      <c r="A194" s="2"/>
    </row>
    <row r="195" spans="1:1" ht="18.75" customHeight="1">
      <c r="A195" s="2"/>
    </row>
    <row r="196" spans="1:1" ht="18.75" customHeight="1">
      <c r="A196" s="2"/>
    </row>
    <row r="197" spans="1:1" ht="18.75" customHeight="1">
      <c r="A197" s="2"/>
    </row>
    <row r="198" spans="1:1" ht="18.75" customHeight="1">
      <c r="A198" s="2"/>
    </row>
    <row r="199" spans="1:1" ht="18.75" customHeight="1">
      <c r="A199" s="2"/>
    </row>
    <row r="200" spans="1:1" ht="18.75" customHeight="1">
      <c r="A200" s="2"/>
    </row>
    <row r="201" spans="1:1" ht="18.75" customHeight="1">
      <c r="A201" s="2"/>
    </row>
    <row r="202" spans="1:1" ht="18.75" customHeight="1">
      <c r="A202" s="2"/>
    </row>
    <row r="203" spans="1:1" ht="18.75" customHeight="1">
      <c r="A203" s="1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zoomScaleNormal="100" workbookViewId="0">
      <pane ySplit="9" topLeftCell="A10" activePane="bottomLeft" state="frozen"/>
      <selection pane="bottomLeft" activeCell="B41" sqref="B41"/>
    </sheetView>
  </sheetViews>
  <sheetFormatPr baseColWidth="10" defaultColWidth="8.83203125" defaultRowHeight="13.5" customHeight="1"/>
  <cols>
    <col min="1" max="1" width="38.6640625" style="6" customWidth="1"/>
    <col min="2" max="2" width="29.6640625" style="6" customWidth="1"/>
    <col min="3" max="3" width="16.5" style="6" customWidth="1"/>
    <col min="4" max="4" width="30.1640625" style="6" customWidth="1"/>
    <col min="5" max="5" width="22.1640625" style="6" customWidth="1"/>
    <col min="6" max="6" width="31.1640625" style="6" customWidth="1"/>
    <col min="7" max="7" width="14.6640625" style="6" bestFit="1" customWidth="1"/>
    <col min="8" max="16384" width="8.83203125" style="6"/>
  </cols>
  <sheetData>
    <row r="1" spans="1:6" ht="21" customHeight="1">
      <c r="A1" s="7" t="s">
        <v>40</v>
      </c>
    </row>
    <row r="3" spans="1:6" ht="13.5" customHeight="1">
      <c r="A3" s="8" t="s">
        <v>41</v>
      </c>
      <c r="B3" s="8">
        <f>SUM(Purchases!C:C)</f>
        <v>556347</v>
      </c>
      <c r="E3" s="8" t="s">
        <v>42</v>
      </c>
      <c r="F3" s="8" t="s">
        <v>43</v>
      </c>
    </row>
    <row r="4" spans="1:6" ht="13.5" customHeight="1">
      <c r="A4" s="9" t="s">
        <v>44</v>
      </c>
      <c r="B4" s="10">
        <f>SUMIFS(Sales!C:C, Sales!I:I, "Completed")</f>
        <v>485923</v>
      </c>
      <c r="E4" s="9" t="str">
        <f>PartnerShares!A3</f>
        <v>Rajna</v>
      </c>
      <c r="F4" s="10">
        <f>PartnerShares!B3</f>
        <v>0.33339999999999997</v>
      </c>
    </row>
    <row r="5" spans="1:6" ht="13.5" customHeight="1">
      <c r="A5" s="11" t="s">
        <v>45</v>
      </c>
      <c r="B5" s="12">
        <f>SUM(Sales!C:C)</f>
        <v>503653</v>
      </c>
      <c r="E5" s="11" t="str">
        <f>PartnerShares!A4</f>
        <v>Anoop</v>
      </c>
      <c r="F5" s="12">
        <f>PartnerShares!B4</f>
        <v>0.3332</v>
      </c>
    </row>
    <row r="6" spans="1:6" ht="13.5" customHeight="1">
      <c r="A6" s="9" t="s">
        <v>46</v>
      </c>
      <c r="B6" s="10">
        <f>B4-B3</f>
        <v>-70424</v>
      </c>
      <c r="E6" s="9" t="str">
        <f>PartnerShares!A5</f>
        <v>Rameez</v>
      </c>
      <c r="F6" s="10">
        <f>PartnerShares!B5</f>
        <v>0.33339999999999997</v>
      </c>
    </row>
    <row r="7" spans="1:6" ht="13.5" customHeight="1">
      <c r="A7" s="11" t="s">
        <v>47</v>
      </c>
      <c r="B7" s="12" t="str">
        <f>IF(B6&gt;0,"Profit","No Profit (or Loss)")</f>
        <v>No Profit (or Loss)</v>
      </c>
    </row>
    <row r="9" spans="1:6" ht="13.5" customHeight="1">
      <c r="A9" s="8" t="s">
        <v>42</v>
      </c>
      <c r="B9" s="8" t="s">
        <v>48</v>
      </c>
      <c r="C9" s="8"/>
    </row>
    <row r="10" spans="1:6" ht="13.5" customHeight="1">
      <c r="A10" s="9" t="s">
        <v>49</v>
      </c>
      <c r="B10" s="13">
        <f>PartnerShares!H8</f>
        <v>48677.66</v>
      </c>
      <c r="C10" s="9"/>
    </row>
    <row r="11" spans="1:6" ht="13.5" customHeight="1">
      <c r="A11" s="11" t="s">
        <v>50</v>
      </c>
      <c r="B11" s="14">
        <f>PartnerShares!H9</f>
        <v>44228.67</v>
      </c>
      <c r="C11" s="11"/>
    </row>
    <row r="12" spans="1:6" ht="13.5" customHeight="1">
      <c r="A12" s="9" t="s">
        <v>51</v>
      </c>
      <c r="B12" s="13">
        <f>PartnerShares!H10</f>
        <v>-92906.33</v>
      </c>
      <c r="C12" s="9"/>
    </row>
    <row r="16" spans="1:6" ht="15.75" customHeight="1">
      <c r="A16" s="15" t="s">
        <v>52</v>
      </c>
    </row>
    <row r="17" spans="1:7" ht="13.5" customHeight="1">
      <c r="A17" s="8" t="s">
        <v>42</v>
      </c>
      <c r="B17" s="8" t="s">
        <v>53</v>
      </c>
      <c r="C17" s="8" t="s">
        <v>54</v>
      </c>
      <c r="D17" s="8" t="s">
        <v>55</v>
      </c>
      <c r="E17" s="8" t="s">
        <v>56</v>
      </c>
      <c r="F17" s="8" t="s">
        <v>57</v>
      </c>
      <c r="G17" s="8" t="s">
        <v>58</v>
      </c>
    </row>
    <row r="18" spans="1:7" ht="13.5" customHeight="1">
      <c r="A18" s="9" t="str">
        <f>PartnerShares!A8</f>
        <v>Rajna</v>
      </c>
      <c r="B18" s="10">
        <f>PartnerShares!B8</f>
        <v>252430</v>
      </c>
      <c r="C18" s="10">
        <f>PartnerShares!C8</f>
        <v>185449</v>
      </c>
      <c r="D18" s="10">
        <f>PartnerShares!D8</f>
        <v>66981</v>
      </c>
      <c r="E18" s="10">
        <f>IFERROR(SUMIFS(PartnerShares!$E$14:$E$500,PartnerShares!$D$14:$D$500,$A18,PartnerShares!$B$14:$B$500,"Contribution"),0)-IFERROR(SUMIFS(PartnerShares!$E$14:$E$500,PartnerShares!$C$14:$C$500,$A18,PartnerShares!$B$14:$B$500,"Contribution"),0)</f>
        <v>18303.34</v>
      </c>
      <c r="F18" s="13">
        <f>D18-E18</f>
        <v>48677.66</v>
      </c>
      <c r="G18" s="16" t="str">
        <f>IF(ROUND(F18,0)&gt;0,"Receive ₹"&amp;TEXT(ABS(F18),"#,##0"),IF(ROUND(F18,0)&lt;0,"Pay ₹"&amp;TEXT(ABS(F18),"#,##0"),"✓ Settled"))</f>
        <v>Receive ₹48,678</v>
      </c>
    </row>
    <row r="19" spans="1:7" ht="13.5" customHeight="1">
      <c r="A19" s="11" t="str">
        <f>PartnerShares!A9</f>
        <v>Anoop</v>
      </c>
      <c r="B19" s="12">
        <f>PartnerShares!B9</f>
        <v>271317</v>
      </c>
      <c r="C19" s="12">
        <f>PartnerShares!C9</f>
        <v>185449</v>
      </c>
      <c r="D19" s="12">
        <f>PartnerShares!D9</f>
        <v>85868</v>
      </c>
      <c r="E19" s="12">
        <f>IFERROR(SUMIFS(PartnerShares!$E$14:$E$500,PartnerShares!$D$14:$D$500,$A19,PartnerShares!$B$14:$B$500,"Contribution"),0)-IFERROR(SUMIFS(PartnerShares!$E$14:$E$500,PartnerShares!$C$14:$C$500,$A19,PartnerShares!$B$14:$B$500,"Contribution"),0)</f>
        <v>41639.33</v>
      </c>
      <c r="F19" s="14">
        <f>D19-E19</f>
        <v>44228.67</v>
      </c>
      <c r="G19" s="17" t="str">
        <f>IF(ROUND(F19,0)&gt;0,"Receive ₹"&amp;TEXT(ABS(F19),"#,##0"),IF(ROUND(F19,0)&lt;0,"Pay ₹"&amp;TEXT(ABS(F19),"#,##0"),"✓ Settled"))</f>
        <v>Receive ₹44,229</v>
      </c>
    </row>
    <row r="20" spans="1:7" ht="13.5" customHeight="1">
      <c r="A20" s="9" t="str">
        <f>PartnerShares!A10</f>
        <v>Rameez</v>
      </c>
      <c r="B20" s="10">
        <f>PartnerShares!B10</f>
        <v>32600</v>
      </c>
      <c r="C20" s="10">
        <f>PartnerShares!C10</f>
        <v>185449</v>
      </c>
      <c r="D20" s="10">
        <f>PartnerShares!D10</f>
        <v>-152849</v>
      </c>
      <c r="E20" s="10">
        <f>IFERROR(SUMIFS(PartnerShares!$E$14:$E$500,PartnerShares!$D$14:$D$500,$A20,PartnerShares!$B$14:$B$500,"Contribution"),0)-IFERROR(SUMIFS(PartnerShares!$E$14:$E$500,PartnerShares!$C$14:$C$500,$A20,PartnerShares!$B$14:$B$500,"Contribution"),0)</f>
        <v>-59942.67</v>
      </c>
      <c r="F20" s="13">
        <f>D20-E20</f>
        <v>-92906.33</v>
      </c>
      <c r="G20" s="17" t="str">
        <f>IF(ROUND(F20,0)&gt;0,"Receive ₹"&amp;TEXT(ABS(F20),"#,##0"),IF(ROUND(F20,0)&lt;0,"Pay ₹"&amp;TEXT(ABS(F20),"#,##0"),"✓ Settled"))</f>
        <v>Pay ₹92,906</v>
      </c>
    </row>
    <row r="24" spans="1:7" ht="15.75" customHeight="1">
      <c r="A24" s="15" t="s">
        <v>59</v>
      </c>
    </row>
    <row r="25" spans="1:7" ht="13.5" customHeight="1">
      <c r="A25" s="8" t="s">
        <v>42</v>
      </c>
      <c r="B25" s="8" t="s">
        <v>60</v>
      </c>
      <c r="C25" s="8" t="s">
        <v>61</v>
      </c>
      <c r="D25" s="8" t="s">
        <v>62</v>
      </c>
      <c r="E25" s="8" t="s">
        <v>63</v>
      </c>
      <c r="F25" s="8" t="s">
        <v>64</v>
      </c>
      <c r="G25" s="8" t="s">
        <v>58</v>
      </c>
    </row>
    <row r="26" spans="1:7" ht="13.5" customHeight="1">
      <c r="A26" s="9" t="str">
        <f>'Cash Pool'!A4</f>
        <v>Rajna</v>
      </c>
      <c r="B26" s="10">
        <f>'Cash Pool'!B4</f>
        <v>416139</v>
      </c>
      <c r="C26" s="10">
        <f>'Cash Pool'!D4</f>
        <v>162006.72819999998</v>
      </c>
      <c r="D26" s="10">
        <f>'Cash Pool'!E4</f>
        <v>254132.27180000002</v>
      </c>
      <c r="E26" s="10">
        <f>'Cash Pool'!F4</f>
        <v>-137310.02600000001</v>
      </c>
      <c r="F26" s="13">
        <f>'Cash Pool'!G4</f>
        <v>116822.2458</v>
      </c>
      <c r="G26" s="17" t="str">
        <f>IF(ROUND(F26,0)&gt;0,"Pay ₹"&amp;TEXT(ABS(F26),"#,##0"),IF(ROUND(F26,0)&lt;0,"Receive ₹"&amp;TEXT(ABS(F26),"#,##0"),"✓ Settled"))</f>
        <v>Pay ₹116,822</v>
      </c>
    </row>
    <row r="27" spans="1:7" ht="13.5" customHeight="1">
      <c r="A27" s="11" t="str">
        <f>'Cash Pool'!A5</f>
        <v>Anoop</v>
      </c>
      <c r="B27" s="12">
        <f>'Cash Pool'!B5</f>
        <v>54624</v>
      </c>
      <c r="C27" s="12">
        <f>'Cash Pool'!D5</f>
        <v>161909.5436</v>
      </c>
      <c r="D27" s="12">
        <f>'Cash Pool'!E5</f>
        <v>-107285.5436</v>
      </c>
      <c r="E27" s="12">
        <f>'Cash Pool'!F5</f>
        <v>71587.042000000001</v>
      </c>
      <c r="F27" s="14">
        <f>'Cash Pool'!G5</f>
        <v>-35698.501600000003</v>
      </c>
      <c r="G27" s="18" t="str">
        <f>IF(ROUND(F27,0)&gt;0,"Pay ₹"&amp;TEXT(ABS(F27),"#,##0"),IF(ROUND(F27,0)&lt;0,"Receive ₹"&amp;TEXT(ABS(F27),"#,##0"),"✓ Settled"))</f>
        <v>Receive ₹35,699</v>
      </c>
    </row>
    <row r="28" spans="1:7" ht="13.5" customHeight="1">
      <c r="A28" s="9" t="str">
        <f>'Cash Pool'!A6</f>
        <v>Rameez</v>
      </c>
      <c r="B28" s="10">
        <f>'Cash Pool'!B6</f>
        <v>12530</v>
      </c>
      <c r="C28" s="10">
        <f>'Cash Pool'!D6</f>
        <v>162006.72819999998</v>
      </c>
      <c r="D28" s="10">
        <f>'Cash Pool'!E6</f>
        <v>-149476.72819999998</v>
      </c>
      <c r="E28" s="10">
        <f>'Cash Pool'!F6</f>
        <v>65722.984000000011</v>
      </c>
      <c r="F28" s="13">
        <f>'Cash Pool'!G6</f>
        <v>-83753.744199999972</v>
      </c>
      <c r="G28" s="16" t="str">
        <f>IF(ROUND(F28,0)&gt;0,"Pay ₹"&amp;TEXT(ABS(F28),"#,##0"),IF(ROUND(F28,0)&lt;0,"Receive ₹"&amp;TEXT(ABS(F28),"#,##0"),"✓ Settled"))</f>
        <v>Receive ₹83,754</v>
      </c>
    </row>
    <row r="32" spans="1:7" ht="15.75" customHeight="1">
      <c r="A32" s="15" t="s">
        <v>65</v>
      </c>
    </row>
    <row r="33" spans="1:5" ht="13.5" customHeight="1">
      <c r="A33" s="8" t="s">
        <v>42</v>
      </c>
      <c r="B33" s="8" t="s">
        <v>66</v>
      </c>
      <c r="C33" s="8"/>
      <c r="D33" s="8"/>
      <c r="E33" s="8"/>
    </row>
    <row r="34" spans="1:5" ht="13.5" customHeight="1">
      <c r="A34" s="9" t="str">
        <f>PartnerShares!A8</f>
        <v>Rajna</v>
      </c>
      <c r="B34" s="9">
        <f>PartnerShares!E8</f>
        <v>0</v>
      </c>
      <c r="C34" s="9"/>
      <c r="D34" s="9"/>
      <c r="E34" s="9"/>
    </row>
    <row r="35" spans="1:5" ht="13.5" customHeight="1">
      <c r="A35" s="11" t="str">
        <f>PartnerShares!A9</f>
        <v>Anoop</v>
      </c>
      <c r="B35" s="11">
        <f>PartnerShares!E9</f>
        <v>0</v>
      </c>
      <c r="C35" s="11"/>
      <c r="D35" s="11"/>
      <c r="E35" s="11"/>
    </row>
    <row r="36" spans="1:5" ht="13.5" customHeight="1">
      <c r="A36" s="9" t="str">
        <f>PartnerShares!A10</f>
        <v>Rameez</v>
      </c>
      <c r="B36" s="9">
        <f>PartnerShares!E10</f>
        <v>0</v>
      </c>
      <c r="C36" s="9"/>
      <c r="D36" s="9"/>
      <c r="E36" s="9"/>
    </row>
  </sheetData>
  <conditionalFormatting sqref="G18:G20">
    <cfRule type="expression" dxfId="3" priority="2">
      <formula>F18&gt;0</formula>
    </cfRule>
    <cfRule type="expression" dxfId="2" priority="3">
      <formula>F18&lt;0</formula>
    </cfRule>
  </conditionalFormatting>
  <conditionalFormatting sqref="G26:G28">
    <cfRule type="expression" dxfId="1" priority="4">
      <formula>F26&lt;0</formula>
    </cfRule>
    <cfRule type="expression" dxfId="0" priority="5">
      <formula>F26&gt;0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8"/>
  <sheetViews>
    <sheetView zoomScaleNormal="100" workbookViewId="0">
      <selection activeCell="B7" sqref="B7"/>
    </sheetView>
  </sheetViews>
  <sheetFormatPr baseColWidth="10" defaultColWidth="8.83203125" defaultRowHeight="15" customHeight="1"/>
  <cols>
    <col min="1" max="3" width="30" customWidth="1"/>
    <col min="4" max="4" width="29" customWidth="1"/>
    <col min="5" max="5" width="12.1640625" customWidth="1"/>
    <col min="6" max="6" width="13" customWidth="1"/>
    <col min="8" max="8" width="12.1640625" customWidth="1"/>
    <col min="11" max="12" width="16.6640625" customWidth="1"/>
    <col min="13" max="13" width="15.83203125" customWidth="1"/>
  </cols>
  <sheetData>
    <row r="1" spans="1:8" ht="21" customHeight="1">
      <c r="A1" s="87" t="s">
        <v>67</v>
      </c>
      <c r="B1" s="87"/>
      <c r="C1" s="87"/>
      <c r="D1" s="87"/>
      <c r="E1" s="87"/>
      <c r="F1" s="87"/>
      <c r="G1" s="87"/>
      <c r="H1" s="87"/>
    </row>
    <row r="3" spans="1:8" ht="15" customHeight="1">
      <c r="A3" s="19" t="s">
        <v>68</v>
      </c>
      <c r="B3" s="20">
        <f ca="1">TODAY()</f>
        <v>46236</v>
      </c>
    </row>
    <row r="5" spans="1:8" ht="15" customHeight="1">
      <c r="A5" s="19" t="s">
        <v>41</v>
      </c>
      <c r="B5" s="21">
        <f>Summary!B3</f>
        <v>556347</v>
      </c>
      <c r="D5" s="19" t="s">
        <v>69</v>
      </c>
      <c r="E5" s="21">
        <f>Summary!B4</f>
        <v>485923</v>
      </c>
    </row>
    <row r="6" spans="1:8" ht="15" customHeight="1">
      <c r="A6" s="19" t="s">
        <v>70</v>
      </c>
      <c r="B6" s="21">
        <f>Summary!B6</f>
        <v>-70424</v>
      </c>
      <c r="D6" s="19" t="s">
        <v>71</v>
      </c>
      <c r="E6" s="21">
        <f>SUMIFS(INVENTORY!K:K, INVENTORY!N:N, "&lt;&gt;Sold Out")</f>
        <v>209034.39666666667</v>
      </c>
    </row>
    <row r="7" spans="1:8" ht="15.75" customHeight="1">
      <c r="A7" s="22" t="s">
        <v>72</v>
      </c>
      <c r="B7" s="23">
        <v>2026</v>
      </c>
    </row>
    <row r="9" spans="1:8" ht="15" customHeight="1">
      <c r="A9" s="24" t="s">
        <v>73</v>
      </c>
      <c r="B9" s="24" t="s">
        <v>74</v>
      </c>
      <c r="C9" s="24" t="s">
        <v>75</v>
      </c>
      <c r="D9" s="24" t="s">
        <v>76</v>
      </c>
      <c r="F9" s="24" t="s">
        <v>77</v>
      </c>
      <c r="G9" s="24" t="s">
        <v>78</v>
      </c>
    </row>
    <row r="10" spans="1:8" ht="15" customHeight="1">
      <c r="A10" s="25" t="s">
        <v>79</v>
      </c>
      <c r="B10" s="21">
        <f>IFERROR(SUMPRODUCT((TEXT(Purchases!$A$2:$A$998,"MMM")=$A10)*(YEAR(Purchases!$A$2:$A$998)=$B$7)*Purchases!$C$2:$C$998),0)</f>
        <v>47311</v>
      </c>
      <c r="C10" s="21">
        <f>IFERROR(SUMPRODUCT((TEXT(Sales!$A$2:$A$994,"MMM")=$A10)*(YEAR(Sales!$A$2:$A$994)=$B$7)*Sales!$C$2:$C$994),0)</f>
        <v>45448</v>
      </c>
      <c r="D10" s="21">
        <f t="shared" ref="D10:D21" si="0">C10-B10</f>
        <v>-1863</v>
      </c>
      <c r="F10" s="25" t="s">
        <v>80</v>
      </c>
      <c r="G10" s="21">
        <f>SUM(INVENTORY!F:F)</f>
        <v>408</v>
      </c>
    </row>
    <row r="11" spans="1:8" ht="15" customHeight="1">
      <c r="A11" s="26" t="s">
        <v>81</v>
      </c>
      <c r="B11" s="27">
        <f>IFERROR(SUMPRODUCT((TEXT(Purchases!$A$2:$A$998,"MMM")=$A11)*(YEAR(Purchases!$A$2:$A$998)=$B$7)*Purchases!$C$2:$C$998),0)</f>
        <v>5152</v>
      </c>
      <c r="C11" s="27">
        <f>IFERROR(SUMPRODUCT((TEXT(Sales!$A$2:$A$994,"MMM")=$A11)*(YEAR(Sales!$A$2:$A$994)=$B$7)*Sales!$C$2:$C$994),0)</f>
        <v>19089</v>
      </c>
      <c r="D11" s="27">
        <f t="shared" si="0"/>
        <v>13937</v>
      </c>
      <c r="F11" s="26" t="s">
        <v>82</v>
      </c>
      <c r="G11" s="27">
        <f>SUM(INVENTORY!G:G)</f>
        <v>273</v>
      </c>
    </row>
    <row r="12" spans="1:8" ht="15" customHeight="1">
      <c r="A12" s="25" t="s">
        <v>83</v>
      </c>
      <c r="B12" s="21">
        <f>IFERROR(SUMPRODUCT((TEXT(Purchases!$A$2:$A$998,"MMM")=$A12)*(YEAR(Purchases!$A$2:$A$998)=$B$7)*Purchases!$C$2:$C$998),0)</f>
        <v>22172</v>
      </c>
      <c r="C12" s="21">
        <f>IFERROR(SUMPRODUCT((TEXT(Sales!$A$2:$A$994,"MMM")=$A12)*(YEAR(Sales!$A$2:$A$994)=$B$7)*Sales!$C$2:$C$994),0)</f>
        <v>16248</v>
      </c>
      <c r="D12" s="21">
        <f t="shared" si="0"/>
        <v>-5924</v>
      </c>
    </row>
    <row r="13" spans="1:8" ht="15" customHeight="1">
      <c r="A13" s="26" t="s">
        <v>84</v>
      </c>
      <c r="B13" s="27">
        <f>IFERROR(SUMPRODUCT((TEXT(Purchases!$A$2:$A$998,"MMM")=$A13)*(YEAR(Purchases!$A$2:$A$998)=$B$7)*Purchases!$C$2:$C$998),0)</f>
        <v>71002</v>
      </c>
      <c r="C13" s="27">
        <f>IFERROR(SUMPRODUCT((TEXT(Sales!$A$2:$A$994,"MMM")=$A13)*(YEAR(Sales!$A$2:$A$994)=$B$7)*Sales!$C$2:$C$994),0)</f>
        <v>54177</v>
      </c>
      <c r="D13" s="27">
        <f t="shared" si="0"/>
        <v>-16825</v>
      </c>
    </row>
    <row r="14" spans="1:8" ht="15" customHeight="1">
      <c r="A14" s="25" t="s">
        <v>85</v>
      </c>
      <c r="B14" s="21">
        <f>IFERROR(SUMPRODUCT((TEXT(Purchases!$A$2:$A$998,"MMM")=$A14)*(YEAR(Purchases!$A$2:$A$998)=$B$7)*Purchases!$C$2:$C$998),0)</f>
        <v>4449</v>
      </c>
      <c r="C14" s="21">
        <f>IFERROR(SUMPRODUCT((TEXT(Sales!$A$2:$A$994,"MMM")=$A14)*(YEAR(Sales!$A$2:$A$994)=$B$7)*Sales!$C$2:$C$994),0)</f>
        <v>54624</v>
      </c>
      <c r="D14" s="21">
        <f t="shared" si="0"/>
        <v>50175</v>
      </c>
    </row>
    <row r="15" spans="1:8" ht="15" customHeight="1">
      <c r="A15" s="26" t="s">
        <v>86</v>
      </c>
      <c r="B15" s="27">
        <f>IFERROR(SUMPRODUCT((TEXT(Purchases!$A$2:$A$998,"MMM")=$A15)*(YEAR(Purchases!$A$2:$A$998)=$B$7)*Purchases!$C$2:$C$998),0)</f>
        <v>99043</v>
      </c>
      <c r="C15" s="27">
        <f>IFERROR(SUMPRODUCT((TEXT(Sales!$A$2:$A$994,"MMM")=$A15)*(YEAR(Sales!$A$2:$A$994)=$B$7)*Sales!$C$2:$C$994),0)</f>
        <v>72885</v>
      </c>
      <c r="D15" s="27">
        <f t="shared" si="0"/>
        <v>-26158</v>
      </c>
    </row>
    <row r="16" spans="1:8" ht="15" customHeight="1">
      <c r="A16" s="25" t="s">
        <v>87</v>
      </c>
      <c r="B16" s="21">
        <f>IFERROR(SUMPRODUCT((TEXT(Purchases!$A$2:$A$998,"MMM")=$A16)*(YEAR(Purchases!$A$2:$A$998)=$B$7)*Purchases!$C$2:$C$998),0)</f>
        <v>102200</v>
      </c>
      <c r="C16" s="21">
        <f>IFERROR(SUMPRODUCT((TEXT(Sales!$A$2:$A$994,"MMM")=$A16)*(YEAR(Sales!$A$2:$A$994)=$B$7)*Sales!$C$2:$C$994),0)</f>
        <v>62696</v>
      </c>
      <c r="D16" s="21">
        <f t="shared" si="0"/>
        <v>-39504</v>
      </c>
    </row>
    <row r="17" spans="1:4" ht="15" customHeight="1">
      <c r="A17" s="26" t="s">
        <v>88</v>
      </c>
      <c r="B17" s="27">
        <f>IFERROR(SUMPRODUCT((TEXT(Purchases!$A$2:$A$998,"MMM")=$A17)*(YEAR(Purchases!$A$2:$A$998)=$B$7)*Purchases!$C$2:$C$998),0)</f>
        <v>0</v>
      </c>
      <c r="C17" s="27">
        <f>IFERROR(SUMPRODUCT((TEXT(Sales!$A$2:$A$994,"MMM")=$A17)*(YEAR(Sales!$A$2:$A$994)=$B$7)*Sales!$C$2:$C$994),0)</f>
        <v>9829</v>
      </c>
      <c r="D17" s="27">
        <f t="shared" si="0"/>
        <v>9829</v>
      </c>
    </row>
    <row r="18" spans="1:4" ht="15" customHeight="1">
      <c r="A18" s="25" t="s">
        <v>89</v>
      </c>
      <c r="B18" s="21">
        <f>IFERROR(SUMPRODUCT((TEXT(Purchases!$A$2:$A$998,"MMM")=$A18)*(YEAR(Purchases!$A$2:$A$998)=$B$7)*Purchases!$C$2:$C$998),0)</f>
        <v>0</v>
      </c>
      <c r="C18" s="21">
        <f>IFERROR(SUMPRODUCT((TEXT(Sales!$A$2:$A$994,"MMM")=$A18)*(YEAR(Sales!$A$2:$A$994)=$B$7)*Sales!$C$2:$C$994),0)</f>
        <v>0</v>
      </c>
      <c r="D18" s="21">
        <f t="shared" si="0"/>
        <v>0</v>
      </c>
    </row>
    <row r="19" spans="1:4" ht="15" customHeight="1">
      <c r="A19" s="26" t="s">
        <v>90</v>
      </c>
      <c r="B19" s="27">
        <f>IFERROR(SUMPRODUCT((TEXT(Purchases!$A$2:$A$998,"MMM")=$A19)*(YEAR(Purchases!$A$2:$A$998)=$B$7)*Purchases!$C$2:$C$998),0)</f>
        <v>0</v>
      </c>
      <c r="C19" s="27">
        <f>IFERROR(SUMPRODUCT((TEXT(Sales!$A$2:$A$994,"MMM")=$A19)*(YEAR(Sales!$A$2:$A$994)=$B$7)*Sales!$C$2:$C$994),0)</f>
        <v>0</v>
      </c>
      <c r="D19" s="27">
        <f t="shared" si="0"/>
        <v>0</v>
      </c>
    </row>
    <row r="20" spans="1:4" ht="15" customHeight="1">
      <c r="A20" s="25" t="s">
        <v>91</v>
      </c>
      <c r="B20" s="21">
        <f>IFERROR(SUMPRODUCT((TEXT(Purchases!$A$2:$A$998,"MMM")=$A20)*(YEAR(Purchases!$A$2:$A$998)=$B$7)*Purchases!$C$2:$C$998),0)</f>
        <v>0</v>
      </c>
      <c r="C20" s="21">
        <f>IFERROR(SUMPRODUCT((TEXT(Sales!$A$2:$A$994,"MMM")=$A20)*(YEAR(Sales!$A$2:$A$994)=$B$7)*Sales!$C$2:$C$994),0)</f>
        <v>0</v>
      </c>
      <c r="D20" s="21">
        <f t="shared" si="0"/>
        <v>0</v>
      </c>
    </row>
    <row r="21" spans="1:4" ht="15" customHeight="1">
      <c r="A21" s="26" t="s">
        <v>92</v>
      </c>
      <c r="B21" s="27">
        <f>IFERROR(SUMPRODUCT((TEXT(Purchases!$A$2:$A$998,"MMM")=$A21)*(YEAR(Purchases!$A$2:$A$998)=$B$7)*Purchases!$C$2:$C$998),0)</f>
        <v>0</v>
      </c>
      <c r="C21" s="27">
        <f>IFERROR(SUMPRODUCT((TEXT(Sales!$A$2:$A$994,"MMM")=$A21)*(YEAR(Sales!$A$2:$A$994)=$B$7)*Sales!$C$2:$C$994),0)</f>
        <v>0</v>
      </c>
      <c r="D21" s="27">
        <f t="shared" si="0"/>
        <v>0</v>
      </c>
    </row>
    <row r="46" spans="6:11" ht="15" customHeight="1">
      <c r="F46" s="28" t="s">
        <v>93</v>
      </c>
      <c r="G46" s="28" t="s">
        <v>80</v>
      </c>
      <c r="H46" s="28" t="s">
        <v>82</v>
      </c>
      <c r="J46" s="29" t="s">
        <v>93</v>
      </c>
      <c r="K46" s="29" t="s">
        <v>94</v>
      </c>
    </row>
    <row r="47" spans="6:11" ht="15" customHeight="1">
      <c r="F47" s="29" t="s">
        <v>95</v>
      </c>
      <c r="G47" s="30">
        <f>SUMIF(INVENTORY!C:C, F47, INVENTORY!F:F)</f>
        <v>307</v>
      </c>
      <c r="H47" s="30">
        <f>SUMIF(INVENTORY!C:C, F47, INVENTORY!G:G)</f>
        <v>216</v>
      </c>
      <c r="J47" s="30" t="s">
        <v>96</v>
      </c>
      <c r="K47" s="31">
        <f t="array" ref="K47">SUMPRODUCT((INVENTORY!$C$2:$C$477=J47)*(INVENTORY!$D$2:$D$477)*(INVENTORY!$G$2:$G$477))</f>
        <v>57128</v>
      </c>
    </row>
    <row r="48" spans="6:11" ht="15" customHeight="1">
      <c r="F48" s="29" t="s">
        <v>96</v>
      </c>
      <c r="G48" s="30">
        <f>SUMIF(INVENTORY!C:C, F48, INVENTORY!F:F)</f>
        <v>96</v>
      </c>
      <c r="H48" s="30">
        <f>SUMIF(INVENTORY!C:C, F48, INVENTORY!G:G)</f>
        <v>54</v>
      </c>
      <c r="J48" s="30" t="s">
        <v>95</v>
      </c>
      <c r="K48" s="31">
        <f t="array" ref="K48">SUMPRODUCT((INVENTORY!$C$2:$C$477=J48)*(INVENTORY!$D$2:$D$477)*(INVENTORY!$G$2:$G$477))</f>
        <v>160465.19666666666</v>
      </c>
    </row>
    <row r="49" spans="5:12" ht="15" customHeight="1">
      <c r="F49" s="29" t="s">
        <v>97</v>
      </c>
      <c r="G49" s="30">
        <f>SUMIF(INVENTORY!C:C, F49, INVENTORY!F:F)</f>
        <v>5</v>
      </c>
      <c r="H49" s="30">
        <f>SUMIF(INVENTORY!C:C, F49, INVENTORY!G:G)</f>
        <v>3</v>
      </c>
      <c r="J49" s="30" t="s">
        <v>97</v>
      </c>
      <c r="K49" s="31">
        <f t="array" ref="K49">SUMPRODUCT((INVENTORY!$C$2:$C$477=J49)*(INVENTORY!$D$2:$D$477)*(INVENTORY!$G$2:$G$477))</f>
        <v>1062</v>
      </c>
    </row>
    <row r="55" spans="5:12" ht="15" customHeight="1">
      <c r="E55" s="28"/>
      <c r="F55" s="28"/>
      <c r="G55" s="28"/>
      <c r="H55" s="28"/>
      <c r="I55" s="28"/>
    </row>
    <row r="56" spans="5:12" ht="15" customHeight="1">
      <c r="E56" s="29"/>
      <c r="F56" s="29"/>
      <c r="G56" s="29"/>
      <c r="H56" s="29"/>
      <c r="I56" s="29"/>
    </row>
    <row r="57" spans="5:12" ht="15" customHeight="1">
      <c r="E57" s="29"/>
      <c r="F57" s="30"/>
      <c r="G57" s="31"/>
      <c r="H57" s="31"/>
      <c r="I57" s="32"/>
    </row>
    <row r="58" spans="5:12" ht="15" customHeight="1">
      <c r="E58" s="29"/>
      <c r="F58" s="30"/>
      <c r="G58" s="30"/>
      <c r="H58" s="30"/>
      <c r="I58" s="32"/>
    </row>
    <row r="59" spans="5:12" ht="15" customHeight="1">
      <c r="E59" s="29"/>
      <c r="F59" s="30"/>
      <c r="G59" s="30"/>
      <c r="H59" s="30"/>
      <c r="I59" s="32"/>
    </row>
    <row r="64" spans="5:12" ht="15" customHeight="1">
      <c r="J64" s="28"/>
      <c r="K64" s="28"/>
      <c r="L64" s="28"/>
    </row>
    <row r="65" spans="10:10" ht="15" customHeight="1">
      <c r="J65" s="29"/>
    </row>
    <row r="66" spans="10:10" ht="15" customHeight="1">
      <c r="J66" s="29"/>
    </row>
    <row r="67" spans="10:10" ht="15" customHeight="1">
      <c r="J67" s="29"/>
    </row>
    <row r="68" spans="10:10" ht="15" customHeight="1">
      <c r="J68" s="29"/>
    </row>
  </sheetData>
  <mergeCells count="1">
    <mergeCell ref="A1:H1"/>
  </mergeCells>
  <dataValidations count="1">
    <dataValidation type="list" sqref="B7" xr:uid="{00000000-0002-0000-0200-000000000000}">
      <formula1>"2024,2025,2026,2027,2028,2029,2030"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0"/>
  <sheetViews>
    <sheetView zoomScale="150" zoomScaleNormal="150" workbookViewId="0">
      <pane ySplit="1" topLeftCell="A80" activePane="bottomLeft" state="frozen"/>
      <selection pane="bottomLeft" activeCell="D105" sqref="D105"/>
    </sheetView>
  </sheetViews>
  <sheetFormatPr baseColWidth="10" defaultColWidth="8.83203125" defaultRowHeight="15" customHeight="1"/>
  <cols>
    <col min="2" max="2" width="7.6640625" customWidth="1"/>
    <col min="3" max="3" width="12" customWidth="1"/>
    <col min="4" max="4" width="32.6640625" customWidth="1"/>
  </cols>
  <sheetData>
    <row r="1" spans="1:4" ht="15" customHeight="1">
      <c r="A1" s="33" t="s">
        <v>98</v>
      </c>
      <c r="B1" s="34" t="s">
        <v>42</v>
      </c>
      <c r="C1" s="34" t="s">
        <v>99</v>
      </c>
      <c r="D1" s="34" t="s">
        <v>100</v>
      </c>
    </row>
    <row r="2" spans="1:4" ht="15" customHeight="1">
      <c r="A2" s="35">
        <v>45890</v>
      </c>
      <c r="B2" s="36" t="s">
        <v>51</v>
      </c>
      <c r="C2" s="37">
        <v>10650</v>
      </c>
      <c r="D2" s="36" t="s">
        <v>101</v>
      </c>
    </row>
    <row r="3" spans="1:4" ht="15" customHeight="1">
      <c r="A3" s="38">
        <v>45890</v>
      </c>
      <c r="B3" s="39" t="s">
        <v>49</v>
      </c>
      <c r="C3" s="40">
        <v>55219</v>
      </c>
      <c r="D3" s="39" t="s">
        <v>102</v>
      </c>
    </row>
    <row r="4" spans="1:4" ht="15" customHeight="1">
      <c r="A4" s="35">
        <v>45897</v>
      </c>
      <c r="B4" s="36" t="s">
        <v>50</v>
      </c>
      <c r="C4" s="37">
        <v>35000</v>
      </c>
      <c r="D4" s="36" t="s">
        <v>101</v>
      </c>
    </row>
    <row r="5" spans="1:4" ht="15" customHeight="1">
      <c r="A5" s="38">
        <v>45908</v>
      </c>
      <c r="B5" s="39" t="s">
        <v>49</v>
      </c>
      <c r="C5" s="40">
        <v>1250</v>
      </c>
      <c r="D5" s="39" t="s">
        <v>103</v>
      </c>
    </row>
    <row r="6" spans="1:4" ht="15" customHeight="1">
      <c r="A6" s="35">
        <v>45908</v>
      </c>
      <c r="B6" s="36" t="s">
        <v>49</v>
      </c>
      <c r="C6" s="37">
        <v>75</v>
      </c>
      <c r="D6" s="36" t="s">
        <v>104</v>
      </c>
    </row>
    <row r="7" spans="1:4" ht="15" customHeight="1">
      <c r="A7" s="38">
        <v>45922</v>
      </c>
      <c r="B7" s="39" t="s">
        <v>51</v>
      </c>
      <c r="C7" s="40">
        <v>199</v>
      </c>
      <c r="D7" s="39" t="s">
        <v>105</v>
      </c>
    </row>
    <row r="8" spans="1:4" ht="15" customHeight="1">
      <c r="A8" s="35">
        <v>45922</v>
      </c>
      <c r="B8" s="36" t="s">
        <v>49</v>
      </c>
      <c r="C8" s="37">
        <v>200</v>
      </c>
      <c r="D8" s="36" t="s">
        <v>106</v>
      </c>
    </row>
    <row r="9" spans="1:4" ht="15" customHeight="1">
      <c r="A9" s="38">
        <v>45922</v>
      </c>
      <c r="B9" s="39" t="s">
        <v>49</v>
      </c>
      <c r="C9" s="40">
        <v>350</v>
      </c>
      <c r="D9" s="39" t="s">
        <v>107</v>
      </c>
    </row>
    <row r="10" spans="1:4" ht="15" customHeight="1">
      <c r="A10" s="35">
        <v>45922</v>
      </c>
      <c r="B10" s="36" t="s">
        <v>49</v>
      </c>
      <c r="C10" s="37">
        <v>230</v>
      </c>
      <c r="D10" s="36" t="s">
        <v>107</v>
      </c>
    </row>
    <row r="11" spans="1:4" ht="15" customHeight="1">
      <c r="A11" s="38">
        <v>45931</v>
      </c>
      <c r="B11" s="39" t="s">
        <v>50</v>
      </c>
      <c r="C11" s="40">
        <v>35750</v>
      </c>
      <c r="D11" s="39" t="s">
        <v>108</v>
      </c>
    </row>
    <row r="12" spans="1:4" ht="15" customHeight="1">
      <c r="A12" s="35">
        <v>45931</v>
      </c>
      <c r="B12" s="36" t="s">
        <v>49</v>
      </c>
      <c r="C12" s="37">
        <v>1362</v>
      </c>
      <c r="D12" s="36" t="s">
        <v>108</v>
      </c>
    </row>
    <row r="13" spans="1:4" ht="15" customHeight="1">
      <c r="A13" s="38">
        <v>45931</v>
      </c>
      <c r="B13" s="39" t="s">
        <v>49</v>
      </c>
      <c r="C13" s="40">
        <v>450</v>
      </c>
      <c r="D13" s="39" t="s">
        <v>109</v>
      </c>
    </row>
    <row r="14" spans="1:4" ht="15" customHeight="1">
      <c r="A14" s="35">
        <v>45933</v>
      </c>
      <c r="B14" s="36" t="s">
        <v>49</v>
      </c>
      <c r="C14" s="37">
        <v>95</v>
      </c>
      <c r="D14" s="36" t="s">
        <v>110</v>
      </c>
    </row>
    <row r="15" spans="1:4" ht="15" customHeight="1">
      <c r="A15" s="38">
        <v>45936</v>
      </c>
      <c r="B15" s="39" t="s">
        <v>49</v>
      </c>
      <c r="C15" s="40">
        <v>65</v>
      </c>
      <c r="D15" s="39" t="s">
        <v>110</v>
      </c>
    </row>
    <row r="16" spans="1:4" ht="15" customHeight="1">
      <c r="A16" s="35">
        <v>45937</v>
      </c>
      <c r="B16" s="36" t="s">
        <v>49</v>
      </c>
      <c r="C16" s="37">
        <v>62</v>
      </c>
      <c r="D16" s="36" t="s">
        <v>110</v>
      </c>
    </row>
    <row r="17" spans="1:4" ht="15" customHeight="1">
      <c r="A17" s="38">
        <v>45941</v>
      </c>
      <c r="B17" s="39" t="s">
        <v>49</v>
      </c>
      <c r="C17" s="40">
        <v>7878</v>
      </c>
      <c r="D17" s="39" t="s">
        <v>111</v>
      </c>
    </row>
    <row r="18" spans="1:4" ht="15" customHeight="1">
      <c r="A18" s="35">
        <v>45941</v>
      </c>
      <c r="B18" s="36" t="s">
        <v>49</v>
      </c>
      <c r="C18" s="37">
        <v>-1000</v>
      </c>
      <c r="D18" s="36" t="s">
        <v>112</v>
      </c>
    </row>
    <row r="19" spans="1:4" ht="15" customHeight="1">
      <c r="A19" s="38">
        <v>45941</v>
      </c>
      <c r="B19" s="39" t="s">
        <v>50</v>
      </c>
      <c r="C19" s="40">
        <v>1849</v>
      </c>
      <c r="D19" s="39" t="s">
        <v>105</v>
      </c>
    </row>
    <row r="20" spans="1:4" ht="15" customHeight="1">
      <c r="A20" s="35">
        <v>45941</v>
      </c>
      <c r="B20" s="36" t="s">
        <v>50</v>
      </c>
      <c r="C20" s="37">
        <v>500</v>
      </c>
      <c r="D20" s="36" t="s">
        <v>113</v>
      </c>
    </row>
    <row r="21" spans="1:4" ht="15" customHeight="1">
      <c r="A21" s="38">
        <v>45941</v>
      </c>
      <c r="B21" s="39" t="s">
        <v>49</v>
      </c>
      <c r="C21" s="40">
        <v>1036</v>
      </c>
      <c r="D21" s="39" t="s">
        <v>114</v>
      </c>
    </row>
    <row r="22" spans="1:4" ht="15" customHeight="1">
      <c r="A22" s="35">
        <v>45941</v>
      </c>
      <c r="B22" s="36" t="s">
        <v>51</v>
      </c>
      <c r="C22" s="37">
        <v>2500</v>
      </c>
      <c r="D22" s="36" t="s">
        <v>115</v>
      </c>
    </row>
    <row r="23" spans="1:4" ht="15" customHeight="1">
      <c r="A23" s="38">
        <v>45967</v>
      </c>
      <c r="B23" s="39" t="s">
        <v>51</v>
      </c>
      <c r="C23" s="40">
        <v>6830</v>
      </c>
      <c r="D23" s="39" t="s">
        <v>116</v>
      </c>
    </row>
    <row r="24" spans="1:4" ht="15" customHeight="1">
      <c r="A24" s="35">
        <v>45969</v>
      </c>
      <c r="B24" s="36" t="s">
        <v>49</v>
      </c>
      <c r="C24" s="37">
        <v>4032</v>
      </c>
      <c r="D24" s="36" t="s">
        <v>116</v>
      </c>
    </row>
    <row r="25" spans="1:4" ht="15" customHeight="1">
      <c r="A25" s="38">
        <v>45970</v>
      </c>
      <c r="B25" s="39" t="s">
        <v>51</v>
      </c>
      <c r="C25" s="40">
        <v>2714</v>
      </c>
      <c r="D25" s="39" t="s">
        <v>116</v>
      </c>
    </row>
    <row r="26" spans="1:4" ht="15" customHeight="1">
      <c r="A26" s="35">
        <v>45983</v>
      </c>
      <c r="B26" s="36" t="s">
        <v>49</v>
      </c>
      <c r="C26" s="37">
        <v>3760</v>
      </c>
      <c r="D26" s="36" t="s">
        <v>116</v>
      </c>
    </row>
    <row r="27" spans="1:4" ht="15" customHeight="1">
      <c r="A27" s="38">
        <v>45984</v>
      </c>
      <c r="B27" s="39" t="s">
        <v>50</v>
      </c>
      <c r="C27" s="40">
        <v>11798</v>
      </c>
      <c r="D27" s="39" t="s">
        <v>111</v>
      </c>
    </row>
    <row r="28" spans="1:4" ht="15" customHeight="1">
      <c r="A28" s="35">
        <v>45985</v>
      </c>
      <c r="B28" s="36" t="s">
        <v>50</v>
      </c>
      <c r="C28" s="37">
        <v>8914</v>
      </c>
      <c r="D28" s="36" t="s">
        <v>111</v>
      </c>
    </row>
    <row r="29" spans="1:4" ht="15" customHeight="1">
      <c r="A29" s="38">
        <v>46000</v>
      </c>
      <c r="B29" s="39" t="s">
        <v>49</v>
      </c>
      <c r="C29" s="40">
        <v>3690</v>
      </c>
      <c r="D29" s="39" t="s">
        <v>117</v>
      </c>
    </row>
    <row r="30" spans="1:4" ht="15" customHeight="1">
      <c r="A30" s="35">
        <v>46004</v>
      </c>
      <c r="B30" s="36" t="s">
        <v>50</v>
      </c>
      <c r="C30" s="37">
        <v>4457</v>
      </c>
      <c r="D30" s="36" t="s">
        <v>118</v>
      </c>
    </row>
    <row r="31" spans="1:4" ht="15" customHeight="1">
      <c r="A31" s="38">
        <v>46008</v>
      </c>
      <c r="B31" s="39" t="s">
        <v>49</v>
      </c>
      <c r="C31" s="40">
        <v>42</v>
      </c>
      <c r="D31" s="39" t="s">
        <v>119</v>
      </c>
    </row>
    <row r="32" spans="1:4" ht="15" customHeight="1">
      <c r="A32" s="35">
        <v>46009</v>
      </c>
      <c r="B32" s="36" t="s">
        <v>50</v>
      </c>
      <c r="C32" s="37">
        <v>2657</v>
      </c>
      <c r="D32" s="36" t="s">
        <v>118</v>
      </c>
    </row>
    <row r="33" spans="1:5" ht="15" customHeight="1">
      <c r="A33" s="38">
        <v>46015</v>
      </c>
      <c r="B33" s="39" t="s">
        <v>49</v>
      </c>
      <c r="C33" s="40">
        <v>160</v>
      </c>
      <c r="D33" s="39" t="s">
        <v>110</v>
      </c>
    </row>
    <row r="34" spans="1:5" ht="15" customHeight="1">
      <c r="A34" s="35">
        <v>46017</v>
      </c>
      <c r="B34" s="36" t="s">
        <v>49</v>
      </c>
      <c r="C34" s="37">
        <v>122</v>
      </c>
      <c r="D34" s="36" t="s">
        <v>110</v>
      </c>
    </row>
    <row r="35" spans="1:5" ht="15" customHeight="1">
      <c r="A35" s="38">
        <v>46021</v>
      </c>
      <c r="B35" s="39" t="s">
        <v>50</v>
      </c>
      <c r="C35" s="40">
        <v>2122</v>
      </c>
      <c r="D35" s="39" t="s">
        <v>120</v>
      </c>
    </row>
    <row r="36" spans="1:5" ht="15" customHeight="1">
      <c r="A36" s="35">
        <v>46029</v>
      </c>
      <c r="B36" s="36" t="s">
        <v>49</v>
      </c>
      <c r="C36" s="37">
        <v>2674</v>
      </c>
      <c r="D36" s="36" t="s">
        <v>118</v>
      </c>
    </row>
    <row r="37" spans="1:5" ht="15" customHeight="1">
      <c r="A37" s="38">
        <v>46029</v>
      </c>
      <c r="B37" s="39" t="s">
        <v>49</v>
      </c>
      <c r="C37" s="40">
        <v>1760</v>
      </c>
      <c r="D37" s="39" t="s">
        <v>121</v>
      </c>
    </row>
    <row r="38" spans="1:5" ht="15" customHeight="1">
      <c r="A38" s="35">
        <v>46031</v>
      </c>
      <c r="B38" s="36" t="s">
        <v>51</v>
      </c>
      <c r="C38" s="37">
        <v>1330</v>
      </c>
      <c r="D38" s="36" t="s">
        <v>122</v>
      </c>
    </row>
    <row r="39" spans="1:5" ht="15" customHeight="1">
      <c r="A39" s="38">
        <v>46035</v>
      </c>
      <c r="B39" s="39" t="s">
        <v>49</v>
      </c>
      <c r="C39" s="40">
        <v>5940</v>
      </c>
      <c r="D39" s="39" t="s">
        <v>123</v>
      </c>
    </row>
    <row r="40" spans="1:5" ht="15" customHeight="1">
      <c r="A40" s="35">
        <v>46037</v>
      </c>
      <c r="B40" s="36" t="s">
        <v>50</v>
      </c>
      <c r="C40" s="37">
        <v>5602</v>
      </c>
      <c r="D40" s="36" t="s">
        <v>118</v>
      </c>
    </row>
    <row r="41" spans="1:5" ht="15" customHeight="1">
      <c r="A41" s="38">
        <v>46038</v>
      </c>
      <c r="B41" s="39" t="s">
        <v>50</v>
      </c>
      <c r="C41" s="40">
        <v>5349</v>
      </c>
      <c r="D41" s="39" t="s">
        <v>118</v>
      </c>
    </row>
    <row r="42" spans="1:5" ht="15" customHeight="1">
      <c r="A42" s="35">
        <v>46040</v>
      </c>
      <c r="B42" s="36" t="s">
        <v>49</v>
      </c>
      <c r="C42" s="37">
        <v>4425</v>
      </c>
      <c r="D42" s="36" t="s">
        <v>123</v>
      </c>
    </row>
    <row r="43" spans="1:5" ht="15" customHeight="1">
      <c r="A43" s="38">
        <v>46045</v>
      </c>
      <c r="B43" s="39" t="s">
        <v>49</v>
      </c>
      <c r="C43" s="40">
        <v>1370</v>
      </c>
      <c r="D43" s="39" t="s">
        <v>124</v>
      </c>
    </row>
    <row r="44" spans="1:5" ht="15" customHeight="1">
      <c r="A44" s="35">
        <v>46045</v>
      </c>
      <c r="B44" s="36" t="s">
        <v>50</v>
      </c>
      <c r="C44" s="37">
        <v>16684</v>
      </c>
      <c r="D44" s="36" t="s">
        <v>118</v>
      </c>
    </row>
    <row r="45" spans="1:5" ht="15" customHeight="1">
      <c r="A45" s="38">
        <v>46043</v>
      </c>
      <c r="B45" s="39" t="s">
        <v>49</v>
      </c>
      <c r="C45" s="40">
        <v>106</v>
      </c>
      <c r="D45" s="39" t="s">
        <v>125</v>
      </c>
    </row>
    <row r="46" spans="1:5" ht="15" customHeight="1">
      <c r="A46" s="35">
        <v>46045</v>
      </c>
      <c r="B46" s="36" t="s">
        <v>49</v>
      </c>
      <c r="C46" s="37">
        <v>288</v>
      </c>
      <c r="D46" s="36" t="s">
        <v>106</v>
      </c>
    </row>
    <row r="47" spans="1:5" ht="15" customHeight="1">
      <c r="A47" s="38">
        <v>46050</v>
      </c>
      <c r="B47" s="39" t="s">
        <v>49</v>
      </c>
      <c r="C47" s="40">
        <v>1783</v>
      </c>
      <c r="D47" s="39" t="s">
        <v>118</v>
      </c>
    </row>
    <row r="48" spans="1:5" ht="15" customHeight="1">
      <c r="A48" s="35">
        <v>46059</v>
      </c>
      <c r="B48" s="36" t="s">
        <v>51</v>
      </c>
      <c r="C48" s="37">
        <v>1290</v>
      </c>
      <c r="D48" s="36" t="s">
        <v>126</v>
      </c>
      <c r="E48" s="41"/>
    </row>
    <row r="49" spans="1:4" ht="15" customHeight="1">
      <c r="A49" s="38">
        <v>46078</v>
      </c>
      <c r="B49" s="39" t="s">
        <v>50</v>
      </c>
      <c r="C49" s="40">
        <v>3500</v>
      </c>
      <c r="D49" s="39" t="s">
        <v>127</v>
      </c>
    </row>
    <row r="50" spans="1:4" ht="15" customHeight="1">
      <c r="A50" s="35">
        <v>46087</v>
      </c>
      <c r="B50" s="36" t="s">
        <v>49</v>
      </c>
      <c r="C50" s="37">
        <v>6328</v>
      </c>
      <c r="D50" s="36" t="s">
        <v>128</v>
      </c>
    </row>
    <row r="51" spans="1:4" ht="15" customHeight="1">
      <c r="A51" s="38">
        <v>46087</v>
      </c>
      <c r="B51" s="39" t="s">
        <v>51</v>
      </c>
      <c r="C51" s="40">
        <v>3164</v>
      </c>
      <c r="D51" s="39" t="s">
        <v>128</v>
      </c>
    </row>
    <row r="52" spans="1:4" ht="15" customHeight="1">
      <c r="A52" s="35">
        <v>46090</v>
      </c>
      <c r="B52" s="36" t="s">
        <v>49</v>
      </c>
      <c r="C52" s="37">
        <v>100</v>
      </c>
      <c r="D52" s="36" t="s">
        <v>119</v>
      </c>
    </row>
    <row r="53" spans="1:4" ht="15" customHeight="1">
      <c r="A53" s="38">
        <v>46091</v>
      </c>
      <c r="B53" s="39" t="s">
        <v>49</v>
      </c>
      <c r="C53" s="40">
        <v>1400</v>
      </c>
      <c r="D53" s="39" t="s">
        <v>124</v>
      </c>
    </row>
    <row r="54" spans="1:4" ht="15" customHeight="1">
      <c r="A54" s="35">
        <v>46091</v>
      </c>
      <c r="B54" s="36" t="s">
        <v>51</v>
      </c>
      <c r="C54" s="37">
        <v>700</v>
      </c>
      <c r="D54" s="36" t="s">
        <v>124</v>
      </c>
    </row>
    <row r="55" spans="1:4" ht="15" customHeight="1">
      <c r="A55" s="38">
        <v>46092</v>
      </c>
      <c r="B55" s="39" t="s">
        <v>49</v>
      </c>
      <c r="C55" s="40">
        <v>5594</v>
      </c>
      <c r="D55" s="39" t="s">
        <v>128</v>
      </c>
    </row>
    <row r="56" spans="1:4" ht="15" customHeight="1">
      <c r="A56" s="35">
        <v>46092</v>
      </c>
      <c r="B56" s="36" t="s">
        <v>51</v>
      </c>
      <c r="C56" s="37">
        <v>2796</v>
      </c>
      <c r="D56" s="36" t="s">
        <v>128</v>
      </c>
    </row>
    <row r="57" spans="1:4" ht="15" customHeight="1">
      <c r="A57" s="38">
        <v>46093</v>
      </c>
      <c r="B57" s="39" t="s">
        <v>51</v>
      </c>
      <c r="C57" s="40">
        <v>427</v>
      </c>
      <c r="D57" s="39" t="s">
        <v>119</v>
      </c>
    </row>
    <row r="58" spans="1:4" ht="15" customHeight="1">
      <c r="A58" s="35">
        <v>46100</v>
      </c>
      <c r="B58" s="36" t="s">
        <v>49</v>
      </c>
      <c r="C58" s="37">
        <v>1663</v>
      </c>
      <c r="D58" s="36" t="s">
        <v>129</v>
      </c>
    </row>
    <row r="59" spans="1:4" ht="15" customHeight="1">
      <c r="A59" s="38">
        <v>46119</v>
      </c>
      <c r="B59" s="39" t="s">
        <v>49</v>
      </c>
      <c r="C59" s="40">
        <v>13937</v>
      </c>
      <c r="D59" s="39" t="s">
        <v>118</v>
      </c>
    </row>
    <row r="60" spans="1:4" ht="15" customHeight="1">
      <c r="A60" s="35">
        <v>46120</v>
      </c>
      <c r="B60" s="36" t="s">
        <v>49</v>
      </c>
      <c r="C60" s="37">
        <v>42</v>
      </c>
      <c r="D60" s="36" t="s">
        <v>119</v>
      </c>
    </row>
    <row r="61" spans="1:4" ht="15" customHeight="1">
      <c r="A61" s="38">
        <v>46120</v>
      </c>
      <c r="B61" s="39" t="s">
        <v>50</v>
      </c>
      <c r="C61" s="40">
        <v>1000</v>
      </c>
      <c r="D61" s="39" t="s">
        <v>130</v>
      </c>
    </row>
    <row r="62" spans="1:4" ht="15" customHeight="1">
      <c r="A62" s="35">
        <v>46122</v>
      </c>
      <c r="B62" s="36" t="s">
        <v>49</v>
      </c>
      <c r="C62" s="37">
        <v>166</v>
      </c>
      <c r="D62" s="36" t="s">
        <v>119</v>
      </c>
    </row>
    <row r="63" spans="1:4" ht="15" customHeight="1">
      <c r="A63" s="38">
        <v>46123</v>
      </c>
      <c r="B63" s="39" t="s">
        <v>50</v>
      </c>
      <c r="C63" s="40">
        <v>24251</v>
      </c>
      <c r="D63" s="39" t="s">
        <v>118</v>
      </c>
    </row>
    <row r="64" spans="1:4" ht="15" customHeight="1">
      <c r="A64" s="35">
        <v>46132</v>
      </c>
      <c r="B64" s="36" t="s">
        <v>49</v>
      </c>
      <c r="C64" s="37">
        <v>100</v>
      </c>
      <c r="D64" s="36" t="s">
        <v>131</v>
      </c>
    </row>
    <row r="65" spans="1:4" ht="15" customHeight="1">
      <c r="A65" s="38">
        <v>46133</v>
      </c>
      <c r="B65" s="39" t="s">
        <v>49</v>
      </c>
      <c r="C65" s="40">
        <v>42</v>
      </c>
      <c r="D65" s="39" t="s">
        <v>119</v>
      </c>
    </row>
    <row r="66" spans="1:4" ht="15" customHeight="1">
      <c r="A66" s="35">
        <v>46134</v>
      </c>
      <c r="B66" s="36" t="s">
        <v>49</v>
      </c>
      <c r="C66" s="37">
        <v>60</v>
      </c>
      <c r="D66" s="36" t="s">
        <v>119</v>
      </c>
    </row>
    <row r="67" spans="1:4" ht="15" customHeight="1">
      <c r="A67" s="38">
        <v>46137</v>
      </c>
      <c r="B67" s="39" t="s">
        <v>49</v>
      </c>
      <c r="C67" s="40">
        <v>62</v>
      </c>
      <c r="D67" s="39" t="s">
        <v>119</v>
      </c>
    </row>
    <row r="68" spans="1:4" ht="15" customHeight="1">
      <c r="A68" s="35">
        <v>46140</v>
      </c>
      <c r="B68" s="36" t="s">
        <v>49</v>
      </c>
      <c r="C68" s="37">
        <v>42</v>
      </c>
      <c r="D68" s="36" t="s">
        <v>119</v>
      </c>
    </row>
    <row r="69" spans="1:4" ht="15" customHeight="1">
      <c r="A69" s="38">
        <v>46140</v>
      </c>
      <c r="B69" s="39" t="s">
        <v>49</v>
      </c>
      <c r="C69" s="40">
        <v>25140</v>
      </c>
      <c r="D69" s="39" t="s">
        <v>118</v>
      </c>
    </row>
    <row r="70" spans="1:4" ht="15" customHeight="1">
      <c r="A70" s="35">
        <v>46141</v>
      </c>
      <c r="B70" s="36" t="s">
        <v>49</v>
      </c>
      <c r="C70" s="37">
        <v>2160</v>
      </c>
      <c r="D70" s="36" t="s">
        <v>118</v>
      </c>
    </row>
    <row r="71" spans="1:4" ht="15" customHeight="1">
      <c r="A71" s="38">
        <v>46142</v>
      </c>
      <c r="B71" s="39" t="s">
        <v>50</v>
      </c>
      <c r="C71" s="40">
        <v>4000</v>
      </c>
      <c r="D71" s="39" t="s">
        <v>132</v>
      </c>
    </row>
    <row r="72" spans="1:4" ht="15" customHeight="1">
      <c r="A72" s="35">
        <v>46151</v>
      </c>
      <c r="B72" s="36" t="s">
        <v>50</v>
      </c>
      <c r="C72" s="37">
        <v>3944</v>
      </c>
      <c r="D72" s="36" t="s">
        <v>118</v>
      </c>
    </row>
    <row r="73" spans="1:4" ht="15" customHeight="1">
      <c r="A73" s="38">
        <v>46143</v>
      </c>
      <c r="B73" s="39" t="s">
        <v>49</v>
      </c>
      <c r="C73" s="40">
        <v>505</v>
      </c>
      <c r="D73" s="39" t="s">
        <v>119</v>
      </c>
    </row>
    <row r="74" spans="1:4" ht="15" customHeight="1">
      <c r="A74" s="35">
        <v>46176</v>
      </c>
      <c r="B74" s="36" t="s">
        <v>50</v>
      </c>
      <c r="C74" s="37">
        <v>960</v>
      </c>
      <c r="D74" s="36" t="s">
        <v>133</v>
      </c>
    </row>
    <row r="75" spans="1:4" ht="15" customHeight="1">
      <c r="A75" s="38">
        <v>46176</v>
      </c>
      <c r="B75" s="39" t="s">
        <v>49</v>
      </c>
      <c r="C75" s="40">
        <v>400</v>
      </c>
      <c r="D75" s="39" t="s">
        <v>119</v>
      </c>
    </row>
    <row r="76" spans="1:4" ht="15" customHeight="1">
      <c r="A76" s="35">
        <v>46177</v>
      </c>
      <c r="B76" s="36" t="s">
        <v>49</v>
      </c>
      <c r="C76" s="37">
        <v>2900</v>
      </c>
      <c r="D76" s="36" t="s">
        <v>134</v>
      </c>
    </row>
    <row r="77" spans="1:4" ht="15" customHeight="1">
      <c r="A77" s="38">
        <v>46177</v>
      </c>
      <c r="B77" s="39" t="s">
        <v>49</v>
      </c>
      <c r="C77" s="40">
        <v>180</v>
      </c>
      <c r="D77" s="39" t="s">
        <v>135</v>
      </c>
    </row>
    <row r="78" spans="1:4" ht="15" customHeight="1">
      <c r="A78" s="35">
        <v>46178</v>
      </c>
      <c r="B78" s="36" t="s">
        <v>49</v>
      </c>
      <c r="C78" s="37">
        <v>84</v>
      </c>
      <c r="D78" s="36" t="s">
        <v>136</v>
      </c>
    </row>
    <row r="79" spans="1:4" ht="15" customHeight="1">
      <c r="A79" s="38">
        <v>46179</v>
      </c>
      <c r="B79" s="39" t="s">
        <v>49</v>
      </c>
      <c r="C79" s="40">
        <v>208</v>
      </c>
      <c r="D79" s="39" t="s">
        <v>136</v>
      </c>
    </row>
    <row r="80" spans="1:4" ht="15" customHeight="1">
      <c r="A80" s="35">
        <v>46178</v>
      </c>
      <c r="B80" s="36" t="s">
        <v>49</v>
      </c>
      <c r="C80" s="37">
        <v>2189</v>
      </c>
      <c r="D80" s="36" t="s">
        <v>118</v>
      </c>
    </row>
    <row r="81" spans="1:4" ht="15" customHeight="1">
      <c r="A81" s="38">
        <v>46179</v>
      </c>
      <c r="B81" s="39" t="s">
        <v>49</v>
      </c>
      <c r="C81" s="40">
        <v>7809</v>
      </c>
      <c r="D81" s="39" t="s">
        <v>118</v>
      </c>
    </row>
    <row r="82" spans="1:4" ht="15" customHeight="1">
      <c r="A82" s="35">
        <v>46186</v>
      </c>
      <c r="B82" s="36" t="s">
        <v>50</v>
      </c>
      <c r="C82" s="37">
        <v>40000</v>
      </c>
      <c r="D82" s="36" t="s">
        <v>118</v>
      </c>
    </row>
    <row r="83" spans="1:4" ht="15" customHeight="1">
      <c r="A83" s="38">
        <v>46186</v>
      </c>
      <c r="B83" s="39" t="s">
        <v>49</v>
      </c>
      <c r="C83" s="40">
        <v>24760</v>
      </c>
      <c r="D83" s="39" t="s">
        <v>118</v>
      </c>
    </row>
    <row r="84" spans="1:4" ht="15" customHeight="1">
      <c r="A84" s="35">
        <v>46192</v>
      </c>
      <c r="B84" s="36" t="s">
        <v>49</v>
      </c>
      <c r="C84" s="37">
        <v>246</v>
      </c>
      <c r="D84" s="36" t="s">
        <v>137</v>
      </c>
    </row>
    <row r="85" spans="1:4" ht="15" customHeight="1">
      <c r="A85" s="38">
        <v>46192</v>
      </c>
      <c r="B85" s="39" t="s">
        <v>49</v>
      </c>
      <c r="C85" s="40">
        <v>18907</v>
      </c>
      <c r="D85" s="39" t="s">
        <v>118</v>
      </c>
    </row>
    <row r="86" spans="1:4" ht="15" customHeight="1">
      <c r="A86" s="35">
        <v>46076</v>
      </c>
      <c r="B86" s="36" t="s">
        <v>49</v>
      </c>
      <c r="C86" s="37">
        <v>300</v>
      </c>
      <c r="D86" s="36" t="s">
        <v>138</v>
      </c>
    </row>
    <row r="87" spans="1:4" ht="15" customHeight="1">
      <c r="A87" s="38">
        <v>46076</v>
      </c>
      <c r="B87" s="39" t="s">
        <v>49</v>
      </c>
      <c r="C87" s="40">
        <v>62</v>
      </c>
      <c r="D87" s="39" t="s">
        <v>138</v>
      </c>
    </row>
    <row r="88" spans="1:4" ht="15" customHeight="1">
      <c r="A88" s="35">
        <v>46197</v>
      </c>
      <c r="B88" s="36" t="s">
        <v>49</v>
      </c>
      <c r="C88" s="37">
        <v>160</v>
      </c>
      <c r="D88" s="36" t="s">
        <v>138</v>
      </c>
    </row>
    <row r="89" spans="1:4" ht="15" customHeight="1">
      <c r="A89" s="38">
        <v>46202</v>
      </c>
      <c r="B89" s="39" t="s">
        <v>49</v>
      </c>
      <c r="C89" s="40">
        <v>240</v>
      </c>
      <c r="D89" s="39" t="s">
        <v>138</v>
      </c>
    </row>
    <row r="90" spans="1:4" ht="15" customHeight="1">
      <c r="A90" s="35">
        <v>46205</v>
      </c>
      <c r="B90" s="36" t="s">
        <v>49</v>
      </c>
      <c r="C90" s="37">
        <v>170</v>
      </c>
      <c r="D90" s="36" t="s">
        <v>138</v>
      </c>
    </row>
    <row r="91" spans="1:4" ht="15" customHeight="1">
      <c r="A91" s="38">
        <v>46205</v>
      </c>
      <c r="B91" s="39" t="s">
        <v>49</v>
      </c>
      <c r="C91" s="40">
        <v>28526</v>
      </c>
      <c r="D91" s="39" t="s">
        <v>1107</v>
      </c>
    </row>
    <row r="92" spans="1:4" ht="15" customHeight="1">
      <c r="A92" s="35">
        <v>46207</v>
      </c>
      <c r="B92" s="36" t="s">
        <v>49</v>
      </c>
      <c r="C92" s="37">
        <v>186</v>
      </c>
      <c r="D92" s="36" t="s">
        <v>138</v>
      </c>
    </row>
    <row r="93" spans="1:4" ht="15" customHeight="1">
      <c r="A93" s="38">
        <v>46210</v>
      </c>
      <c r="B93" s="39" t="s">
        <v>49</v>
      </c>
      <c r="C93" s="40">
        <v>62</v>
      </c>
      <c r="D93" s="39" t="s">
        <v>138</v>
      </c>
    </row>
    <row r="94" spans="1:4" ht="15" customHeight="1">
      <c r="A94" s="35">
        <v>46212</v>
      </c>
      <c r="B94" s="36" t="s">
        <v>50</v>
      </c>
      <c r="C94" s="37">
        <v>28130</v>
      </c>
      <c r="D94" s="36" t="s">
        <v>118</v>
      </c>
    </row>
    <row r="95" spans="1:4" ht="15" customHeight="1">
      <c r="A95" s="38">
        <v>46216</v>
      </c>
      <c r="B95" s="39" t="s">
        <v>49</v>
      </c>
      <c r="C95" s="40">
        <v>5954</v>
      </c>
      <c r="D95" s="39" t="s">
        <v>118</v>
      </c>
    </row>
    <row r="96" spans="1:4" ht="15" customHeight="1">
      <c r="A96" s="35">
        <v>46217</v>
      </c>
      <c r="B96" s="36" t="s">
        <v>49</v>
      </c>
      <c r="C96" s="37">
        <v>70</v>
      </c>
      <c r="D96" s="36" t="s">
        <v>1147</v>
      </c>
    </row>
    <row r="97" spans="1:4" ht="15" customHeight="1">
      <c r="A97" s="38">
        <v>46218</v>
      </c>
      <c r="B97" s="39" t="s">
        <v>49</v>
      </c>
      <c r="C97" s="40">
        <v>1375</v>
      </c>
      <c r="D97" s="39" t="s">
        <v>1148</v>
      </c>
    </row>
    <row r="98" spans="1:4" ht="15" customHeight="1">
      <c r="A98" s="35">
        <v>46219</v>
      </c>
      <c r="B98" s="36" t="s">
        <v>49</v>
      </c>
      <c r="C98" s="37">
        <v>189</v>
      </c>
      <c r="D98" s="36" t="s">
        <v>1149</v>
      </c>
    </row>
    <row r="99" spans="1:4" ht="15" customHeight="1">
      <c r="A99" s="38">
        <v>46220</v>
      </c>
      <c r="B99" s="39" t="s">
        <v>49</v>
      </c>
      <c r="C99" s="40">
        <v>186</v>
      </c>
      <c r="D99" s="39" t="s">
        <v>119</v>
      </c>
    </row>
    <row r="100" spans="1:4" ht="15" customHeight="1">
      <c r="A100" s="35">
        <v>46223</v>
      </c>
      <c r="B100" s="36" t="s">
        <v>49</v>
      </c>
      <c r="C100" s="37">
        <v>42</v>
      </c>
      <c r="D100" s="36" t="s">
        <v>138</v>
      </c>
    </row>
    <row r="101" spans="1:4" ht="15" customHeight="1">
      <c r="A101" s="38">
        <v>46223</v>
      </c>
      <c r="B101" s="39" t="s">
        <v>49</v>
      </c>
      <c r="C101" s="40">
        <v>188</v>
      </c>
      <c r="D101" s="39" t="s">
        <v>138</v>
      </c>
    </row>
    <row r="102" spans="1:4" ht="15" customHeight="1">
      <c r="A102" s="35">
        <v>46225</v>
      </c>
      <c r="B102" s="36" t="s">
        <v>49</v>
      </c>
      <c r="C102" s="37">
        <v>142</v>
      </c>
      <c r="D102" s="36" t="s">
        <v>119</v>
      </c>
    </row>
    <row r="103" spans="1:4" ht="15" customHeight="1">
      <c r="A103" s="38">
        <v>46228</v>
      </c>
      <c r="B103" s="39" t="s">
        <v>49</v>
      </c>
      <c r="C103" s="40">
        <v>2130</v>
      </c>
      <c r="D103" s="39" t="s">
        <v>118</v>
      </c>
    </row>
    <row r="104" spans="1:4" ht="15" customHeight="1">
      <c r="A104" s="35">
        <v>46231</v>
      </c>
      <c r="B104" s="36" t="s">
        <v>50</v>
      </c>
      <c r="C104" s="37">
        <v>34850</v>
      </c>
      <c r="D104" s="36" t="s">
        <v>118</v>
      </c>
    </row>
    <row r="105" spans="1:4" ht="15" customHeight="1">
      <c r="A105" s="38"/>
      <c r="B105" s="39"/>
      <c r="C105" s="40"/>
      <c r="D105" s="39"/>
    </row>
    <row r="106" spans="1:4" ht="15" customHeight="1">
      <c r="A106" s="35"/>
      <c r="B106" s="36"/>
      <c r="C106" s="37"/>
      <c r="D106" s="36"/>
    </row>
    <row r="107" spans="1:4" ht="15" customHeight="1">
      <c r="A107" s="38"/>
      <c r="B107" s="39"/>
      <c r="C107" s="40"/>
      <c r="D107" s="39"/>
    </row>
    <row r="108" spans="1:4" ht="15" customHeight="1">
      <c r="A108" s="35"/>
      <c r="B108" s="36"/>
      <c r="C108" s="37"/>
      <c r="D108" s="36"/>
    </row>
    <row r="109" spans="1:4" ht="15" customHeight="1">
      <c r="A109" s="38"/>
      <c r="B109" s="39"/>
      <c r="C109" s="40"/>
      <c r="D109" s="39"/>
    </row>
    <row r="110" spans="1:4" ht="15" customHeight="1">
      <c r="A110" s="35"/>
      <c r="B110" s="36"/>
      <c r="C110" s="37"/>
      <c r="D110" s="36"/>
    </row>
    <row r="111" spans="1:4" ht="15" customHeight="1">
      <c r="A111" s="38"/>
      <c r="B111" s="39"/>
      <c r="C111" s="40"/>
      <c r="D111" s="39"/>
    </row>
    <row r="112" spans="1:4" ht="15" customHeight="1">
      <c r="A112" s="35"/>
      <c r="B112" s="36"/>
      <c r="C112" s="37"/>
      <c r="D112" s="36"/>
    </row>
    <row r="113" spans="1:4" ht="15" customHeight="1">
      <c r="A113" s="38"/>
      <c r="B113" s="39"/>
      <c r="C113" s="40"/>
      <c r="D113" s="39"/>
    </row>
    <row r="114" spans="1:4" ht="15" customHeight="1">
      <c r="A114" s="35"/>
      <c r="B114" s="36"/>
      <c r="C114" s="37"/>
      <c r="D114" s="36"/>
    </row>
    <row r="115" spans="1:4" ht="15" customHeight="1">
      <c r="A115" s="38"/>
      <c r="B115" s="39"/>
      <c r="C115" s="40"/>
      <c r="D115" s="39"/>
    </row>
    <row r="116" spans="1:4" ht="15" customHeight="1">
      <c r="A116" s="35"/>
      <c r="B116" s="36"/>
      <c r="C116" s="37"/>
      <c r="D116" s="36"/>
    </row>
    <row r="117" spans="1:4" ht="15" customHeight="1">
      <c r="A117" s="38"/>
      <c r="B117" s="39"/>
      <c r="C117" s="40"/>
      <c r="D117" s="39"/>
    </row>
    <row r="118" spans="1:4" ht="15" customHeight="1">
      <c r="A118" s="35"/>
      <c r="B118" s="36"/>
      <c r="C118" s="37"/>
      <c r="D118" s="36"/>
    </row>
    <row r="119" spans="1:4" ht="15" customHeight="1">
      <c r="A119" s="38"/>
      <c r="B119" s="39"/>
      <c r="C119" s="40"/>
      <c r="D119" s="39"/>
    </row>
    <row r="120" spans="1:4" ht="15" customHeight="1">
      <c r="A120" s="35"/>
      <c r="B120" s="36"/>
      <c r="C120" s="37"/>
      <c r="D120" s="36"/>
    </row>
    <row r="121" spans="1:4" ht="15" customHeight="1">
      <c r="A121" s="38"/>
      <c r="B121" s="39"/>
      <c r="C121" s="40"/>
      <c r="D121" s="39"/>
    </row>
    <row r="122" spans="1:4" ht="15" customHeight="1">
      <c r="A122" s="35"/>
      <c r="B122" s="36"/>
      <c r="C122" s="37"/>
      <c r="D122" s="36"/>
    </row>
    <row r="123" spans="1:4" ht="15" customHeight="1">
      <c r="A123" s="38"/>
      <c r="B123" s="39"/>
      <c r="C123" s="40"/>
      <c r="D123" s="39"/>
    </row>
    <row r="124" spans="1:4" ht="15" customHeight="1">
      <c r="A124" s="35"/>
      <c r="B124" s="36"/>
      <c r="C124" s="37"/>
      <c r="D124" s="36"/>
    </row>
    <row r="125" spans="1:4" ht="15" customHeight="1">
      <c r="A125" s="38"/>
      <c r="B125" s="39"/>
      <c r="C125" s="40"/>
      <c r="D125" s="39"/>
    </row>
    <row r="126" spans="1:4" ht="15" customHeight="1">
      <c r="A126" s="35"/>
      <c r="B126" s="36"/>
      <c r="C126" s="37"/>
      <c r="D126" s="36"/>
    </row>
    <row r="127" spans="1:4" ht="15" customHeight="1">
      <c r="A127" s="38"/>
      <c r="B127" s="39"/>
      <c r="C127" s="40"/>
      <c r="D127" s="39"/>
    </row>
    <row r="128" spans="1:4" ht="15" customHeight="1">
      <c r="A128" s="35"/>
      <c r="B128" s="36"/>
      <c r="C128" s="37"/>
      <c r="D128" s="36"/>
    </row>
    <row r="129" spans="1:4" ht="15" customHeight="1">
      <c r="A129" s="38"/>
      <c r="B129" s="39"/>
      <c r="C129" s="40"/>
      <c r="D129" s="39"/>
    </row>
    <row r="130" spans="1:4" ht="15" customHeight="1">
      <c r="A130" s="35"/>
      <c r="B130" s="36"/>
      <c r="C130" s="37"/>
      <c r="D130" s="36"/>
    </row>
    <row r="131" spans="1:4" ht="15" customHeight="1">
      <c r="A131" s="38"/>
      <c r="B131" s="39"/>
      <c r="C131" s="40"/>
      <c r="D131" s="39"/>
    </row>
    <row r="132" spans="1:4" ht="15" customHeight="1">
      <c r="A132" s="35"/>
      <c r="B132" s="36"/>
      <c r="C132" s="37"/>
      <c r="D132" s="36"/>
    </row>
    <row r="133" spans="1:4" ht="15" customHeight="1">
      <c r="A133" s="38"/>
      <c r="B133" s="39"/>
      <c r="C133" s="40"/>
      <c r="D133" s="39"/>
    </row>
    <row r="134" spans="1:4" ht="15" customHeight="1">
      <c r="A134" s="35"/>
      <c r="B134" s="36"/>
      <c r="C134" s="37"/>
      <c r="D134" s="36"/>
    </row>
    <row r="135" spans="1:4" ht="15" customHeight="1">
      <c r="A135" s="38"/>
      <c r="B135" s="39"/>
      <c r="C135" s="40"/>
      <c r="D135" s="39"/>
    </row>
    <row r="136" spans="1:4" ht="15" customHeight="1">
      <c r="A136" s="35"/>
      <c r="B136" s="36"/>
      <c r="C136" s="37"/>
      <c r="D136" s="36"/>
    </row>
    <row r="137" spans="1:4" ht="15" customHeight="1">
      <c r="A137" s="38"/>
      <c r="B137" s="39"/>
      <c r="C137" s="40"/>
      <c r="D137" s="39"/>
    </row>
    <row r="138" spans="1:4" ht="15" customHeight="1">
      <c r="A138" s="35"/>
      <c r="B138" s="36"/>
      <c r="C138" s="37"/>
      <c r="D138" s="36"/>
    </row>
    <row r="139" spans="1:4" ht="15" customHeight="1">
      <c r="A139" s="38"/>
      <c r="B139" s="39"/>
      <c r="C139" s="40"/>
      <c r="D139" s="39"/>
    </row>
    <row r="140" spans="1:4" ht="15" customHeight="1">
      <c r="A140" s="35"/>
      <c r="B140" s="36"/>
      <c r="C140" s="37"/>
      <c r="D140" s="36"/>
    </row>
    <row r="141" spans="1:4" ht="15" customHeight="1">
      <c r="A141" s="38"/>
      <c r="B141" s="39"/>
      <c r="C141" s="40"/>
      <c r="D141" s="39"/>
    </row>
    <row r="142" spans="1:4" ht="15" customHeight="1">
      <c r="A142" s="35"/>
      <c r="B142" s="36"/>
      <c r="C142" s="37"/>
      <c r="D142" s="36"/>
    </row>
    <row r="143" spans="1:4" ht="15" customHeight="1">
      <c r="A143" s="38"/>
      <c r="B143" s="39"/>
      <c r="C143" s="40"/>
      <c r="D143" s="39"/>
    </row>
    <row r="144" spans="1:4" ht="15" customHeight="1">
      <c r="A144" s="35"/>
      <c r="B144" s="36"/>
      <c r="C144" s="37"/>
      <c r="D144" s="36"/>
    </row>
    <row r="145" spans="1:4" ht="15" customHeight="1">
      <c r="A145" s="38"/>
      <c r="B145" s="39"/>
      <c r="C145" s="40"/>
      <c r="D145" s="39"/>
    </row>
    <row r="146" spans="1:4" ht="15" customHeight="1">
      <c r="A146" s="35"/>
      <c r="B146" s="36"/>
      <c r="C146" s="37"/>
      <c r="D146" s="36"/>
    </row>
    <row r="147" spans="1:4" ht="15" customHeight="1">
      <c r="A147" s="38"/>
      <c r="B147" s="39"/>
      <c r="C147" s="40"/>
      <c r="D147" s="39"/>
    </row>
    <row r="148" spans="1:4" ht="15" customHeight="1">
      <c r="A148" s="35"/>
      <c r="B148" s="36"/>
      <c r="C148" s="37"/>
      <c r="D148" s="36"/>
    </row>
    <row r="149" spans="1:4" ht="15" customHeight="1">
      <c r="A149" s="38"/>
      <c r="B149" s="39"/>
      <c r="C149" s="40"/>
      <c r="D149" s="39"/>
    </row>
    <row r="150" spans="1:4" ht="15" customHeight="1">
      <c r="A150" s="35"/>
      <c r="B150" s="36"/>
      <c r="C150" s="37"/>
      <c r="D150" s="36"/>
    </row>
    <row r="151" spans="1:4" ht="15" customHeight="1">
      <c r="A151" s="38"/>
      <c r="B151" s="39"/>
      <c r="C151" s="40"/>
      <c r="D151" s="39"/>
    </row>
    <row r="152" spans="1:4" ht="15" customHeight="1">
      <c r="A152" s="35"/>
      <c r="B152" s="36"/>
      <c r="C152" s="37"/>
      <c r="D152" s="36"/>
    </row>
    <row r="153" spans="1:4" ht="15" customHeight="1">
      <c r="A153" s="38"/>
      <c r="B153" s="39"/>
      <c r="C153" s="40"/>
      <c r="D153" s="39"/>
    </row>
    <row r="154" spans="1:4" ht="15" customHeight="1">
      <c r="A154" s="35"/>
      <c r="B154" s="36"/>
      <c r="C154" s="37"/>
      <c r="D154" s="36"/>
    </row>
    <row r="155" spans="1:4" ht="15" customHeight="1">
      <c r="A155" s="38"/>
      <c r="B155" s="39"/>
      <c r="C155" s="40"/>
      <c r="D155" s="39"/>
    </row>
    <row r="156" spans="1:4" ht="15" customHeight="1">
      <c r="A156" s="35"/>
      <c r="B156" s="36"/>
      <c r="C156" s="37"/>
      <c r="D156" s="36"/>
    </row>
    <row r="157" spans="1:4" ht="15" customHeight="1">
      <c r="A157" s="38"/>
      <c r="B157" s="39"/>
      <c r="C157" s="40"/>
      <c r="D157" s="39"/>
    </row>
    <row r="158" spans="1:4" ht="15" customHeight="1">
      <c r="A158" s="35"/>
      <c r="B158" s="36"/>
      <c r="C158" s="37"/>
      <c r="D158" s="36"/>
    </row>
    <row r="159" spans="1:4" ht="15" customHeight="1">
      <c r="A159" s="38"/>
      <c r="B159" s="39"/>
      <c r="C159" s="40"/>
      <c r="D159" s="39"/>
    </row>
    <row r="160" spans="1:4" ht="15" customHeight="1">
      <c r="A160" s="35"/>
      <c r="B160" s="36"/>
      <c r="C160" s="37"/>
      <c r="D160" s="36"/>
    </row>
    <row r="161" spans="1:4" ht="15" customHeight="1">
      <c r="A161" s="38"/>
      <c r="B161" s="39"/>
      <c r="C161" s="40"/>
      <c r="D161" s="39"/>
    </row>
    <row r="162" spans="1:4" ht="15" customHeight="1">
      <c r="A162" s="35"/>
      <c r="B162" s="36"/>
      <c r="C162" s="37"/>
      <c r="D162" s="36"/>
    </row>
    <row r="163" spans="1:4" ht="15" customHeight="1">
      <c r="A163" s="38"/>
      <c r="B163" s="39"/>
      <c r="C163" s="40"/>
      <c r="D163" s="39"/>
    </row>
    <row r="164" spans="1:4" ht="15" customHeight="1">
      <c r="A164" s="35"/>
      <c r="B164" s="36"/>
      <c r="C164" s="37"/>
      <c r="D164" s="36"/>
    </row>
    <row r="165" spans="1:4" ht="15" customHeight="1">
      <c r="A165" s="38"/>
      <c r="B165" s="39"/>
      <c r="C165" s="40"/>
      <c r="D165" s="39"/>
    </row>
    <row r="166" spans="1:4" ht="15" customHeight="1">
      <c r="A166" s="35"/>
      <c r="B166" s="36"/>
      <c r="C166" s="37"/>
      <c r="D166" s="36"/>
    </row>
    <row r="167" spans="1:4" ht="15" customHeight="1">
      <c r="A167" s="38"/>
      <c r="B167" s="39"/>
      <c r="C167" s="40"/>
      <c r="D167" s="39"/>
    </row>
    <row r="168" spans="1:4" ht="15" customHeight="1">
      <c r="A168" s="35"/>
      <c r="B168" s="36"/>
      <c r="C168" s="37"/>
      <c r="D168" s="36"/>
    </row>
    <row r="169" spans="1:4" ht="15" customHeight="1">
      <c r="A169" s="38"/>
      <c r="B169" s="39"/>
      <c r="C169" s="40"/>
      <c r="D169" s="39"/>
    </row>
    <row r="170" spans="1:4" ht="15" customHeight="1">
      <c r="A170" s="35"/>
      <c r="B170" s="36"/>
      <c r="C170" s="37"/>
      <c r="D170" s="36"/>
    </row>
    <row r="171" spans="1:4" ht="15" customHeight="1">
      <c r="A171" s="38"/>
      <c r="B171" s="39"/>
      <c r="C171" s="40"/>
      <c r="D171" s="39"/>
    </row>
    <row r="172" spans="1:4" ht="15" customHeight="1">
      <c r="A172" s="35"/>
      <c r="B172" s="36"/>
      <c r="C172" s="37"/>
      <c r="D172" s="36"/>
    </row>
    <row r="173" spans="1:4" ht="15" customHeight="1">
      <c r="A173" s="38"/>
      <c r="B173" s="39"/>
      <c r="C173" s="40"/>
      <c r="D173" s="39"/>
    </row>
    <row r="174" spans="1:4" ht="15" customHeight="1">
      <c r="A174" s="35"/>
      <c r="B174" s="36"/>
      <c r="C174" s="37"/>
      <c r="D174" s="36"/>
    </row>
    <row r="175" spans="1:4" ht="15" customHeight="1">
      <c r="A175" s="38"/>
      <c r="B175" s="39"/>
      <c r="C175" s="40"/>
      <c r="D175" s="39"/>
    </row>
    <row r="176" spans="1:4" ht="15" customHeight="1">
      <c r="A176" s="35"/>
      <c r="B176" s="36"/>
      <c r="C176" s="37"/>
      <c r="D176" s="36"/>
    </row>
    <row r="177" spans="1:4" ht="15" customHeight="1">
      <c r="A177" s="38"/>
      <c r="B177" s="39"/>
      <c r="C177" s="40"/>
      <c r="D177" s="39"/>
    </row>
    <row r="178" spans="1:4" ht="15" customHeight="1">
      <c r="A178" s="35"/>
      <c r="B178" s="36"/>
      <c r="C178" s="37"/>
      <c r="D178" s="36"/>
    </row>
    <row r="179" spans="1:4" ht="15" customHeight="1">
      <c r="A179" s="38"/>
      <c r="B179" s="39"/>
      <c r="C179" s="40"/>
      <c r="D179" s="39"/>
    </row>
    <row r="180" spans="1:4" ht="15" customHeight="1">
      <c r="A180" s="35"/>
      <c r="B180" s="36"/>
      <c r="C180" s="37"/>
      <c r="D180" s="36"/>
    </row>
    <row r="181" spans="1:4" ht="15" customHeight="1">
      <c r="A181" s="38"/>
      <c r="B181" s="39"/>
      <c r="C181" s="40"/>
      <c r="D181" s="39"/>
    </row>
    <row r="182" spans="1:4" ht="15" customHeight="1">
      <c r="A182" s="35"/>
      <c r="B182" s="36"/>
      <c r="C182" s="37"/>
      <c r="D182" s="36"/>
    </row>
    <row r="183" spans="1:4" ht="15" customHeight="1">
      <c r="A183" s="38"/>
      <c r="B183" s="39"/>
      <c r="C183" s="40"/>
      <c r="D183" s="39"/>
    </row>
    <row r="184" spans="1:4" ht="15" customHeight="1">
      <c r="A184" s="35"/>
      <c r="B184" s="36"/>
      <c r="C184" s="37"/>
      <c r="D184" s="36"/>
    </row>
    <row r="185" spans="1:4" ht="15" customHeight="1">
      <c r="A185" s="38"/>
      <c r="B185" s="39"/>
      <c r="C185" s="40"/>
      <c r="D185" s="39"/>
    </row>
    <row r="186" spans="1:4" ht="15" customHeight="1">
      <c r="A186" s="35"/>
      <c r="B186" s="36"/>
      <c r="C186" s="37"/>
      <c r="D186" s="36"/>
    </row>
    <row r="187" spans="1:4" ht="15" customHeight="1">
      <c r="A187" s="38"/>
      <c r="B187" s="39"/>
      <c r="C187" s="40"/>
      <c r="D187" s="39"/>
    </row>
    <row r="188" spans="1:4" ht="15" customHeight="1">
      <c r="A188" s="35"/>
      <c r="B188" s="36"/>
      <c r="C188" s="37"/>
      <c r="D188" s="36"/>
    </row>
    <row r="189" spans="1:4" ht="15" customHeight="1">
      <c r="A189" s="38"/>
      <c r="B189" s="39"/>
      <c r="C189" s="40"/>
      <c r="D189" s="39"/>
    </row>
    <row r="190" spans="1:4" ht="15" customHeight="1">
      <c r="A190" s="35"/>
      <c r="B190" s="36"/>
      <c r="C190" s="37"/>
      <c r="D190" s="36"/>
    </row>
    <row r="191" spans="1:4" ht="15" customHeight="1">
      <c r="A191" s="38"/>
      <c r="B191" s="39"/>
      <c r="C191" s="40"/>
      <c r="D191" s="39"/>
    </row>
    <row r="192" spans="1:4" ht="15" customHeight="1">
      <c r="A192" s="35"/>
      <c r="B192" s="36"/>
      <c r="C192" s="37"/>
      <c r="D192" s="36"/>
    </row>
    <row r="193" spans="1:4" ht="15" customHeight="1">
      <c r="A193" s="38"/>
      <c r="B193" s="39"/>
      <c r="C193" s="40"/>
      <c r="D193" s="39"/>
    </row>
    <row r="194" spans="1:4" ht="15" customHeight="1">
      <c r="A194" s="35"/>
      <c r="B194" s="36"/>
      <c r="C194" s="37"/>
      <c r="D194" s="36"/>
    </row>
    <row r="195" spans="1:4" ht="15" customHeight="1">
      <c r="A195" s="38"/>
      <c r="B195" s="39"/>
      <c r="C195" s="40"/>
      <c r="D195" s="39"/>
    </row>
    <row r="196" spans="1:4" ht="15" customHeight="1">
      <c r="A196" s="35"/>
      <c r="B196" s="36"/>
      <c r="C196" s="37"/>
      <c r="D196" s="36"/>
    </row>
    <row r="197" spans="1:4" ht="15" customHeight="1">
      <c r="A197" s="38"/>
      <c r="B197" s="39"/>
      <c r="C197" s="40"/>
      <c r="D197" s="39"/>
    </row>
    <row r="198" spans="1:4" ht="15" customHeight="1">
      <c r="A198" s="35"/>
      <c r="B198" s="36"/>
      <c r="C198" s="37"/>
      <c r="D198" s="36"/>
    </row>
    <row r="199" spans="1:4" ht="15" customHeight="1">
      <c r="A199" s="38"/>
      <c r="B199" s="39"/>
      <c r="C199" s="40"/>
      <c r="D199" s="39"/>
    </row>
    <row r="200" spans="1:4" ht="15" customHeight="1">
      <c r="A200" s="35"/>
      <c r="B200" s="36"/>
      <c r="C200" s="37"/>
      <c r="D200" s="36"/>
    </row>
    <row r="201" spans="1:4" ht="15" customHeight="1">
      <c r="A201" s="38"/>
      <c r="B201" s="39"/>
      <c r="C201" s="40"/>
      <c r="D201" s="39"/>
    </row>
    <row r="202" spans="1:4" ht="15" customHeight="1">
      <c r="A202" s="35"/>
      <c r="B202" s="36"/>
      <c r="C202" s="37"/>
      <c r="D202" s="36"/>
    </row>
    <row r="203" spans="1:4" ht="15" customHeight="1">
      <c r="A203" s="38"/>
      <c r="B203" s="39"/>
      <c r="C203" s="40"/>
      <c r="D203" s="39"/>
    </row>
    <row r="204" spans="1:4" ht="15" customHeight="1">
      <c r="A204" s="35"/>
      <c r="B204" s="36"/>
      <c r="C204" s="37"/>
      <c r="D204" s="36"/>
    </row>
    <row r="205" spans="1:4" ht="15" customHeight="1">
      <c r="A205" s="38"/>
      <c r="B205" s="39"/>
      <c r="C205" s="40"/>
      <c r="D205" s="39"/>
    </row>
    <row r="206" spans="1:4" ht="15" customHeight="1">
      <c r="A206" s="35"/>
      <c r="B206" s="36"/>
      <c r="C206" s="37"/>
      <c r="D206" s="36"/>
    </row>
    <row r="207" spans="1:4" ht="15" customHeight="1">
      <c r="A207" s="38"/>
      <c r="B207" s="39"/>
      <c r="C207" s="40"/>
      <c r="D207" s="39"/>
    </row>
    <row r="208" spans="1:4" ht="15" customHeight="1">
      <c r="A208" s="35"/>
      <c r="B208" s="36"/>
      <c r="C208" s="37"/>
      <c r="D208" s="36"/>
    </row>
    <row r="209" spans="1:4" ht="15" customHeight="1">
      <c r="A209" s="38"/>
      <c r="B209" s="39"/>
      <c r="C209" s="40"/>
      <c r="D209" s="39"/>
    </row>
    <row r="210" spans="1:4" ht="15" customHeight="1">
      <c r="A210" s="35"/>
      <c r="B210" s="36"/>
      <c r="C210" s="37"/>
      <c r="D210" s="36"/>
    </row>
    <row r="211" spans="1:4" ht="15" customHeight="1">
      <c r="A211" s="38"/>
      <c r="B211" s="39"/>
      <c r="C211" s="40"/>
      <c r="D211" s="39"/>
    </row>
    <row r="212" spans="1:4" ht="15" customHeight="1">
      <c r="A212" s="35"/>
      <c r="B212" s="36"/>
      <c r="C212" s="37"/>
      <c r="D212" s="36"/>
    </row>
    <row r="213" spans="1:4" ht="15" customHeight="1">
      <c r="A213" s="38"/>
      <c r="B213" s="39"/>
      <c r="C213" s="40"/>
      <c r="D213" s="39"/>
    </row>
    <row r="214" spans="1:4" ht="15" customHeight="1">
      <c r="A214" s="35"/>
      <c r="B214" s="36"/>
      <c r="C214" s="37"/>
      <c r="D214" s="36"/>
    </row>
    <row r="215" spans="1:4" ht="15" customHeight="1">
      <c r="A215" s="38"/>
      <c r="B215" s="39"/>
      <c r="C215" s="40"/>
      <c r="D215" s="39"/>
    </row>
    <row r="216" spans="1:4" ht="15" customHeight="1">
      <c r="A216" s="35"/>
      <c r="B216" s="36"/>
      <c r="C216" s="37"/>
      <c r="D216" s="36"/>
    </row>
    <row r="217" spans="1:4" ht="15" customHeight="1">
      <c r="A217" s="38"/>
      <c r="B217" s="39"/>
      <c r="C217" s="40"/>
      <c r="D217" s="39"/>
    </row>
    <row r="218" spans="1:4" ht="15" customHeight="1">
      <c r="A218" s="35"/>
      <c r="B218" s="36"/>
      <c r="C218" s="37"/>
      <c r="D218" s="36"/>
    </row>
    <row r="219" spans="1:4" ht="15" customHeight="1">
      <c r="A219" s="38"/>
      <c r="B219" s="39"/>
      <c r="C219" s="40"/>
      <c r="D219" s="39"/>
    </row>
    <row r="220" spans="1:4" ht="15" customHeight="1">
      <c r="A220" s="35"/>
      <c r="B220" s="36"/>
      <c r="C220" s="37"/>
      <c r="D220" s="36"/>
    </row>
    <row r="221" spans="1:4" ht="15" customHeight="1">
      <c r="A221" s="38"/>
      <c r="B221" s="39"/>
      <c r="C221" s="40"/>
      <c r="D221" s="39"/>
    </row>
    <row r="222" spans="1:4" ht="15" customHeight="1">
      <c r="A222" s="35"/>
      <c r="B222" s="36"/>
      <c r="C222" s="37"/>
      <c r="D222" s="36"/>
    </row>
    <row r="223" spans="1:4" ht="15" customHeight="1">
      <c r="A223" s="38"/>
      <c r="B223" s="39"/>
      <c r="C223" s="40"/>
      <c r="D223" s="39"/>
    </row>
    <row r="224" spans="1:4" ht="15" customHeight="1">
      <c r="A224" s="35"/>
      <c r="B224" s="36"/>
      <c r="C224" s="37"/>
      <c r="D224" s="36"/>
    </row>
    <row r="225" spans="1:4" ht="15" customHeight="1">
      <c r="A225" s="38"/>
      <c r="B225" s="39"/>
      <c r="C225" s="40"/>
      <c r="D225" s="39"/>
    </row>
    <row r="226" spans="1:4" ht="15" customHeight="1">
      <c r="A226" s="35"/>
      <c r="B226" s="36"/>
      <c r="C226" s="37"/>
      <c r="D226" s="36"/>
    </row>
    <row r="227" spans="1:4" ht="15" customHeight="1">
      <c r="A227" s="38"/>
      <c r="B227" s="39"/>
      <c r="C227" s="40"/>
      <c r="D227" s="39"/>
    </row>
    <row r="228" spans="1:4" ht="15" customHeight="1">
      <c r="A228" s="35"/>
      <c r="B228" s="36"/>
      <c r="C228" s="37"/>
      <c r="D228" s="36"/>
    </row>
    <row r="229" spans="1:4" ht="15" customHeight="1">
      <c r="A229" s="38"/>
      <c r="B229" s="39"/>
      <c r="C229" s="40"/>
      <c r="D229" s="39"/>
    </row>
    <row r="230" spans="1:4" ht="15" customHeight="1">
      <c r="A230" s="35"/>
      <c r="B230" s="36"/>
      <c r="C230" s="37"/>
      <c r="D230" s="36"/>
    </row>
    <row r="231" spans="1:4" ht="15" customHeight="1">
      <c r="A231" s="38"/>
      <c r="B231" s="39"/>
      <c r="C231" s="40"/>
      <c r="D231" s="39"/>
    </row>
    <row r="232" spans="1:4" ht="15" customHeight="1">
      <c r="A232" s="35"/>
      <c r="B232" s="36"/>
      <c r="C232" s="37"/>
      <c r="D232" s="36"/>
    </row>
    <row r="233" spans="1:4" ht="15" customHeight="1">
      <c r="A233" s="38"/>
      <c r="B233" s="39"/>
      <c r="C233" s="40"/>
      <c r="D233" s="39"/>
    </row>
    <row r="234" spans="1:4" ht="15" customHeight="1">
      <c r="A234" s="35"/>
      <c r="B234" s="36"/>
      <c r="C234" s="37"/>
      <c r="D234" s="36"/>
    </row>
    <row r="235" spans="1:4" ht="15" customHeight="1">
      <c r="A235" s="38"/>
      <c r="B235" s="39"/>
      <c r="C235" s="40"/>
      <c r="D235" s="39"/>
    </row>
    <row r="236" spans="1:4" ht="15" customHeight="1">
      <c r="A236" s="35"/>
      <c r="B236" s="36"/>
      <c r="C236" s="37"/>
      <c r="D236" s="36"/>
    </row>
    <row r="237" spans="1:4" ht="15" customHeight="1">
      <c r="A237" s="38"/>
      <c r="B237" s="39"/>
      <c r="C237" s="40"/>
      <c r="D237" s="39"/>
    </row>
    <row r="238" spans="1:4" ht="15" customHeight="1">
      <c r="A238" s="35"/>
      <c r="B238" s="36"/>
      <c r="C238" s="37"/>
      <c r="D238" s="36"/>
    </row>
    <row r="239" spans="1:4" ht="15" customHeight="1">
      <c r="A239" s="38"/>
      <c r="B239" s="39"/>
      <c r="C239" s="40"/>
      <c r="D239" s="39"/>
    </row>
    <row r="240" spans="1:4" ht="15" customHeight="1">
      <c r="A240" s="35"/>
      <c r="B240" s="36"/>
      <c r="C240" s="37"/>
      <c r="D240" s="36"/>
    </row>
    <row r="241" spans="1:4" ht="15" customHeight="1">
      <c r="A241" s="38"/>
      <c r="B241" s="39"/>
      <c r="C241" s="40"/>
      <c r="D241" s="39"/>
    </row>
    <row r="242" spans="1:4" ht="15" customHeight="1">
      <c r="A242" s="35"/>
      <c r="B242" s="36"/>
      <c r="C242" s="37"/>
      <c r="D242" s="36"/>
    </row>
    <row r="243" spans="1:4" ht="15" customHeight="1">
      <c r="A243" s="38"/>
      <c r="B243" s="39"/>
      <c r="C243" s="40"/>
      <c r="D243" s="39"/>
    </row>
    <row r="244" spans="1:4" ht="15" customHeight="1">
      <c r="A244" s="35"/>
      <c r="B244" s="36"/>
      <c r="C244" s="37"/>
      <c r="D244" s="36"/>
    </row>
    <row r="245" spans="1:4" ht="15" customHeight="1">
      <c r="A245" s="38"/>
      <c r="B245" s="39"/>
      <c r="C245" s="40"/>
      <c r="D245" s="39"/>
    </row>
    <row r="246" spans="1:4" ht="15" customHeight="1">
      <c r="A246" s="35"/>
      <c r="B246" s="36"/>
      <c r="C246" s="37"/>
      <c r="D246" s="36"/>
    </row>
    <row r="247" spans="1:4" ht="15" customHeight="1">
      <c r="A247" s="38"/>
      <c r="B247" s="39"/>
      <c r="C247" s="40"/>
      <c r="D247" s="39"/>
    </row>
    <row r="248" spans="1:4" ht="15" customHeight="1">
      <c r="A248" s="35"/>
      <c r="B248" s="36"/>
      <c r="C248" s="37"/>
      <c r="D248" s="36"/>
    </row>
    <row r="249" spans="1:4" ht="15" customHeight="1">
      <c r="A249" s="38"/>
      <c r="B249" s="39"/>
      <c r="C249" s="40"/>
      <c r="D249" s="39"/>
    </row>
    <row r="250" spans="1:4" ht="15" customHeight="1">
      <c r="A250" s="35"/>
      <c r="B250" s="36"/>
      <c r="C250" s="37"/>
      <c r="D250" s="36"/>
    </row>
    <row r="251" spans="1:4" ht="15" customHeight="1">
      <c r="A251" s="38"/>
      <c r="B251" s="39"/>
      <c r="C251" s="40"/>
      <c r="D251" s="39"/>
    </row>
    <row r="252" spans="1:4" ht="15" customHeight="1">
      <c r="A252" s="35"/>
      <c r="B252" s="36"/>
      <c r="C252" s="37"/>
      <c r="D252" s="36"/>
    </row>
    <row r="253" spans="1:4" ht="15" customHeight="1">
      <c r="A253" s="38"/>
      <c r="B253" s="39"/>
      <c r="C253" s="40"/>
      <c r="D253" s="39"/>
    </row>
    <row r="254" spans="1:4" ht="15" customHeight="1">
      <c r="A254" s="35"/>
      <c r="B254" s="36"/>
      <c r="C254" s="37"/>
      <c r="D254" s="36"/>
    </row>
    <row r="255" spans="1:4" ht="15" customHeight="1">
      <c r="A255" s="38"/>
      <c r="B255" s="39"/>
      <c r="C255" s="40"/>
      <c r="D255" s="39"/>
    </row>
    <row r="256" spans="1:4" ht="15" customHeight="1">
      <c r="A256" s="35"/>
      <c r="B256" s="36"/>
      <c r="C256" s="37"/>
      <c r="D256" s="36"/>
    </row>
    <row r="257" spans="1:4" ht="15" customHeight="1">
      <c r="A257" s="38"/>
      <c r="B257" s="39"/>
      <c r="C257" s="40"/>
      <c r="D257" s="39"/>
    </row>
    <row r="258" spans="1:4" ht="15" customHeight="1">
      <c r="A258" s="35"/>
      <c r="B258" s="36"/>
      <c r="C258" s="37"/>
      <c r="D258" s="36"/>
    </row>
    <row r="259" spans="1:4" ht="15" customHeight="1">
      <c r="A259" s="38"/>
      <c r="B259" s="39"/>
      <c r="C259" s="40"/>
      <c r="D259" s="39"/>
    </row>
    <row r="260" spans="1:4" ht="15" customHeight="1">
      <c r="A260" s="35"/>
      <c r="B260" s="36"/>
      <c r="C260" s="37"/>
      <c r="D260" s="36"/>
    </row>
    <row r="261" spans="1:4" ht="15" customHeight="1">
      <c r="A261" s="38"/>
      <c r="B261" s="39"/>
      <c r="C261" s="40"/>
      <c r="D261" s="39"/>
    </row>
    <row r="262" spans="1:4" ht="15" customHeight="1">
      <c r="A262" s="35"/>
      <c r="B262" s="36"/>
      <c r="C262" s="37"/>
      <c r="D262" s="36"/>
    </row>
    <row r="263" spans="1:4" ht="15" customHeight="1">
      <c r="A263" s="38"/>
      <c r="B263" s="39"/>
      <c r="C263" s="40"/>
      <c r="D263" s="39"/>
    </row>
    <row r="264" spans="1:4" ht="15" customHeight="1">
      <c r="A264" s="35"/>
      <c r="B264" s="36"/>
      <c r="C264" s="37"/>
      <c r="D264" s="36"/>
    </row>
    <row r="265" spans="1:4" ht="15" customHeight="1">
      <c r="A265" s="38"/>
      <c r="B265" s="39"/>
      <c r="C265" s="40"/>
      <c r="D265" s="39"/>
    </row>
    <row r="266" spans="1:4" ht="15" customHeight="1">
      <c r="A266" s="35"/>
      <c r="B266" s="36"/>
      <c r="C266" s="37"/>
      <c r="D266" s="36"/>
    </row>
    <row r="267" spans="1:4" ht="15" customHeight="1">
      <c r="A267" s="38"/>
      <c r="B267" s="39"/>
      <c r="C267" s="40"/>
      <c r="D267" s="39"/>
    </row>
    <row r="268" spans="1:4" ht="15" customHeight="1">
      <c r="A268" s="35"/>
      <c r="B268" s="36"/>
      <c r="C268" s="37"/>
      <c r="D268" s="36"/>
    </row>
    <row r="269" spans="1:4" ht="15" customHeight="1">
      <c r="A269" s="38"/>
      <c r="B269" s="39"/>
      <c r="C269" s="40"/>
      <c r="D269" s="39"/>
    </row>
    <row r="270" spans="1:4" ht="15" customHeight="1">
      <c r="A270" s="35"/>
      <c r="B270" s="36"/>
      <c r="C270" s="37"/>
      <c r="D270" s="36"/>
    </row>
    <row r="271" spans="1:4" ht="15" customHeight="1">
      <c r="A271" s="38"/>
      <c r="B271" s="39"/>
      <c r="C271" s="40"/>
      <c r="D271" s="39"/>
    </row>
    <row r="272" spans="1:4" ht="15" customHeight="1">
      <c r="A272" s="35"/>
      <c r="B272" s="36"/>
      <c r="C272" s="37"/>
      <c r="D272" s="36"/>
    </row>
    <row r="273" spans="1:4" ht="15" customHeight="1">
      <c r="A273" s="38"/>
      <c r="B273" s="39"/>
      <c r="C273" s="40"/>
      <c r="D273" s="39"/>
    </row>
    <row r="274" spans="1:4" ht="15" customHeight="1">
      <c r="A274" s="35"/>
      <c r="B274" s="36"/>
      <c r="C274" s="37"/>
      <c r="D274" s="36"/>
    </row>
    <row r="275" spans="1:4" ht="15" customHeight="1">
      <c r="A275" s="38"/>
      <c r="B275" s="39"/>
      <c r="C275" s="40"/>
      <c r="D275" s="39"/>
    </row>
    <row r="276" spans="1:4" ht="15" customHeight="1">
      <c r="A276" s="35"/>
      <c r="B276" s="36"/>
      <c r="C276" s="37"/>
      <c r="D276" s="36"/>
    </row>
    <row r="277" spans="1:4" ht="15" customHeight="1">
      <c r="A277" s="38"/>
      <c r="B277" s="39"/>
      <c r="C277" s="40"/>
      <c r="D277" s="39"/>
    </row>
    <row r="278" spans="1:4" ht="15" customHeight="1">
      <c r="A278" s="35"/>
      <c r="B278" s="36"/>
      <c r="C278" s="37"/>
      <c r="D278" s="36"/>
    </row>
    <row r="279" spans="1:4" ht="15" customHeight="1">
      <c r="A279" s="38"/>
      <c r="B279" s="39"/>
      <c r="C279" s="40"/>
      <c r="D279" s="39"/>
    </row>
    <row r="280" spans="1:4" ht="15" customHeight="1">
      <c r="A280" s="35"/>
      <c r="B280" s="36"/>
      <c r="C280" s="37"/>
      <c r="D280" s="36"/>
    </row>
    <row r="281" spans="1:4" ht="15" customHeight="1">
      <c r="A281" s="38"/>
      <c r="B281" s="39"/>
      <c r="C281" s="40"/>
      <c r="D281" s="39"/>
    </row>
    <row r="282" spans="1:4" ht="15" customHeight="1">
      <c r="A282" s="35"/>
      <c r="B282" s="36"/>
      <c r="C282" s="37"/>
      <c r="D282" s="36"/>
    </row>
    <row r="283" spans="1:4" ht="15" customHeight="1">
      <c r="A283" s="38"/>
      <c r="B283" s="39"/>
      <c r="C283" s="40"/>
      <c r="D283" s="39"/>
    </row>
    <row r="284" spans="1:4" ht="15" customHeight="1">
      <c r="A284" s="35"/>
      <c r="B284" s="36"/>
      <c r="C284" s="37"/>
      <c r="D284" s="36"/>
    </row>
    <row r="285" spans="1:4" ht="15" customHeight="1">
      <c r="A285" s="38"/>
      <c r="B285" s="39"/>
      <c r="C285" s="40"/>
      <c r="D285" s="39"/>
    </row>
    <row r="286" spans="1:4" ht="15" customHeight="1">
      <c r="A286" s="35"/>
      <c r="B286" s="36"/>
      <c r="C286" s="37"/>
      <c r="D286" s="36"/>
    </row>
    <row r="287" spans="1:4" ht="15" customHeight="1">
      <c r="A287" s="38"/>
      <c r="B287" s="39"/>
      <c r="C287" s="40"/>
      <c r="D287" s="39"/>
    </row>
    <row r="288" spans="1:4" ht="15" customHeight="1">
      <c r="A288" s="35"/>
      <c r="B288" s="36"/>
      <c r="C288" s="37"/>
      <c r="D288" s="36"/>
    </row>
    <row r="289" spans="1:4" ht="15" customHeight="1">
      <c r="A289" s="38"/>
      <c r="B289" s="39"/>
      <c r="C289" s="40"/>
      <c r="D289" s="39"/>
    </row>
    <row r="290" spans="1:4" ht="15" customHeight="1">
      <c r="A290" s="35"/>
      <c r="B290" s="36"/>
      <c r="C290" s="37"/>
      <c r="D290" s="36"/>
    </row>
    <row r="291" spans="1:4" ht="15" customHeight="1">
      <c r="A291" s="38"/>
      <c r="B291" s="39"/>
      <c r="C291" s="40"/>
      <c r="D291" s="39"/>
    </row>
    <row r="292" spans="1:4" ht="15" customHeight="1">
      <c r="A292" s="35"/>
      <c r="B292" s="36"/>
      <c r="C292" s="37"/>
      <c r="D292" s="36"/>
    </row>
    <row r="293" spans="1:4" ht="15" customHeight="1">
      <c r="A293" s="38"/>
      <c r="B293" s="39"/>
      <c r="C293" s="40"/>
      <c r="D293" s="39"/>
    </row>
    <row r="294" spans="1:4" ht="15" customHeight="1">
      <c r="A294" s="35"/>
      <c r="B294" s="36"/>
      <c r="C294" s="37"/>
      <c r="D294" s="36"/>
    </row>
    <row r="295" spans="1:4" ht="15" customHeight="1">
      <c r="A295" s="38"/>
      <c r="B295" s="39"/>
      <c r="C295" s="40"/>
      <c r="D295" s="39"/>
    </row>
    <row r="296" spans="1:4" ht="15" customHeight="1">
      <c r="A296" s="35"/>
      <c r="B296" s="36"/>
      <c r="C296" s="37"/>
      <c r="D296" s="36"/>
    </row>
    <row r="297" spans="1:4" ht="15" customHeight="1">
      <c r="A297" s="38"/>
      <c r="B297" s="39"/>
      <c r="C297" s="40"/>
      <c r="D297" s="39"/>
    </row>
    <row r="298" spans="1:4" ht="15" customHeight="1">
      <c r="A298" s="35"/>
      <c r="B298" s="36"/>
      <c r="C298" s="37"/>
      <c r="D298" s="36"/>
    </row>
    <row r="299" spans="1:4" ht="15" customHeight="1">
      <c r="A299" s="38"/>
      <c r="B299" s="39"/>
      <c r="C299" s="40"/>
      <c r="D299" s="39"/>
    </row>
    <row r="300" spans="1:4" ht="15" customHeight="1">
      <c r="A300" s="35"/>
      <c r="B300" s="36"/>
      <c r="C300" s="37"/>
      <c r="D300" s="36"/>
    </row>
    <row r="301" spans="1:4" ht="15" customHeight="1">
      <c r="A301" s="38"/>
      <c r="B301" s="39"/>
      <c r="C301" s="40"/>
      <c r="D301" s="39"/>
    </row>
    <row r="302" spans="1:4" ht="15" customHeight="1">
      <c r="A302" s="35"/>
      <c r="B302" s="36"/>
      <c r="C302" s="37"/>
      <c r="D302" s="36"/>
    </row>
    <row r="303" spans="1:4" ht="15" customHeight="1">
      <c r="A303" s="38"/>
      <c r="B303" s="39"/>
      <c r="C303" s="40"/>
      <c r="D303" s="39"/>
    </row>
    <row r="304" spans="1:4" ht="15" customHeight="1">
      <c r="A304" s="35"/>
      <c r="B304" s="36"/>
      <c r="C304" s="37"/>
      <c r="D304" s="36"/>
    </row>
    <row r="305" spans="1:4" ht="15" customHeight="1">
      <c r="A305" s="38"/>
      <c r="B305" s="39"/>
      <c r="C305" s="40"/>
      <c r="D305" s="39"/>
    </row>
    <row r="306" spans="1:4" ht="15" customHeight="1">
      <c r="A306" s="35"/>
      <c r="B306" s="36"/>
      <c r="C306" s="37"/>
      <c r="D306" s="36"/>
    </row>
    <row r="307" spans="1:4" ht="15" customHeight="1">
      <c r="A307" s="38"/>
      <c r="B307" s="39"/>
      <c r="C307" s="40"/>
      <c r="D307" s="39"/>
    </row>
    <row r="308" spans="1:4" ht="15" customHeight="1">
      <c r="A308" s="35"/>
      <c r="B308" s="36"/>
      <c r="C308" s="37"/>
      <c r="D308" s="36"/>
    </row>
    <row r="309" spans="1:4" ht="15" customHeight="1">
      <c r="A309" s="38"/>
      <c r="B309" s="39"/>
      <c r="C309" s="40"/>
      <c r="D309" s="39"/>
    </row>
    <row r="310" spans="1:4" ht="15" customHeight="1">
      <c r="A310" s="35"/>
      <c r="B310" s="36"/>
      <c r="C310" s="37"/>
      <c r="D310" s="36"/>
    </row>
    <row r="311" spans="1:4" ht="15" customHeight="1">
      <c r="A311" s="38"/>
      <c r="B311" s="39"/>
      <c r="C311" s="40"/>
      <c r="D311" s="39"/>
    </row>
    <row r="312" spans="1:4" ht="15" customHeight="1">
      <c r="A312" s="35"/>
      <c r="B312" s="36"/>
      <c r="C312" s="37"/>
      <c r="D312" s="36"/>
    </row>
    <row r="313" spans="1:4" ht="15" customHeight="1">
      <c r="A313" s="38"/>
      <c r="B313" s="39"/>
      <c r="C313" s="40"/>
      <c r="D313" s="39"/>
    </row>
    <row r="314" spans="1:4" ht="15" customHeight="1">
      <c r="A314" s="35"/>
      <c r="B314" s="36"/>
      <c r="C314" s="37"/>
      <c r="D314" s="36"/>
    </row>
    <row r="315" spans="1:4" ht="15" customHeight="1">
      <c r="A315" s="38"/>
      <c r="B315" s="39"/>
      <c r="C315" s="40"/>
      <c r="D315" s="39"/>
    </row>
    <row r="316" spans="1:4" ht="15" customHeight="1">
      <c r="A316" s="35"/>
      <c r="B316" s="36"/>
      <c r="C316" s="37"/>
      <c r="D316" s="36"/>
    </row>
    <row r="317" spans="1:4" ht="15" customHeight="1">
      <c r="A317" s="38"/>
      <c r="B317" s="39"/>
      <c r="C317" s="40"/>
      <c r="D317" s="39"/>
    </row>
    <row r="318" spans="1:4" ht="15" customHeight="1">
      <c r="A318" s="35"/>
      <c r="B318" s="36"/>
      <c r="C318" s="37"/>
      <c r="D318" s="36"/>
    </row>
    <row r="319" spans="1:4" ht="15" customHeight="1">
      <c r="A319" s="38"/>
      <c r="B319" s="39"/>
      <c r="C319" s="40"/>
      <c r="D319" s="39"/>
    </row>
    <row r="320" spans="1:4" ht="15" customHeight="1">
      <c r="A320" s="35"/>
      <c r="B320" s="36"/>
      <c r="C320" s="37"/>
      <c r="D320" s="36"/>
    </row>
    <row r="321" spans="1:4" ht="15" customHeight="1">
      <c r="A321" s="38"/>
      <c r="B321" s="39"/>
      <c r="C321" s="40"/>
      <c r="D321" s="39"/>
    </row>
    <row r="322" spans="1:4" ht="15" customHeight="1">
      <c r="A322" s="35"/>
      <c r="B322" s="36"/>
      <c r="C322" s="37"/>
      <c r="D322" s="36"/>
    </row>
    <row r="323" spans="1:4" ht="15" customHeight="1">
      <c r="A323" s="38"/>
      <c r="B323" s="39"/>
      <c r="C323" s="40"/>
      <c r="D323" s="39"/>
    </row>
    <row r="324" spans="1:4" ht="15" customHeight="1">
      <c r="A324" s="35"/>
      <c r="B324" s="36"/>
      <c r="C324" s="37"/>
      <c r="D324" s="36"/>
    </row>
    <row r="325" spans="1:4" ht="15" customHeight="1">
      <c r="A325" s="38"/>
      <c r="B325" s="39"/>
      <c r="C325" s="40"/>
      <c r="D325" s="39"/>
    </row>
    <row r="326" spans="1:4" ht="15" customHeight="1">
      <c r="A326" s="35"/>
      <c r="B326" s="36"/>
      <c r="C326" s="37"/>
      <c r="D326" s="36"/>
    </row>
    <row r="327" spans="1:4" ht="15" customHeight="1">
      <c r="A327" s="38"/>
      <c r="B327" s="39"/>
      <c r="C327" s="40"/>
      <c r="D327" s="39"/>
    </row>
    <row r="328" spans="1:4" ht="15" customHeight="1">
      <c r="A328" s="35"/>
      <c r="B328" s="36"/>
      <c r="C328" s="37"/>
      <c r="D328" s="36"/>
    </row>
    <row r="329" spans="1:4" ht="15" customHeight="1">
      <c r="A329" s="38"/>
      <c r="B329" s="39"/>
      <c r="C329" s="40"/>
      <c r="D329" s="39"/>
    </row>
    <row r="330" spans="1:4" ht="15" customHeight="1">
      <c r="A330" s="35"/>
      <c r="B330" s="36"/>
      <c r="C330" s="37"/>
      <c r="D330" s="36"/>
    </row>
    <row r="331" spans="1:4" ht="15" customHeight="1">
      <c r="A331" s="38"/>
      <c r="B331" s="39"/>
      <c r="C331" s="40"/>
      <c r="D331" s="39"/>
    </row>
    <row r="332" spans="1:4" ht="15" customHeight="1">
      <c r="A332" s="35"/>
      <c r="B332" s="36"/>
      <c r="C332" s="37"/>
      <c r="D332" s="36"/>
    </row>
    <row r="333" spans="1:4" ht="15" customHeight="1">
      <c r="A333" s="38"/>
      <c r="B333" s="39"/>
      <c r="C333" s="40"/>
      <c r="D333" s="39"/>
    </row>
    <row r="334" spans="1:4" ht="15" customHeight="1">
      <c r="A334" s="35"/>
      <c r="B334" s="36"/>
      <c r="C334" s="37"/>
      <c r="D334" s="36"/>
    </row>
    <row r="335" spans="1:4" ht="15" customHeight="1">
      <c r="A335" s="38"/>
      <c r="B335" s="39"/>
      <c r="C335" s="40"/>
      <c r="D335" s="39"/>
    </row>
    <row r="336" spans="1:4" ht="15" customHeight="1">
      <c r="A336" s="35"/>
      <c r="B336" s="36"/>
      <c r="C336" s="37"/>
      <c r="D336" s="36"/>
    </row>
    <row r="337" spans="1:4" ht="15" customHeight="1">
      <c r="A337" s="38"/>
      <c r="B337" s="39"/>
      <c r="C337" s="40"/>
      <c r="D337" s="39"/>
    </row>
    <row r="338" spans="1:4" ht="15" customHeight="1">
      <c r="A338" s="35"/>
      <c r="B338" s="36"/>
      <c r="C338" s="37"/>
      <c r="D338" s="36"/>
    </row>
    <row r="339" spans="1:4" ht="15" customHeight="1">
      <c r="A339" s="38"/>
      <c r="B339" s="39"/>
      <c r="C339" s="40"/>
      <c r="D339" s="39"/>
    </row>
    <row r="340" spans="1:4" ht="15" customHeight="1">
      <c r="A340" s="35"/>
      <c r="B340" s="36"/>
      <c r="C340" s="37"/>
      <c r="D340" s="36"/>
    </row>
    <row r="341" spans="1:4" ht="15" customHeight="1">
      <c r="A341" s="38"/>
      <c r="B341" s="39"/>
      <c r="C341" s="40"/>
      <c r="D341" s="39"/>
    </row>
    <row r="342" spans="1:4" ht="15" customHeight="1">
      <c r="A342" s="35"/>
      <c r="B342" s="36"/>
      <c r="C342" s="37"/>
      <c r="D342" s="36"/>
    </row>
    <row r="343" spans="1:4" ht="15" customHeight="1">
      <c r="A343" s="38"/>
      <c r="B343" s="39"/>
      <c r="C343" s="40"/>
      <c r="D343" s="39"/>
    </row>
    <row r="344" spans="1:4" ht="15" customHeight="1">
      <c r="A344" s="35"/>
      <c r="B344" s="36"/>
      <c r="C344" s="37"/>
      <c r="D344" s="36"/>
    </row>
    <row r="345" spans="1:4" ht="15" customHeight="1">
      <c r="A345" s="38"/>
      <c r="B345" s="39"/>
      <c r="C345" s="40"/>
      <c r="D345" s="39"/>
    </row>
    <row r="346" spans="1:4" ht="15" customHeight="1">
      <c r="A346" s="35"/>
      <c r="B346" s="36"/>
      <c r="C346" s="37"/>
      <c r="D346" s="36"/>
    </row>
    <row r="347" spans="1:4" ht="15" customHeight="1">
      <c r="A347" s="38"/>
      <c r="B347" s="39"/>
      <c r="C347" s="40"/>
      <c r="D347" s="39"/>
    </row>
    <row r="348" spans="1:4" ht="15" customHeight="1">
      <c r="A348" s="35"/>
      <c r="B348" s="36"/>
      <c r="C348" s="37"/>
      <c r="D348" s="36"/>
    </row>
    <row r="349" spans="1:4" ht="15" customHeight="1">
      <c r="A349" s="38"/>
      <c r="B349" s="39"/>
      <c r="C349" s="40"/>
      <c r="D349" s="39"/>
    </row>
    <row r="350" spans="1:4" ht="15" customHeight="1">
      <c r="A350" s="35"/>
      <c r="B350" s="36"/>
      <c r="C350" s="37"/>
      <c r="D350" s="36"/>
    </row>
    <row r="351" spans="1:4" ht="15" customHeight="1">
      <c r="A351" s="38"/>
      <c r="B351" s="39"/>
      <c r="C351" s="40"/>
      <c r="D351" s="39"/>
    </row>
    <row r="352" spans="1:4" ht="15" customHeight="1">
      <c r="A352" s="35"/>
      <c r="B352" s="36"/>
      <c r="C352" s="37"/>
      <c r="D352" s="36"/>
    </row>
    <row r="353" spans="1:4" ht="15" customHeight="1">
      <c r="A353" s="38"/>
      <c r="B353" s="39"/>
      <c r="C353" s="40"/>
      <c r="D353" s="39"/>
    </row>
    <row r="354" spans="1:4" ht="15" customHeight="1">
      <c r="A354" s="35"/>
      <c r="B354" s="36"/>
      <c r="C354" s="37"/>
      <c r="D354" s="36"/>
    </row>
    <row r="355" spans="1:4" ht="15" customHeight="1">
      <c r="A355" s="38"/>
      <c r="B355" s="39"/>
      <c r="C355" s="40"/>
      <c r="D355" s="39"/>
    </row>
    <row r="356" spans="1:4" ht="15" customHeight="1">
      <c r="A356" s="35"/>
      <c r="B356" s="36"/>
      <c r="C356" s="37"/>
      <c r="D356" s="36"/>
    </row>
    <row r="357" spans="1:4" ht="15" customHeight="1">
      <c r="A357" s="38"/>
      <c r="B357" s="39"/>
      <c r="C357" s="40"/>
      <c r="D357" s="39"/>
    </row>
    <row r="358" spans="1:4" ht="15" customHeight="1">
      <c r="A358" s="35"/>
      <c r="B358" s="36"/>
      <c r="C358" s="37"/>
      <c r="D358" s="36"/>
    </row>
    <row r="359" spans="1:4" ht="15" customHeight="1">
      <c r="A359" s="38"/>
      <c r="B359" s="39"/>
      <c r="C359" s="40"/>
      <c r="D359" s="39"/>
    </row>
    <row r="360" spans="1:4" ht="15" customHeight="1">
      <c r="A360" s="35"/>
      <c r="B360" s="36"/>
      <c r="C360" s="37"/>
      <c r="D360" s="36"/>
    </row>
    <row r="361" spans="1:4" ht="15" customHeight="1">
      <c r="A361" s="38"/>
      <c r="B361" s="39"/>
      <c r="C361" s="40"/>
      <c r="D361" s="39"/>
    </row>
    <row r="362" spans="1:4" ht="15" customHeight="1">
      <c r="A362" s="35"/>
      <c r="B362" s="36"/>
      <c r="C362" s="37"/>
      <c r="D362" s="36"/>
    </row>
    <row r="363" spans="1:4" ht="15" customHeight="1">
      <c r="A363" s="38"/>
      <c r="B363" s="39"/>
      <c r="C363" s="40"/>
      <c r="D363" s="39"/>
    </row>
    <row r="364" spans="1:4" ht="15" customHeight="1">
      <c r="A364" s="35"/>
      <c r="B364" s="36"/>
      <c r="C364" s="37"/>
      <c r="D364" s="36"/>
    </row>
    <row r="365" spans="1:4" ht="15" customHeight="1">
      <c r="A365" s="38"/>
      <c r="B365" s="39"/>
      <c r="C365" s="40"/>
      <c r="D365" s="39"/>
    </row>
    <row r="366" spans="1:4" ht="15" customHeight="1">
      <c r="A366" s="35"/>
      <c r="B366" s="36"/>
      <c r="C366" s="37"/>
      <c r="D366" s="36"/>
    </row>
    <row r="367" spans="1:4" ht="15" customHeight="1">
      <c r="A367" s="38"/>
      <c r="B367" s="39"/>
      <c r="C367" s="40"/>
      <c r="D367" s="39"/>
    </row>
    <row r="368" spans="1:4" ht="15" customHeight="1">
      <c r="A368" s="35"/>
      <c r="B368" s="36"/>
      <c r="C368" s="37"/>
      <c r="D368" s="36"/>
    </row>
    <row r="369" spans="1:4" ht="15" customHeight="1">
      <c r="A369" s="38"/>
      <c r="B369" s="39"/>
      <c r="C369" s="40"/>
      <c r="D369" s="39"/>
    </row>
    <row r="370" spans="1:4" ht="15" customHeight="1">
      <c r="A370" s="35"/>
      <c r="B370" s="36"/>
      <c r="C370" s="37"/>
      <c r="D370" s="36"/>
    </row>
    <row r="371" spans="1:4" ht="15" customHeight="1">
      <c r="A371" s="38"/>
      <c r="B371" s="39"/>
      <c r="C371" s="40"/>
      <c r="D371" s="39"/>
    </row>
    <row r="372" spans="1:4" ht="15" customHeight="1">
      <c r="A372" s="35"/>
      <c r="B372" s="36"/>
      <c r="C372" s="37"/>
      <c r="D372" s="36"/>
    </row>
    <row r="373" spans="1:4" ht="15" customHeight="1">
      <c r="A373" s="38"/>
      <c r="B373" s="39"/>
      <c r="C373" s="40"/>
      <c r="D373" s="39"/>
    </row>
    <row r="374" spans="1:4" ht="15" customHeight="1">
      <c r="A374" s="35"/>
      <c r="B374" s="36"/>
      <c r="C374" s="37"/>
      <c r="D374" s="36"/>
    </row>
    <row r="375" spans="1:4" ht="15" customHeight="1">
      <c r="A375" s="38"/>
      <c r="B375" s="39"/>
      <c r="C375" s="40"/>
      <c r="D375" s="39"/>
    </row>
    <row r="376" spans="1:4" ht="15" customHeight="1">
      <c r="A376" s="35"/>
      <c r="B376" s="36"/>
      <c r="C376" s="37"/>
      <c r="D376" s="36"/>
    </row>
    <row r="377" spans="1:4" ht="15" customHeight="1">
      <c r="A377" s="38"/>
      <c r="B377" s="39"/>
      <c r="C377" s="40"/>
      <c r="D377" s="39"/>
    </row>
    <row r="378" spans="1:4" ht="15" customHeight="1">
      <c r="A378" s="35"/>
      <c r="B378" s="36"/>
      <c r="C378" s="37"/>
      <c r="D378" s="36"/>
    </row>
    <row r="379" spans="1:4" ht="15" customHeight="1">
      <c r="A379" s="38"/>
      <c r="B379" s="39"/>
      <c r="C379" s="40"/>
      <c r="D379" s="39"/>
    </row>
    <row r="380" spans="1:4" ht="15" customHeight="1">
      <c r="A380" s="35"/>
      <c r="B380" s="36"/>
      <c r="C380" s="37"/>
      <c r="D380" s="36"/>
    </row>
    <row r="381" spans="1:4" ht="15" customHeight="1">
      <c r="A381" s="38"/>
      <c r="B381" s="39"/>
      <c r="C381" s="40"/>
      <c r="D381" s="39"/>
    </row>
    <row r="382" spans="1:4" ht="15" customHeight="1">
      <c r="A382" s="35"/>
      <c r="B382" s="36"/>
      <c r="C382" s="37"/>
      <c r="D382" s="36"/>
    </row>
    <row r="383" spans="1:4" ht="15" customHeight="1">
      <c r="A383" s="38"/>
      <c r="B383" s="39"/>
      <c r="C383" s="40"/>
      <c r="D383" s="39"/>
    </row>
    <row r="384" spans="1:4" ht="15" customHeight="1">
      <c r="A384" s="35"/>
      <c r="B384" s="36"/>
      <c r="C384" s="37"/>
      <c r="D384" s="36"/>
    </row>
    <row r="385" spans="1:4" ht="15" customHeight="1">
      <c r="A385" s="38"/>
      <c r="B385" s="39"/>
      <c r="C385" s="40"/>
      <c r="D385" s="39"/>
    </row>
    <row r="386" spans="1:4" ht="15" customHeight="1">
      <c r="A386" s="35"/>
      <c r="B386" s="36"/>
      <c r="C386" s="37"/>
      <c r="D386" s="36"/>
    </row>
    <row r="387" spans="1:4" ht="15" customHeight="1">
      <c r="A387" s="38"/>
      <c r="B387" s="39"/>
      <c r="C387" s="40"/>
      <c r="D387" s="39"/>
    </row>
    <row r="388" spans="1:4" ht="15" customHeight="1">
      <c r="A388" s="35"/>
      <c r="B388" s="36"/>
      <c r="C388" s="37"/>
      <c r="D388" s="36"/>
    </row>
    <row r="389" spans="1:4" ht="15" customHeight="1">
      <c r="A389" s="38"/>
      <c r="B389" s="39"/>
      <c r="C389" s="40"/>
      <c r="D389" s="39"/>
    </row>
    <row r="390" spans="1:4" ht="15" customHeight="1">
      <c r="A390" s="35"/>
      <c r="B390" s="36"/>
      <c r="C390" s="37"/>
      <c r="D390" s="36"/>
    </row>
    <row r="391" spans="1:4" ht="15" customHeight="1">
      <c r="A391" s="38"/>
      <c r="B391" s="39"/>
      <c r="C391" s="40"/>
      <c r="D391" s="39"/>
    </row>
    <row r="392" spans="1:4" ht="15" customHeight="1">
      <c r="A392" s="35"/>
      <c r="B392" s="36"/>
      <c r="C392" s="37"/>
      <c r="D392" s="36"/>
    </row>
    <row r="393" spans="1:4" ht="15" customHeight="1">
      <c r="A393" s="38"/>
      <c r="B393" s="39"/>
      <c r="C393" s="40"/>
      <c r="D393" s="39"/>
    </row>
    <row r="394" spans="1:4" ht="15" customHeight="1">
      <c r="A394" s="35"/>
      <c r="B394" s="36"/>
      <c r="C394" s="37"/>
      <c r="D394" s="36"/>
    </row>
    <row r="395" spans="1:4" ht="15" customHeight="1">
      <c r="A395" s="38"/>
      <c r="B395" s="39"/>
      <c r="C395" s="40"/>
      <c r="D395" s="39"/>
    </row>
    <row r="396" spans="1:4" ht="15" customHeight="1">
      <c r="A396" s="35"/>
      <c r="B396" s="36"/>
      <c r="C396" s="37"/>
      <c r="D396" s="36"/>
    </row>
    <row r="397" spans="1:4" ht="15" customHeight="1">
      <c r="A397" s="38"/>
      <c r="B397" s="39"/>
      <c r="C397" s="40"/>
      <c r="D397" s="39"/>
    </row>
    <row r="398" spans="1:4" ht="15" customHeight="1">
      <c r="A398" s="35"/>
      <c r="B398" s="36"/>
      <c r="C398" s="37"/>
      <c r="D398" s="36"/>
    </row>
    <row r="399" spans="1:4" ht="15" customHeight="1">
      <c r="A399" s="38"/>
      <c r="B399" s="39"/>
      <c r="C399" s="40"/>
      <c r="D399" s="39"/>
    </row>
    <row r="400" spans="1:4" ht="15" customHeight="1">
      <c r="A400" s="35"/>
      <c r="B400" s="36"/>
      <c r="C400" s="37"/>
      <c r="D400" s="36"/>
    </row>
    <row r="401" spans="1:4" ht="15" customHeight="1">
      <c r="A401" s="38"/>
      <c r="B401" s="39"/>
      <c r="C401" s="40"/>
      <c r="D401" s="39"/>
    </row>
    <row r="402" spans="1:4" ht="15" customHeight="1">
      <c r="A402" s="35"/>
      <c r="B402" s="36"/>
      <c r="C402" s="37"/>
      <c r="D402" s="36"/>
    </row>
    <row r="403" spans="1:4" ht="15" customHeight="1">
      <c r="A403" s="38"/>
      <c r="B403" s="39"/>
      <c r="C403" s="40"/>
      <c r="D403" s="39"/>
    </row>
    <row r="404" spans="1:4" ht="15" customHeight="1">
      <c r="A404" s="35"/>
      <c r="B404" s="36"/>
      <c r="C404" s="37"/>
      <c r="D404" s="36"/>
    </row>
    <row r="405" spans="1:4" ht="15" customHeight="1">
      <c r="A405" s="38"/>
      <c r="B405" s="39"/>
      <c r="C405" s="40"/>
      <c r="D405" s="39"/>
    </row>
    <row r="406" spans="1:4" ht="15" customHeight="1">
      <c r="A406" s="35"/>
      <c r="B406" s="36"/>
      <c r="C406" s="37"/>
      <c r="D406" s="36"/>
    </row>
    <row r="407" spans="1:4" ht="15" customHeight="1">
      <c r="A407" s="38"/>
      <c r="B407" s="39"/>
      <c r="C407" s="40"/>
      <c r="D407" s="39"/>
    </row>
    <row r="408" spans="1:4" ht="15" customHeight="1">
      <c r="A408" s="35"/>
      <c r="B408" s="36"/>
      <c r="C408" s="37"/>
      <c r="D408" s="36"/>
    </row>
    <row r="409" spans="1:4" ht="15" customHeight="1">
      <c r="A409" s="38"/>
      <c r="B409" s="39"/>
      <c r="C409" s="40"/>
      <c r="D409" s="39"/>
    </row>
    <row r="410" spans="1:4" ht="15" customHeight="1">
      <c r="A410" s="35"/>
      <c r="B410" s="36"/>
      <c r="C410" s="37"/>
      <c r="D410" s="36"/>
    </row>
    <row r="411" spans="1:4" ht="15" customHeight="1">
      <c r="A411" s="38"/>
      <c r="B411" s="39"/>
      <c r="C411" s="40"/>
      <c r="D411" s="39"/>
    </row>
    <row r="412" spans="1:4" ht="15" customHeight="1">
      <c r="A412" s="35"/>
      <c r="B412" s="36"/>
      <c r="C412" s="37"/>
      <c r="D412" s="36"/>
    </row>
    <row r="413" spans="1:4" ht="15" customHeight="1">
      <c r="A413" s="38"/>
      <c r="B413" s="39"/>
      <c r="C413" s="40"/>
      <c r="D413" s="39"/>
    </row>
    <row r="414" spans="1:4" ht="15" customHeight="1">
      <c r="A414" s="35"/>
      <c r="B414" s="36"/>
      <c r="C414" s="37"/>
      <c r="D414" s="36"/>
    </row>
    <row r="415" spans="1:4" ht="15" customHeight="1">
      <c r="A415" s="38"/>
      <c r="B415" s="39"/>
      <c r="C415" s="40"/>
      <c r="D415" s="39"/>
    </row>
    <row r="416" spans="1:4" ht="15" customHeight="1">
      <c r="A416" s="35"/>
      <c r="B416" s="36"/>
      <c r="C416" s="37"/>
      <c r="D416" s="36"/>
    </row>
    <row r="417" spans="1:4" ht="15" customHeight="1">
      <c r="A417" s="38"/>
      <c r="B417" s="39"/>
      <c r="C417" s="40"/>
      <c r="D417" s="39"/>
    </row>
    <row r="418" spans="1:4" ht="15" customHeight="1">
      <c r="A418" s="35"/>
      <c r="B418" s="36"/>
      <c r="C418" s="37"/>
      <c r="D418" s="36"/>
    </row>
    <row r="419" spans="1:4" ht="15" customHeight="1">
      <c r="A419" s="38"/>
      <c r="B419" s="39"/>
      <c r="C419" s="40"/>
      <c r="D419" s="39"/>
    </row>
    <row r="420" spans="1:4" ht="15" customHeight="1">
      <c r="A420" s="35"/>
      <c r="B420" s="36"/>
      <c r="C420" s="37"/>
      <c r="D420" s="36"/>
    </row>
    <row r="421" spans="1:4" ht="15" customHeight="1">
      <c r="A421" s="38"/>
      <c r="B421" s="39"/>
      <c r="C421" s="40"/>
      <c r="D421" s="39"/>
    </row>
    <row r="422" spans="1:4" ht="15" customHeight="1">
      <c r="A422" s="35"/>
      <c r="B422" s="36"/>
      <c r="C422" s="37"/>
      <c r="D422" s="36"/>
    </row>
    <row r="423" spans="1:4" ht="15" customHeight="1">
      <c r="A423" s="38"/>
      <c r="B423" s="39"/>
      <c r="C423" s="40"/>
      <c r="D423" s="39"/>
    </row>
    <row r="424" spans="1:4" ht="15" customHeight="1">
      <c r="A424" s="35"/>
      <c r="B424" s="36"/>
      <c r="C424" s="37"/>
      <c r="D424" s="36"/>
    </row>
    <row r="425" spans="1:4" ht="15" customHeight="1">
      <c r="A425" s="38"/>
      <c r="B425" s="39"/>
      <c r="C425" s="40"/>
      <c r="D425" s="39"/>
    </row>
    <row r="426" spans="1:4" ht="15" customHeight="1">
      <c r="A426" s="35"/>
      <c r="B426" s="36"/>
      <c r="C426" s="37"/>
      <c r="D426" s="36"/>
    </row>
    <row r="427" spans="1:4" ht="15" customHeight="1">
      <c r="A427" s="38"/>
      <c r="B427" s="39"/>
      <c r="C427" s="40"/>
      <c r="D427" s="39"/>
    </row>
    <row r="428" spans="1:4" ht="15" customHeight="1">
      <c r="A428" s="35"/>
      <c r="B428" s="36"/>
      <c r="C428" s="37"/>
      <c r="D428" s="36"/>
    </row>
    <row r="429" spans="1:4" ht="15" customHeight="1">
      <c r="A429" s="38"/>
      <c r="B429" s="39"/>
      <c r="C429" s="40"/>
      <c r="D429" s="39"/>
    </row>
    <row r="430" spans="1:4" ht="15" customHeight="1">
      <c r="A430" s="35"/>
      <c r="B430" s="36"/>
      <c r="C430" s="37"/>
      <c r="D430" s="36"/>
    </row>
    <row r="431" spans="1:4" ht="15" customHeight="1">
      <c r="A431" s="38"/>
      <c r="B431" s="39"/>
      <c r="C431" s="40"/>
      <c r="D431" s="39"/>
    </row>
    <row r="432" spans="1:4" ht="15" customHeight="1">
      <c r="A432" s="35"/>
      <c r="B432" s="36"/>
      <c r="C432" s="37"/>
      <c r="D432" s="36"/>
    </row>
    <row r="433" spans="1:4" ht="15" customHeight="1">
      <c r="A433" s="38"/>
      <c r="B433" s="39"/>
      <c r="C433" s="40"/>
      <c r="D433" s="39"/>
    </row>
    <row r="434" spans="1:4" ht="15" customHeight="1">
      <c r="A434" s="35"/>
      <c r="B434" s="36"/>
      <c r="C434" s="37"/>
      <c r="D434" s="36"/>
    </row>
    <row r="435" spans="1:4" ht="15" customHeight="1">
      <c r="A435" s="38"/>
      <c r="B435" s="39"/>
      <c r="C435" s="40"/>
      <c r="D435" s="39"/>
    </row>
    <row r="436" spans="1:4" ht="15" customHeight="1">
      <c r="A436" s="35"/>
      <c r="B436" s="36"/>
      <c r="C436" s="37"/>
      <c r="D436" s="36"/>
    </row>
    <row r="437" spans="1:4" ht="15" customHeight="1">
      <c r="A437" s="38"/>
      <c r="B437" s="39"/>
      <c r="C437" s="40"/>
      <c r="D437" s="39"/>
    </row>
    <row r="438" spans="1:4" ht="15" customHeight="1">
      <c r="A438" s="35"/>
      <c r="B438" s="36"/>
      <c r="C438" s="37"/>
      <c r="D438" s="36"/>
    </row>
    <row r="439" spans="1:4" ht="15" customHeight="1">
      <c r="A439" s="38"/>
      <c r="B439" s="39"/>
      <c r="C439" s="40"/>
      <c r="D439" s="39"/>
    </row>
    <row r="440" spans="1:4" ht="15" customHeight="1">
      <c r="A440" s="35"/>
      <c r="B440" s="36"/>
      <c r="C440" s="37"/>
      <c r="D440" s="36"/>
    </row>
    <row r="441" spans="1:4" ht="15" customHeight="1">
      <c r="A441" s="38"/>
      <c r="B441" s="39"/>
      <c r="C441" s="40"/>
      <c r="D441" s="39"/>
    </row>
    <row r="442" spans="1:4" ht="15" customHeight="1">
      <c r="A442" s="35"/>
      <c r="B442" s="36"/>
      <c r="C442" s="37"/>
      <c r="D442" s="36"/>
    </row>
    <row r="443" spans="1:4" ht="15" customHeight="1">
      <c r="A443" s="38"/>
      <c r="B443" s="39"/>
      <c r="C443" s="40"/>
      <c r="D443" s="39"/>
    </row>
    <row r="444" spans="1:4" ht="15" customHeight="1">
      <c r="A444" s="35"/>
      <c r="B444" s="36"/>
      <c r="C444" s="37"/>
      <c r="D444" s="36"/>
    </row>
    <row r="445" spans="1:4" ht="15" customHeight="1">
      <c r="A445" s="38"/>
      <c r="B445" s="39"/>
      <c r="C445" s="40"/>
      <c r="D445" s="39"/>
    </row>
    <row r="446" spans="1:4" ht="15" customHeight="1">
      <c r="A446" s="35"/>
      <c r="B446" s="36"/>
      <c r="C446" s="37"/>
      <c r="D446" s="36"/>
    </row>
    <row r="447" spans="1:4" ht="15" customHeight="1">
      <c r="A447" s="38"/>
      <c r="B447" s="39"/>
      <c r="C447" s="40"/>
      <c r="D447" s="39"/>
    </row>
    <row r="448" spans="1:4" ht="15" customHeight="1">
      <c r="A448" s="35"/>
      <c r="B448" s="36"/>
      <c r="C448" s="37"/>
      <c r="D448" s="36"/>
    </row>
    <row r="449" spans="1:4" ht="15" customHeight="1">
      <c r="A449" s="38"/>
      <c r="B449" s="39"/>
      <c r="C449" s="40"/>
      <c r="D449" s="39"/>
    </row>
    <row r="450" spans="1:4" ht="15" customHeight="1">
      <c r="A450" s="35"/>
      <c r="B450" s="36"/>
      <c r="C450" s="37"/>
      <c r="D450" s="36"/>
    </row>
  </sheetData>
  <autoFilter ref="A1:D32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9"/>
  <sheetViews>
    <sheetView tabSelected="1" zoomScale="130" zoomScaleNormal="130" workbookViewId="0">
      <pane ySplit="1" topLeftCell="A294" activePane="bottomLeft" state="frozen"/>
      <selection pane="bottomLeft" activeCell="E299" sqref="E299"/>
    </sheetView>
  </sheetViews>
  <sheetFormatPr baseColWidth="10" defaultColWidth="8.83203125" defaultRowHeight="13"/>
  <cols>
    <col min="1" max="1" width="10" style="42" customWidth="1"/>
    <col min="2" max="2" width="36.33203125" style="42" bestFit="1" customWidth="1"/>
    <col min="3" max="3" width="12" style="42" customWidth="1"/>
    <col min="4" max="4" width="16.83203125" style="42" customWidth="1"/>
    <col min="5" max="5" width="17.1640625" style="42" customWidth="1"/>
    <col min="6" max="6" width="6.83203125" style="42" customWidth="1"/>
    <col min="7" max="7" width="7.83203125" style="42" customWidth="1"/>
    <col min="8" max="8" width="49" style="42" customWidth="1"/>
    <col min="9" max="9" width="9.1640625" style="42" customWidth="1"/>
    <col min="10" max="16384" width="8.83203125" style="42"/>
  </cols>
  <sheetData>
    <row r="1" spans="1:9" s="81" customFormat="1" ht="13.5" customHeight="1">
      <c r="A1" s="80" t="s">
        <v>98</v>
      </c>
      <c r="B1" s="43" t="s">
        <v>139</v>
      </c>
      <c r="C1" s="43" t="s">
        <v>99</v>
      </c>
      <c r="D1" s="43" t="s">
        <v>140</v>
      </c>
      <c r="E1" s="43" t="s">
        <v>141</v>
      </c>
      <c r="F1" s="43" t="s">
        <v>142</v>
      </c>
      <c r="G1" s="43" t="s">
        <v>143</v>
      </c>
      <c r="H1" s="43" t="s">
        <v>144</v>
      </c>
      <c r="I1" s="43" t="s">
        <v>145</v>
      </c>
    </row>
    <row r="2" spans="1:9" ht="14">
      <c r="A2" s="82">
        <v>45900</v>
      </c>
      <c r="B2" s="44" t="s">
        <v>146</v>
      </c>
      <c r="C2" s="83">
        <v>1250</v>
      </c>
      <c r="D2" s="44" t="s">
        <v>147</v>
      </c>
      <c r="E2" s="44" t="s">
        <v>49</v>
      </c>
      <c r="F2" s="44"/>
      <c r="G2" s="44"/>
      <c r="H2" s="44"/>
      <c r="I2" s="44" t="s">
        <v>148</v>
      </c>
    </row>
    <row r="3" spans="1:9" ht="14">
      <c r="A3" s="84">
        <v>45900</v>
      </c>
      <c r="B3" s="45" t="s">
        <v>149</v>
      </c>
      <c r="C3" s="85">
        <v>1600</v>
      </c>
      <c r="D3" s="45" t="s">
        <v>150</v>
      </c>
      <c r="E3" s="45" t="s">
        <v>49</v>
      </c>
      <c r="F3" s="45"/>
      <c r="G3" s="45"/>
      <c r="H3" s="45"/>
      <c r="I3" s="45" t="s">
        <v>148</v>
      </c>
    </row>
    <row r="4" spans="1:9" ht="14">
      <c r="A4" s="82">
        <v>45900</v>
      </c>
      <c r="B4" s="44" t="s">
        <v>151</v>
      </c>
      <c r="C4" s="83">
        <v>1800</v>
      </c>
      <c r="D4" s="44" t="s">
        <v>150</v>
      </c>
      <c r="E4" s="44" t="s">
        <v>49</v>
      </c>
      <c r="F4" s="44"/>
      <c r="G4" s="44"/>
      <c r="H4" s="44"/>
      <c r="I4" s="44" t="s">
        <v>148</v>
      </c>
    </row>
    <row r="5" spans="1:9" ht="14">
      <c r="A5" s="84">
        <v>45900</v>
      </c>
      <c r="B5" s="45" t="s">
        <v>152</v>
      </c>
      <c r="C5" s="85">
        <v>2000</v>
      </c>
      <c r="D5" s="45" t="s">
        <v>147</v>
      </c>
      <c r="E5" s="45" t="s">
        <v>49</v>
      </c>
      <c r="F5" s="45"/>
      <c r="G5" s="45"/>
      <c r="H5" s="45"/>
      <c r="I5" s="45" t="s">
        <v>148</v>
      </c>
    </row>
    <row r="6" spans="1:9" ht="14">
      <c r="A6" s="82">
        <v>45900</v>
      </c>
      <c r="B6" s="44" t="s">
        <v>153</v>
      </c>
      <c r="C6" s="83">
        <v>1600</v>
      </c>
      <c r="D6" s="44" t="s">
        <v>150</v>
      </c>
      <c r="E6" s="44" t="s">
        <v>49</v>
      </c>
      <c r="F6" s="44"/>
      <c r="G6" s="44"/>
      <c r="H6" s="44"/>
      <c r="I6" s="44" t="s">
        <v>148</v>
      </c>
    </row>
    <row r="7" spans="1:9" ht="14">
      <c r="A7" s="84">
        <v>45900</v>
      </c>
      <c r="B7" s="45" t="s">
        <v>154</v>
      </c>
      <c r="C7" s="85">
        <v>750</v>
      </c>
      <c r="D7" s="45" t="s">
        <v>147</v>
      </c>
      <c r="E7" s="45" t="s">
        <v>49</v>
      </c>
      <c r="F7" s="45"/>
      <c r="G7" s="45"/>
      <c r="H7" s="45"/>
      <c r="I7" s="45" t="s">
        <v>148</v>
      </c>
    </row>
    <row r="8" spans="1:9" ht="14">
      <c r="A8" s="82">
        <v>45900</v>
      </c>
      <c r="B8" s="44" t="s">
        <v>155</v>
      </c>
      <c r="C8" s="83">
        <v>3600</v>
      </c>
      <c r="D8" s="44" t="s">
        <v>147</v>
      </c>
      <c r="E8" s="44" t="s">
        <v>49</v>
      </c>
      <c r="F8" s="44"/>
      <c r="G8" s="44"/>
      <c r="H8" s="44"/>
      <c r="I8" s="44" t="s">
        <v>148</v>
      </c>
    </row>
    <row r="9" spans="1:9" ht="14">
      <c r="A9" s="84">
        <v>45901</v>
      </c>
      <c r="B9" s="45" t="s">
        <v>155</v>
      </c>
      <c r="C9" s="85">
        <v>1000</v>
      </c>
      <c r="D9" s="45" t="s">
        <v>147</v>
      </c>
      <c r="E9" s="45" t="s">
        <v>49</v>
      </c>
      <c r="F9" s="45"/>
      <c r="G9" s="45"/>
      <c r="H9" s="45"/>
      <c r="I9" s="45" t="s">
        <v>148</v>
      </c>
    </row>
    <row r="10" spans="1:9" ht="14">
      <c r="A10" s="82">
        <v>45902</v>
      </c>
      <c r="B10" s="44" t="s">
        <v>156</v>
      </c>
      <c r="C10" s="83">
        <v>2000</v>
      </c>
      <c r="D10" s="44" t="s">
        <v>147</v>
      </c>
      <c r="E10" s="44" t="s">
        <v>49</v>
      </c>
      <c r="F10" s="44"/>
      <c r="G10" s="44"/>
      <c r="H10" s="44"/>
      <c r="I10" s="44" t="s">
        <v>148</v>
      </c>
    </row>
    <row r="11" spans="1:9" ht="14">
      <c r="A11" s="84">
        <v>45903</v>
      </c>
      <c r="B11" s="45" t="s">
        <v>157</v>
      </c>
      <c r="C11" s="85">
        <v>3400</v>
      </c>
      <c r="D11" s="45" t="s">
        <v>147</v>
      </c>
      <c r="E11" s="45" t="s">
        <v>49</v>
      </c>
      <c r="F11" s="45"/>
      <c r="G11" s="45"/>
      <c r="H11" s="45"/>
      <c r="I11" s="45" t="s">
        <v>148</v>
      </c>
    </row>
    <row r="12" spans="1:9" ht="14">
      <c r="A12" s="82">
        <v>45904</v>
      </c>
      <c r="B12" s="44" t="s">
        <v>158</v>
      </c>
      <c r="C12" s="83">
        <v>2500</v>
      </c>
      <c r="D12" s="44" t="s">
        <v>159</v>
      </c>
      <c r="E12" s="44" t="s">
        <v>49</v>
      </c>
      <c r="F12" s="44"/>
      <c r="G12" s="44"/>
      <c r="H12" s="44"/>
      <c r="I12" s="44" t="s">
        <v>148</v>
      </c>
    </row>
    <row r="13" spans="1:9" ht="14">
      <c r="A13" s="84">
        <v>45905</v>
      </c>
      <c r="B13" s="45" t="s">
        <v>160</v>
      </c>
      <c r="C13" s="85">
        <v>4000</v>
      </c>
      <c r="D13" s="45" t="s">
        <v>147</v>
      </c>
      <c r="E13" s="45" t="s">
        <v>49</v>
      </c>
      <c r="F13" s="45"/>
      <c r="G13" s="45"/>
      <c r="H13" s="45"/>
      <c r="I13" s="45" t="s">
        <v>148</v>
      </c>
    </row>
    <row r="14" spans="1:9" ht="14">
      <c r="A14" s="82">
        <v>45906</v>
      </c>
      <c r="B14" s="44" t="s">
        <v>161</v>
      </c>
      <c r="C14" s="83">
        <v>8000</v>
      </c>
      <c r="D14" s="44" t="s">
        <v>147</v>
      </c>
      <c r="E14" s="44" t="s">
        <v>49</v>
      </c>
      <c r="F14" s="44"/>
      <c r="G14" s="44"/>
      <c r="H14" s="44"/>
      <c r="I14" s="44" t="s">
        <v>148</v>
      </c>
    </row>
    <row r="15" spans="1:9" ht="14">
      <c r="A15" s="84">
        <v>45907</v>
      </c>
      <c r="B15" s="45" t="s">
        <v>152</v>
      </c>
      <c r="C15" s="85">
        <v>1300</v>
      </c>
      <c r="D15" s="45" t="s">
        <v>162</v>
      </c>
      <c r="E15" s="45" t="s">
        <v>49</v>
      </c>
      <c r="F15" s="45"/>
      <c r="G15" s="45"/>
      <c r="H15" s="45"/>
      <c r="I15" s="45" t="s">
        <v>148</v>
      </c>
    </row>
    <row r="16" spans="1:9" ht="14">
      <c r="A16" s="82">
        <v>45908</v>
      </c>
      <c r="B16" s="44" t="s">
        <v>163</v>
      </c>
      <c r="C16" s="83">
        <v>900</v>
      </c>
      <c r="D16" s="44" t="s">
        <v>150</v>
      </c>
      <c r="E16" s="44" t="s">
        <v>49</v>
      </c>
      <c r="F16" s="44"/>
      <c r="G16" s="44"/>
      <c r="H16" s="44"/>
      <c r="I16" s="44" t="s">
        <v>148</v>
      </c>
    </row>
    <row r="17" spans="1:9" ht="14">
      <c r="A17" s="84">
        <v>45909</v>
      </c>
      <c r="B17" s="45" t="s">
        <v>164</v>
      </c>
      <c r="C17" s="85">
        <v>750</v>
      </c>
      <c r="D17" s="45" t="s">
        <v>159</v>
      </c>
      <c r="E17" s="45" t="s">
        <v>49</v>
      </c>
      <c r="F17" s="45"/>
      <c r="G17" s="45"/>
      <c r="H17" s="45"/>
      <c r="I17" s="45" t="s">
        <v>148</v>
      </c>
    </row>
    <row r="18" spans="1:9" ht="14">
      <c r="A18" s="82">
        <v>45910</v>
      </c>
      <c r="B18" s="44" t="s">
        <v>165</v>
      </c>
      <c r="C18" s="83">
        <v>700</v>
      </c>
      <c r="D18" s="44" t="s">
        <v>159</v>
      </c>
      <c r="E18" s="44" t="s">
        <v>49</v>
      </c>
      <c r="F18" s="44"/>
      <c r="G18" s="44"/>
      <c r="H18" s="44"/>
      <c r="I18" s="44" t="s">
        <v>148</v>
      </c>
    </row>
    <row r="19" spans="1:9" ht="14">
      <c r="A19" s="84">
        <v>45911</v>
      </c>
      <c r="B19" s="45" t="s">
        <v>166</v>
      </c>
      <c r="C19" s="85">
        <v>2900</v>
      </c>
      <c r="D19" s="45" t="s">
        <v>147</v>
      </c>
      <c r="E19" s="45" t="s">
        <v>49</v>
      </c>
      <c r="F19" s="45"/>
      <c r="G19" s="45"/>
      <c r="H19" s="45"/>
      <c r="I19" s="45" t="s">
        <v>148</v>
      </c>
    </row>
    <row r="20" spans="1:9" ht="14">
      <c r="A20" s="82">
        <v>45912</v>
      </c>
      <c r="B20" s="44" t="s">
        <v>167</v>
      </c>
      <c r="C20" s="83">
        <v>2600</v>
      </c>
      <c r="D20" s="44" t="s">
        <v>159</v>
      </c>
      <c r="E20" s="44" t="s">
        <v>49</v>
      </c>
      <c r="F20" s="44"/>
      <c r="G20" s="44"/>
      <c r="H20" s="44"/>
      <c r="I20" s="44" t="s">
        <v>148</v>
      </c>
    </row>
    <row r="21" spans="1:9" ht="14">
      <c r="A21" s="84">
        <v>45913</v>
      </c>
      <c r="B21" s="45" t="s">
        <v>168</v>
      </c>
      <c r="C21" s="85">
        <v>900</v>
      </c>
      <c r="D21" s="45" t="s">
        <v>159</v>
      </c>
      <c r="E21" s="45" t="s">
        <v>49</v>
      </c>
      <c r="F21" s="45"/>
      <c r="G21" s="45"/>
      <c r="H21" s="45"/>
      <c r="I21" s="45" t="s">
        <v>148</v>
      </c>
    </row>
    <row r="22" spans="1:9" ht="14">
      <c r="A22" s="82">
        <v>45914</v>
      </c>
      <c r="B22" s="44" t="s">
        <v>169</v>
      </c>
      <c r="C22" s="83">
        <v>1000</v>
      </c>
      <c r="D22" s="44" t="s">
        <v>147</v>
      </c>
      <c r="E22" s="44" t="s">
        <v>49</v>
      </c>
      <c r="F22" s="44"/>
      <c r="G22" s="44"/>
      <c r="H22" s="44"/>
      <c r="I22" s="44" t="s">
        <v>148</v>
      </c>
    </row>
    <row r="23" spans="1:9" ht="14">
      <c r="A23" s="84">
        <v>45915</v>
      </c>
      <c r="B23" s="45" t="s">
        <v>170</v>
      </c>
      <c r="C23" s="85">
        <v>1800</v>
      </c>
      <c r="D23" s="45" t="s">
        <v>147</v>
      </c>
      <c r="E23" s="45" t="s">
        <v>49</v>
      </c>
      <c r="F23" s="45"/>
      <c r="G23" s="45"/>
      <c r="H23" s="45"/>
      <c r="I23" s="45" t="s">
        <v>148</v>
      </c>
    </row>
    <row r="24" spans="1:9" ht="14">
      <c r="A24" s="82">
        <v>45916</v>
      </c>
      <c r="B24" s="44" t="s">
        <v>171</v>
      </c>
      <c r="C24" s="83">
        <v>1600</v>
      </c>
      <c r="D24" s="44" t="s">
        <v>147</v>
      </c>
      <c r="E24" s="44" t="s">
        <v>49</v>
      </c>
      <c r="F24" s="44"/>
      <c r="G24" s="44"/>
      <c r="H24" s="44"/>
      <c r="I24" s="44" t="s">
        <v>148</v>
      </c>
    </row>
    <row r="25" spans="1:9" ht="14">
      <c r="A25" s="84">
        <v>45917</v>
      </c>
      <c r="B25" s="45" t="s">
        <v>172</v>
      </c>
      <c r="C25" s="85">
        <v>800</v>
      </c>
      <c r="D25" s="45" t="s">
        <v>150</v>
      </c>
      <c r="E25" s="45" t="s">
        <v>49</v>
      </c>
      <c r="F25" s="45"/>
      <c r="G25" s="45"/>
      <c r="H25" s="45"/>
      <c r="I25" s="45" t="s">
        <v>148</v>
      </c>
    </row>
    <row r="26" spans="1:9" ht="14">
      <c r="A26" s="82">
        <v>45917</v>
      </c>
      <c r="B26" s="44" t="s">
        <v>172</v>
      </c>
      <c r="C26" s="83">
        <v>1300</v>
      </c>
      <c r="D26" s="44" t="s">
        <v>150</v>
      </c>
      <c r="E26" s="44" t="s">
        <v>49</v>
      </c>
      <c r="F26" s="44"/>
      <c r="G26" s="44"/>
      <c r="H26" s="44"/>
      <c r="I26" s="44" t="s">
        <v>148</v>
      </c>
    </row>
    <row r="27" spans="1:9" ht="14">
      <c r="A27" s="84">
        <v>45918</v>
      </c>
      <c r="B27" s="45" t="s">
        <v>173</v>
      </c>
      <c r="C27" s="85">
        <v>1500</v>
      </c>
      <c r="D27" s="45" t="s">
        <v>147</v>
      </c>
      <c r="E27" s="45" t="s">
        <v>49</v>
      </c>
      <c r="F27" s="45"/>
      <c r="G27" s="45"/>
      <c r="H27" s="45"/>
      <c r="I27" s="45" t="s">
        <v>148</v>
      </c>
    </row>
    <row r="28" spans="1:9" ht="14">
      <c r="A28" s="82">
        <v>45919</v>
      </c>
      <c r="B28" s="44" t="s">
        <v>174</v>
      </c>
      <c r="C28" s="83">
        <v>1400</v>
      </c>
      <c r="D28" s="44" t="s">
        <v>147</v>
      </c>
      <c r="E28" s="44" t="s">
        <v>49</v>
      </c>
      <c r="F28" s="44"/>
      <c r="G28" s="44"/>
      <c r="H28" s="44"/>
      <c r="I28" s="44" t="s">
        <v>148</v>
      </c>
    </row>
    <row r="29" spans="1:9" ht="14">
      <c r="A29" s="84">
        <v>45920</v>
      </c>
      <c r="B29" s="45" t="s">
        <v>175</v>
      </c>
      <c r="C29" s="85">
        <v>3500</v>
      </c>
      <c r="D29" s="45" t="s">
        <v>147</v>
      </c>
      <c r="E29" s="45" t="s">
        <v>49</v>
      </c>
      <c r="F29" s="45"/>
      <c r="G29" s="45"/>
      <c r="H29" s="45"/>
      <c r="I29" s="45" t="s">
        <v>148</v>
      </c>
    </row>
    <row r="30" spans="1:9" ht="14">
      <c r="A30" s="82">
        <v>45921</v>
      </c>
      <c r="B30" s="44" t="s">
        <v>176</v>
      </c>
      <c r="C30" s="83">
        <v>2400</v>
      </c>
      <c r="D30" s="44" t="s">
        <v>150</v>
      </c>
      <c r="E30" s="44" t="s">
        <v>49</v>
      </c>
      <c r="F30" s="44"/>
      <c r="G30" s="44"/>
      <c r="H30" s="44"/>
      <c r="I30" s="44" t="s">
        <v>148</v>
      </c>
    </row>
    <row r="31" spans="1:9" ht="14">
      <c r="A31" s="84">
        <v>45922</v>
      </c>
      <c r="B31" s="45" t="s">
        <v>177</v>
      </c>
      <c r="C31" s="85">
        <v>1000</v>
      </c>
      <c r="D31" s="45" t="s">
        <v>150</v>
      </c>
      <c r="E31" s="45" t="s">
        <v>49</v>
      </c>
      <c r="F31" s="45"/>
      <c r="G31" s="45"/>
      <c r="H31" s="45"/>
      <c r="I31" s="45" t="s">
        <v>148</v>
      </c>
    </row>
    <row r="32" spans="1:9" ht="14">
      <c r="A32" s="82">
        <v>45924</v>
      </c>
      <c r="B32" s="44" t="s">
        <v>178</v>
      </c>
      <c r="C32" s="83">
        <v>2500</v>
      </c>
      <c r="D32" s="44" t="s">
        <v>162</v>
      </c>
      <c r="E32" s="44" t="s">
        <v>49</v>
      </c>
      <c r="F32" s="44"/>
      <c r="G32" s="44"/>
      <c r="H32" s="44"/>
      <c r="I32" s="44" t="s">
        <v>148</v>
      </c>
    </row>
    <row r="33" spans="1:9" ht="14">
      <c r="A33" s="84">
        <v>45924</v>
      </c>
      <c r="B33" s="45" t="s">
        <v>179</v>
      </c>
      <c r="C33" s="85">
        <v>9250</v>
      </c>
      <c r="D33" s="45" t="s">
        <v>162</v>
      </c>
      <c r="E33" s="45" t="s">
        <v>49</v>
      </c>
      <c r="F33" s="45"/>
      <c r="G33" s="45"/>
      <c r="H33" s="45"/>
      <c r="I33" s="45" t="s">
        <v>148</v>
      </c>
    </row>
    <row r="34" spans="1:9" ht="14">
      <c r="A34" s="82">
        <v>45930</v>
      </c>
      <c r="B34" s="44" t="s">
        <v>169</v>
      </c>
      <c r="C34" s="83">
        <v>3800</v>
      </c>
      <c r="D34" s="44" t="s">
        <v>180</v>
      </c>
      <c r="E34" s="44" t="s">
        <v>51</v>
      </c>
      <c r="F34" s="44"/>
      <c r="G34" s="44"/>
      <c r="H34" s="44"/>
      <c r="I34" s="44" t="s">
        <v>148</v>
      </c>
    </row>
    <row r="35" spans="1:9" ht="14">
      <c r="A35" s="84">
        <v>45933.931944444397</v>
      </c>
      <c r="B35" s="45" t="s">
        <v>181</v>
      </c>
      <c r="C35" s="85">
        <v>800</v>
      </c>
      <c r="D35" s="45" t="s">
        <v>162</v>
      </c>
      <c r="E35" s="45" t="s">
        <v>49</v>
      </c>
      <c r="F35" s="45"/>
      <c r="G35" s="45"/>
      <c r="H35" s="45"/>
      <c r="I35" s="45" t="s">
        <v>148</v>
      </c>
    </row>
    <row r="36" spans="1:9" ht="14">
      <c r="A36" s="82">
        <v>45934.931944386597</v>
      </c>
      <c r="B36" s="44" t="s">
        <v>182</v>
      </c>
      <c r="C36" s="83">
        <v>1600</v>
      </c>
      <c r="D36" s="44" t="s">
        <v>147</v>
      </c>
      <c r="E36" s="44" t="s">
        <v>49</v>
      </c>
      <c r="F36" s="44"/>
      <c r="G36" s="44"/>
      <c r="H36" s="44"/>
      <c r="I36" s="44" t="s">
        <v>148</v>
      </c>
    </row>
    <row r="37" spans="1:9" ht="14">
      <c r="A37" s="84">
        <v>45935.931944386597</v>
      </c>
      <c r="B37" s="45" t="s">
        <v>183</v>
      </c>
      <c r="C37" s="85">
        <v>5900</v>
      </c>
      <c r="D37" s="45" t="s">
        <v>162</v>
      </c>
      <c r="E37" s="45" t="s">
        <v>49</v>
      </c>
      <c r="F37" s="45"/>
      <c r="G37" s="45"/>
      <c r="H37" s="45"/>
      <c r="I37" s="45" t="s">
        <v>148</v>
      </c>
    </row>
    <row r="38" spans="1:9" ht="14">
      <c r="A38" s="82">
        <v>45939.931944444397</v>
      </c>
      <c r="B38" s="44" t="s">
        <v>175</v>
      </c>
      <c r="C38" s="83">
        <v>3000</v>
      </c>
      <c r="D38" s="44" t="s">
        <v>162</v>
      </c>
      <c r="E38" s="44" t="s">
        <v>49</v>
      </c>
      <c r="F38" s="44"/>
      <c r="G38" s="44"/>
      <c r="H38" s="44"/>
      <c r="I38" s="44" t="s">
        <v>148</v>
      </c>
    </row>
    <row r="39" spans="1:9" ht="14">
      <c r="A39" s="84">
        <v>45939.931944444397</v>
      </c>
      <c r="B39" s="45" t="s">
        <v>184</v>
      </c>
      <c r="C39" s="85">
        <v>800</v>
      </c>
      <c r="D39" s="45" t="s">
        <v>162</v>
      </c>
      <c r="E39" s="45" t="s">
        <v>49</v>
      </c>
      <c r="F39" s="45"/>
      <c r="G39" s="45"/>
      <c r="H39" s="45"/>
      <c r="I39" s="45" t="s">
        <v>148</v>
      </c>
    </row>
    <row r="40" spans="1:9" ht="14">
      <c r="A40" s="82">
        <v>45945</v>
      </c>
      <c r="B40" s="44" t="s">
        <v>185</v>
      </c>
      <c r="C40" s="83">
        <v>1560</v>
      </c>
      <c r="D40" s="44" t="s">
        <v>162</v>
      </c>
      <c r="E40" s="44" t="s">
        <v>49</v>
      </c>
      <c r="F40" s="44"/>
      <c r="G40" s="44"/>
      <c r="H40" s="44"/>
      <c r="I40" s="44" t="s">
        <v>148</v>
      </c>
    </row>
    <row r="41" spans="1:9" ht="14">
      <c r="A41" s="84">
        <v>45946</v>
      </c>
      <c r="B41" s="45" t="s">
        <v>186</v>
      </c>
      <c r="C41" s="85">
        <v>1400</v>
      </c>
      <c r="D41" s="45" t="s">
        <v>162</v>
      </c>
      <c r="E41" s="45" t="s">
        <v>49</v>
      </c>
      <c r="F41" s="45"/>
      <c r="G41" s="45"/>
      <c r="H41" s="45"/>
      <c r="I41" s="45" t="s">
        <v>148</v>
      </c>
    </row>
    <row r="42" spans="1:9" ht="14">
      <c r="A42" s="82">
        <v>45946</v>
      </c>
      <c r="B42" s="44" t="s">
        <v>151</v>
      </c>
      <c r="C42" s="83">
        <v>3000</v>
      </c>
      <c r="D42" s="44" t="s">
        <v>162</v>
      </c>
      <c r="E42" s="44" t="s">
        <v>49</v>
      </c>
      <c r="F42" s="44"/>
      <c r="G42" s="44"/>
      <c r="H42" s="44"/>
      <c r="I42" s="44" t="s">
        <v>148</v>
      </c>
    </row>
    <row r="43" spans="1:9" ht="14">
      <c r="A43" s="84">
        <v>45947</v>
      </c>
      <c r="B43" s="45" t="s">
        <v>187</v>
      </c>
      <c r="C43" s="85">
        <v>1799</v>
      </c>
      <c r="D43" s="45" t="s">
        <v>162</v>
      </c>
      <c r="E43" s="45" t="s">
        <v>49</v>
      </c>
      <c r="F43" s="45"/>
      <c r="G43" s="45"/>
      <c r="H43" s="45"/>
      <c r="I43" s="45" t="s">
        <v>148</v>
      </c>
    </row>
    <row r="44" spans="1:9" ht="14">
      <c r="A44" s="82">
        <v>45948</v>
      </c>
      <c r="B44" s="44" t="s">
        <v>158</v>
      </c>
      <c r="C44" s="83">
        <v>1400</v>
      </c>
      <c r="D44" s="44" t="s">
        <v>162</v>
      </c>
      <c r="E44" s="44" t="s">
        <v>49</v>
      </c>
      <c r="F44" s="44"/>
      <c r="G44" s="44"/>
      <c r="H44" s="44"/>
      <c r="I44" s="44" t="s">
        <v>148</v>
      </c>
    </row>
    <row r="45" spans="1:9" ht="14">
      <c r="A45" s="84">
        <v>45949</v>
      </c>
      <c r="B45" s="45" t="s">
        <v>188</v>
      </c>
      <c r="C45" s="85">
        <v>1400</v>
      </c>
      <c r="D45" s="45" t="s">
        <v>162</v>
      </c>
      <c r="E45" s="45" t="s">
        <v>49</v>
      </c>
      <c r="F45" s="45"/>
      <c r="G45" s="45"/>
      <c r="H45" s="45"/>
      <c r="I45" s="45" t="s">
        <v>148</v>
      </c>
    </row>
    <row r="46" spans="1:9" ht="14">
      <c r="A46" s="82">
        <v>45950</v>
      </c>
      <c r="B46" s="44" t="s">
        <v>189</v>
      </c>
      <c r="C46" s="83">
        <v>600</v>
      </c>
      <c r="D46" s="44" t="s">
        <v>162</v>
      </c>
      <c r="E46" s="44" t="s">
        <v>49</v>
      </c>
      <c r="F46" s="44"/>
      <c r="G46" s="44"/>
      <c r="H46" s="44"/>
      <c r="I46" s="44" t="s">
        <v>148</v>
      </c>
    </row>
    <row r="47" spans="1:9" ht="14">
      <c r="A47" s="84">
        <v>45951</v>
      </c>
      <c r="B47" s="45" t="s">
        <v>190</v>
      </c>
      <c r="C47" s="85">
        <v>1000</v>
      </c>
      <c r="D47" s="45" t="s">
        <v>162</v>
      </c>
      <c r="E47" s="45" t="s">
        <v>49</v>
      </c>
      <c r="F47" s="45"/>
      <c r="G47" s="45"/>
      <c r="H47" s="45"/>
      <c r="I47" s="45" t="s">
        <v>148</v>
      </c>
    </row>
    <row r="48" spans="1:9" ht="14">
      <c r="A48" s="82">
        <v>45964</v>
      </c>
      <c r="B48" s="44" t="s">
        <v>189</v>
      </c>
      <c r="C48" s="83">
        <v>1500</v>
      </c>
      <c r="D48" s="44" t="s">
        <v>147</v>
      </c>
      <c r="E48" s="44" t="s">
        <v>49</v>
      </c>
      <c r="F48" s="44"/>
      <c r="G48" s="44"/>
      <c r="H48" s="44"/>
      <c r="I48" s="44" t="s">
        <v>148</v>
      </c>
    </row>
    <row r="49" spans="1:9" ht="14">
      <c r="A49" s="84">
        <v>45963</v>
      </c>
      <c r="B49" s="45" t="s">
        <v>189</v>
      </c>
      <c r="C49" s="85">
        <v>1600</v>
      </c>
      <c r="D49" s="45" t="s">
        <v>162</v>
      </c>
      <c r="E49" s="45" t="s">
        <v>49</v>
      </c>
      <c r="F49" s="45"/>
      <c r="G49" s="45"/>
      <c r="H49" s="45"/>
      <c r="I49" s="45" t="s">
        <v>148</v>
      </c>
    </row>
    <row r="50" spans="1:9" ht="14">
      <c r="A50" s="82">
        <v>45982</v>
      </c>
      <c r="B50" s="44" t="s">
        <v>191</v>
      </c>
      <c r="C50" s="83">
        <v>1600</v>
      </c>
      <c r="D50" s="44" t="s">
        <v>162</v>
      </c>
      <c r="E50" s="44" t="s">
        <v>49</v>
      </c>
      <c r="F50" s="44"/>
      <c r="G50" s="44"/>
      <c r="H50" s="44"/>
      <c r="I50" s="44" t="s">
        <v>148</v>
      </c>
    </row>
    <row r="51" spans="1:9" ht="14">
      <c r="A51" s="84">
        <v>45983</v>
      </c>
      <c r="B51" s="45" t="s">
        <v>192</v>
      </c>
      <c r="C51" s="85">
        <v>1400</v>
      </c>
      <c r="D51" s="45" t="s">
        <v>162</v>
      </c>
      <c r="E51" s="45" t="s">
        <v>49</v>
      </c>
      <c r="F51" s="45"/>
      <c r="G51" s="45"/>
      <c r="H51" s="45"/>
      <c r="I51" s="45" t="s">
        <v>148</v>
      </c>
    </row>
    <row r="52" spans="1:9" ht="14">
      <c r="A52" s="82">
        <v>45984</v>
      </c>
      <c r="B52" s="44" t="s">
        <v>193</v>
      </c>
      <c r="C52" s="83">
        <v>1600</v>
      </c>
      <c r="D52" s="44" t="s">
        <v>162</v>
      </c>
      <c r="E52" s="44" t="s">
        <v>49</v>
      </c>
      <c r="F52" s="44"/>
      <c r="G52" s="44"/>
      <c r="H52" s="44"/>
      <c r="I52" s="44" t="s">
        <v>148</v>
      </c>
    </row>
    <row r="53" spans="1:9" ht="14">
      <c r="A53" s="84">
        <v>45985</v>
      </c>
      <c r="B53" s="45" t="s">
        <v>191</v>
      </c>
      <c r="C53" s="85">
        <v>1600</v>
      </c>
      <c r="D53" s="45" t="s">
        <v>162</v>
      </c>
      <c r="E53" s="45" t="s">
        <v>49</v>
      </c>
      <c r="F53" s="46"/>
      <c r="G53" s="46"/>
      <c r="H53" s="46"/>
      <c r="I53" s="45" t="s">
        <v>148</v>
      </c>
    </row>
    <row r="54" spans="1:9" ht="13.5" customHeight="1">
      <c r="A54" s="82">
        <v>45986</v>
      </c>
      <c r="B54" s="44" t="s">
        <v>194</v>
      </c>
      <c r="C54" s="83">
        <v>4900</v>
      </c>
      <c r="D54" s="44" t="s">
        <v>162</v>
      </c>
      <c r="E54" s="44" t="s">
        <v>49</v>
      </c>
      <c r="F54" s="44"/>
      <c r="G54" s="44"/>
      <c r="H54" s="44" t="s">
        <v>195</v>
      </c>
      <c r="I54" s="44" t="s">
        <v>148</v>
      </c>
    </row>
    <row r="55" spans="1:9" ht="15.75" customHeight="1">
      <c r="A55" s="84">
        <v>45992</v>
      </c>
      <c r="B55" s="45" t="s">
        <v>196</v>
      </c>
      <c r="C55" s="85">
        <v>4500</v>
      </c>
      <c r="D55" s="45" t="s">
        <v>162</v>
      </c>
      <c r="E55" s="45" t="s">
        <v>49</v>
      </c>
      <c r="F55" s="46"/>
      <c r="G55" s="46"/>
      <c r="H55" s="46" t="s">
        <v>195</v>
      </c>
      <c r="I55" s="45" t="s">
        <v>148</v>
      </c>
    </row>
    <row r="56" spans="1:9" ht="13.5" customHeight="1">
      <c r="A56" s="82">
        <v>45992</v>
      </c>
      <c r="B56" s="44" t="s">
        <v>197</v>
      </c>
      <c r="C56" s="83">
        <v>1600</v>
      </c>
      <c r="D56" s="44" t="s">
        <v>162</v>
      </c>
      <c r="E56" s="44" t="s">
        <v>49</v>
      </c>
      <c r="F56" s="44"/>
      <c r="G56" s="44"/>
      <c r="H56" s="44" t="s">
        <v>198</v>
      </c>
      <c r="I56" s="44" t="s">
        <v>148</v>
      </c>
    </row>
    <row r="57" spans="1:9" ht="15.75" customHeight="1">
      <c r="A57" s="84">
        <v>45996</v>
      </c>
      <c r="B57" s="45" t="s">
        <v>199</v>
      </c>
      <c r="C57" s="85">
        <v>1500</v>
      </c>
      <c r="D57" s="45" t="s">
        <v>162</v>
      </c>
      <c r="E57" s="45" t="s">
        <v>49</v>
      </c>
      <c r="F57" s="46"/>
      <c r="G57" s="46"/>
      <c r="H57" s="46" t="s">
        <v>200</v>
      </c>
      <c r="I57" s="45" t="s">
        <v>148</v>
      </c>
    </row>
    <row r="58" spans="1:9" ht="42" customHeight="1">
      <c r="A58" s="82">
        <v>45996</v>
      </c>
      <c r="B58" s="44" t="s">
        <v>201</v>
      </c>
      <c r="C58" s="83">
        <v>7500</v>
      </c>
      <c r="D58" s="44" t="s">
        <v>162</v>
      </c>
      <c r="E58" s="44" t="s">
        <v>49</v>
      </c>
      <c r="F58" s="44"/>
      <c r="G58" s="44"/>
      <c r="H58" s="44" t="s">
        <v>202</v>
      </c>
      <c r="I58" s="44" t="s">
        <v>148</v>
      </c>
    </row>
    <row r="59" spans="1:9" ht="15.75" customHeight="1">
      <c r="A59" s="84">
        <v>45996</v>
      </c>
      <c r="B59" s="45" t="s">
        <v>173</v>
      </c>
      <c r="C59" s="85">
        <v>1400</v>
      </c>
      <c r="D59" s="45" t="s">
        <v>150</v>
      </c>
      <c r="E59" s="45" t="s">
        <v>49</v>
      </c>
      <c r="F59" s="46"/>
      <c r="G59" s="46"/>
      <c r="H59" s="46" t="s">
        <v>203</v>
      </c>
      <c r="I59" s="45" t="s">
        <v>148</v>
      </c>
    </row>
    <row r="60" spans="1:9" ht="13.5" customHeight="1">
      <c r="A60" s="82">
        <v>46007</v>
      </c>
      <c r="B60" s="44" t="s">
        <v>204</v>
      </c>
      <c r="C60" s="83">
        <v>699</v>
      </c>
      <c r="D60" s="44" t="s">
        <v>205</v>
      </c>
      <c r="E60" s="44" t="s">
        <v>49</v>
      </c>
      <c r="F60" s="44"/>
      <c r="G60" s="44"/>
      <c r="H60" s="44" t="s">
        <v>206</v>
      </c>
      <c r="I60" s="44" t="s">
        <v>148</v>
      </c>
    </row>
    <row r="61" spans="1:9" ht="15.75" customHeight="1">
      <c r="A61" s="84">
        <v>46008</v>
      </c>
      <c r="B61" s="45" t="s">
        <v>151</v>
      </c>
      <c r="C61" s="85">
        <v>1400</v>
      </c>
      <c r="D61" s="45" t="s">
        <v>180</v>
      </c>
      <c r="E61" s="45" t="s">
        <v>49</v>
      </c>
      <c r="F61" s="46" t="s">
        <v>207</v>
      </c>
      <c r="G61" s="46"/>
      <c r="H61" s="46" t="s">
        <v>208</v>
      </c>
      <c r="I61" s="45" t="s">
        <v>148</v>
      </c>
    </row>
    <row r="62" spans="1:9" ht="13.5" customHeight="1">
      <c r="A62" s="82">
        <v>46008</v>
      </c>
      <c r="B62" s="44" t="s">
        <v>209</v>
      </c>
      <c r="C62" s="83">
        <v>1380</v>
      </c>
      <c r="D62" s="44" t="s">
        <v>162</v>
      </c>
      <c r="E62" s="44" t="s">
        <v>49</v>
      </c>
      <c r="F62" s="44"/>
      <c r="G62" s="44"/>
      <c r="H62" s="44" t="s">
        <v>210</v>
      </c>
      <c r="I62" s="44" t="s">
        <v>148</v>
      </c>
    </row>
    <row r="63" spans="1:9" ht="15.75" customHeight="1">
      <c r="A63" s="84">
        <v>46008</v>
      </c>
      <c r="B63" s="45" t="s">
        <v>191</v>
      </c>
      <c r="C63" s="85">
        <v>1380</v>
      </c>
      <c r="D63" s="45" t="s">
        <v>162</v>
      </c>
      <c r="E63" s="45" t="s">
        <v>49</v>
      </c>
      <c r="F63" s="46"/>
      <c r="G63" s="46"/>
      <c r="H63" s="46" t="s">
        <v>211</v>
      </c>
      <c r="I63" s="45" t="s">
        <v>148</v>
      </c>
    </row>
    <row r="64" spans="1:9" ht="15.75" customHeight="1">
      <c r="A64" s="84">
        <v>46008</v>
      </c>
      <c r="B64" s="45" t="s">
        <v>173</v>
      </c>
      <c r="C64" s="85">
        <v>700</v>
      </c>
      <c r="D64" s="45" t="s">
        <v>162</v>
      </c>
      <c r="E64" s="45" t="s">
        <v>49</v>
      </c>
      <c r="F64" s="46"/>
      <c r="G64" s="46"/>
      <c r="H64" s="46" t="s">
        <v>212</v>
      </c>
      <c r="I64" s="45" t="s">
        <v>148</v>
      </c>
    </row>
    <row r="65" spans="1:9" ht="13.5" customHeight="1">
      <c r="A65" s="82">
        <v>46009</v>
      </c>
      <c r="B65" s="44" t="s">
        <v>177</v>
      </c>
      <c r="C65" s="83">
        <v>2100</v>
      </c>
      <c r="D65" s="44" t="s">
        <v>150</v>
      </c>
      <c r="E65" s="44" t="s">
        <v>49</v>
      </c>
      <c r="F65" s="44"/>
      <c r="G65" s="44"/>
      <c r="H65" s="44" t="s">
        <v>213</v>
      </c>
      <c r="I65" s="44" t="s">
        <v>148</v>
      </c>
    </row>
    <row r="66" spans="1:9" ht="15.75" customHeight="1">
      <c r="A66" s="84">
        <v>46010</v>
      </c>
      <c r="B66" s="45" t="s">
        <v>214</v>
      </c>
      <c r="C66" s="85">
        <v>1380</v>
      </c>
      <c r="D66" s="45" t="s">
        <v>180</v>
      </c>
      <c r="E66" s="45" t="s">
        <v>49</v>
      </c>
      <c r="F66" s="46"/>
      <c r="G66" s="46"/>
      <c r="H66" s="46" t="s">
        <v>211</v>
      </c>
      <c r="I66" s="45" t="s">
        <v>148</v>
      </c>
    </row>
    <row r="67" spans="1:9" ht="13.5" customHeight="1">
      <c r="A67" s="82">
        <v>46010</v>
      </c>
      <c r="B67" s="44" t="s">
        <v>215</v>
      </c>
      <c r="C67" s="83">
        <v>1000</v>
      </c>
      <c r="D67" s="44" t="s">
        <v>162</v>
      </c>
      <c r="E67" s="44" t="s">
        <v>49</v>
      </c>
      <c r="F67" s="44" t="s">
        <v>216</v>
      </c>
      <c r="G67" s="44"/>
      <c r="H67" s="44" t="s">
        <v>217</v>
      </c>
      <c r="I67" s="44" t="s">
        <v>148</v>
      </c>
    </row>
    <row r="68" spans="1:9" ht="31.5" customHeight="1">
      <c r="A68" s="84">
        <v>46011</v>
      </c>
      <c r="B68" s="45" t="s">
        <v>218</v>
      </c>
      <c r="C68" s="85">
        <v>3900</v>
      </c>
      <c r="D68" s="45" t="s">
        <v>162</v>
      </c>
      <c r="E68" s="45" t="s">
        <v>49</v>
      </c>
      <c r="F68" s="46"/>
      <c r="G68" s="46"/>
      <c r="H68" s="46" t="s">
        <v>219</v>
      </c>
      <c r="I68" s="45" t="s">
        <v>148</v>
      </c>
    </row>
    <row r="69" spans="1:9" ht="13.5" customHeight="1">
      <c r="A69" s="82">
        <v>46011</v>
      </c>
      <c r="B69" s="44" t="s">
        <v>220</v>
      </c>
      <c r="C69" s="83">
        <v>1400</v>
      </c>
      <c r="D69" s="44" t="s">
        <v>162</v>
      </c>
      <c r="E69" s="44" t="s">
        <v>49</v>
      </c>
      <c r="F69" s="44"/>
      <c r="G69" s="44"/>
      <c r="H69" s="44" t="s">
        <v>221</v>
      </c>
      <c r="I69" s="44" t="s">
        <v>148</v>
      </c>
    </row>
    <row r="70" spans="1:9" ht="13.5" customHeight="1">
      <c r="A70" s="82">
        <v>46011</v>
      </c>
      <c r="B70" s="44" t="s">
        <v>50</v>
      </c>
      <c r="C70" s="83">
        <v>1400</v>
      </c>
      <c r="D70" s="44" t="s">
        <v>150</v>
      </c>
      <c r="E70" s="44" t="s">
        <v>50</v>
      </c>
      <c r="F70" s="44"/>
      <c r="G70" s="44"/>
      <c r="H70" s="44" t="s">
        <v>222</v>
      </c>
      <c r="I70" s="44" t="s">
        <v>148</v>
      </c>
    </row>
    <row r="71" spans="1:9" ht="15.75" customHeight="1">
      <c r="A71" s="84">
        <v>46011</v>
      </c>
      <c r="B71" s="45" t="s">
        <v>199</v>
      </c>
      <c r="C71" s="85">
        <v>1400</v>
      </c>
      <c r="D71" s="45" t="s">
        <v>150</v>
      </c>
      <c r="E71" s="45" t="s">
        <v>49</v>
      </c>
      <c r="F71" s="46"/>
      <c r="G71" s="46"/>
      <c r="H71" s="46" t="s">
        <v>223</v>
      </c>
      <c r="I71" s="45" t="s">
        <v>148</v>
      </c>
    </row>
    <row r="72" spans="1:9" ht="27.75" customHeight="1">
      <c r="A72" s="82">
        <v>46011</v>
      </c>
      <c r="B72" s="44" t="s">
        <v>224</v>
      </c>
      <c r="C72" s="83">
        <v>3700</v>
      </c>
      <c r="D72" s="44" t="s">
        <v>162</v>
      </c>
      <c r="E72" s="44" t="s">
        <v>49</v>
      </c>
      <c r="F72" s="44"/>
      <c r="G72" s="44"/>
      <c r="H72" s="44" t="s">
        <v>225</v>
      </c>
      <c r="I72" s="44" t="s">
        <v>148</v>
      </c>
    </row>
    <row r="73" spans="1:9" ht="31.5" customHeight="1">
      <c r="A73" s="84">
        <v>46011</v>
      </c>
      <c r="B73" s="45" t="s">
        <v>226</v>
      </c>
      <c r="C73" s="85">
        <v>4529</v>
      </c>
      <c r="D73" s="45" t="s">
        <v>150</v>
      </c>
      <c r="E73" s="45" t="s">
        <v>50</v>
      </c>
      <c r="F73" s="46"/>
      <c r="G73" s="46"/>
      <c r="H73" s="46" t="s">
        <v>227</v>
      </c>
      <c r="I73" s="45" t="s">
        <v>148</v>
      </c>
    </row>
    <row r="74" spans="1:9" ht="13.5" customHeight="1">
      <c r="A74" s="82">
        <v>46013</v>
      </c>
      <c r="B74" s="44" t="s">
        <v>228</v>
      </c>
      <c r="C74" s="83">
        <v>580</v>
      </c>
      <c r="D74" s="44" t="s">
        <v>162</v>
      </c>
      <c r="E74" s="44" t="s">
        <v>49</v>
      </c>
      <c r="F74" s="44" t="s">
        <v>229</v>
      </c>
      <c r="G74" s="44"/>
      <c r="H74" s="44" t="s">
        <v>230</v>
      </c>
      <c r="I74" s="44" t="s">
        <v>148</v>
      </c>
    </row>
    <row r="75" spans="1:9" ht="15.75" customHeight="1">
      <c r="A75" s="84">
        <v>46013</v>
      </c>
      <c r="B75" s="45" t="s">
        <v>231</v>
      </c>
      <c r="C75" s="85">
        <v>1380</v>
      </c>
      <c r="D75" s="45" t="s">
        <v>162</v>
      </c>
      <c r="E75" s="45" t="s">
        <v>49</v>
      </c>
      <c r="F75" s="46"/>
      <c r="G75" s="46"/>
      <c r="H75" s="46" t="s">
        <v>203</v>
      </c>
      <c r="I75" s="45" t="s">
        <v>148</v>
      </c>
    </row>
    <row r="76" spans="1:9" ht="15.75" customHeight="1">
      <c r="A76" s="84">
        <v>46017</v>
      </c>
      <c r="B76" s="45" t="s">
        <v>232</v>
      </c>
      <c r="C76" s="85">
        <v>1380</v>
      </c>
      <c r="D76" s="45" t="s">
        <v>162</v>
      </c>
      <c r="E76" s="45" t="s">
        <v>49</v>
      </c>
      <c r="F76" s="46"/>
      <c r="G76" s="46"/>
      <c r="H76" s="46" t="s">
        <v>233</v>
      </c>
      <c r="I76" s="45" t="s">
        <v>148</v>
      </c>
    </row>
    <row r="77" spans="1:9" ht="13.5" customHeight="1">
      <c r="A77" s="82">
        <v>46017</v>
      </c>
      <c r="B77" s="44" t="s">
        <v>234</v>
      </c>
      <c r="C77" s="83">
        <v>1380</v>
      </c>
      <c r="D77" s="44" t="s">
        <v>162</v>
      </c>
      <c r="E77" s="44" t="s">
        <v>49</v>
      </c>
      <c r="F77" s="44"/>
      <c r="G77" s="44"/>
      <c r="H77" s="44" t="s">
        <v>235</v>
      </c>
      <c r="I77" s="44" t="s">
        <v>148</v>
      </c>
    </row>
    <row r="78" spans="1:9" ht="15.75" customHeight="1">
      <c r="A78" s="84">
        <v>46017</v>
      </c>
      <c r="B78" s="45" t="s">
        <v>189</v>
      </c>
      <c r="C78" s="85">
        <v>690</v>
      </c>
      <c r="D78" s="45" t="s">
        <v>150</v>
      </c>
      <c r="E78" s="45" t="s">
        <v>49</v>
      </c>
      <c r="F78" s="46"/>
      <c r="G78" s="46"/>
      <c r="H78" s="46" t="s">
        <v>236</v>
      </c>
      <c r="I78" s="45" t="s">
        <v>148</v>
      </c>
    </row>
    <row r="79" spans="1:9" ht="13.5" customHeight="1">
      <c r="A79" s="82">
        <v>46017</v>
      </c>
      <c r="B79" s="44" t="s">
        <v>189</v>
      </c>
      <c r="C79" s="83">
        <v>690</v>
      </c>
      <c r="D79" s="44" t="s">
        <v>150</v>
      </c>
      <c r="E79" s="44" t="s">
        <v>50</v>
      </c>
      <c r="F79" s="44"/>
      <c r="G79" s="44"/>
      <c r="H79" s="44" t="s">
        <v>236</v>
      </c>
      <c r="I79" s="44" t="s">
        <v>148</v>
      </c>
    </row>
    <row r="80" spans="1:9" ht="15.75" customHeight="1">
      <c r="A80" s="84">
        <v>46020</v>
      </c>
      <c r="B80" s="45" t="s">
        <v>161</v>
      </c>
      <c r="C80" s="85">
        <v>3200</v>
      </c>
      <c r="D80" s="45" t="s">
        <v>162</v>
      </c>
      <c r="E80" s="45" t="s">
        <v>49</v>
      </c>
      <c r="F80" s="46"/>
      <c r="G80" s="46"/>
      <c r="H80" s="46" t="s">
        <v>237</v>
      </c>
      <c r="I80" s="45" t="s">
        <v>148</v>
      </c>
    </row>
    <row r="81" spans="1:9" ht="13.5" customHeight="1">
      <c r="A81" s="82">
        <v>46024</v>
      </c>
      <c r="B81" s="44" t="s">
        <v>238</v>
      </c>
      <c r="C81" s="83">
        <v>2750</v>
      </c>
      <c r="D81" s="44" t="s">
        <v>162</v>
      </c>
      <c r="E81" s="44" t="s">
        <v>49</v>
      </c>
      <c r="F81" s="44"/>
      <c r="G81" s="44"/>
      <c r="H81" s="44" t="s">
        <v>239</v>
      </c>
      <c r="I81" s="44" t="s">
        <v>148</v>
      </c>
    </row>
    <row r="82" spans="1:9" ht="15.75" customHeight="1">
      <c r="A82" s="84">
        <v>46024</v>
      </c>
      <c r="B82" s="45" t="s">
        <v>240</v>
      </c>
      <c r="C82" s="85">
        <v>1400</v>
      </c>
      <c r="D82" s="45" t="s">
        <v>162</v>
      </c>
      <c r="E82" s="45" t="s">
        <v>49</v>
      </c>
      <c r="F82" s="46"/>
      <c r="G82" s="46"/>
      <c r="H82" s="46" t="s">
        <v>241</v>
      </c>
      <c r="I82" s="45" t="s">
        <v>148</v>
      </c>
    </row>
    <row r="83" spans="1:9" ht="13.5" customHeight="1">
      <c r="A83" s="82">
        <v>46024</v>
      </c>
      <c r="B83" s="44" t="s">
        <v>242</v>
      </c>
      <c r="C83" s="83">
        <v>1600</v>
      </c>
      <c r="D83" s="44" t="s">
        <v>162</v>
      </c>
      <c r="E83" s="44" t="s">
        <v>49</v>
      </c>
      <c r="F83" s="44"/>
      <c r="G83" s="44"/>
      <c r="H83" s="44" t="s">
        <v>243</v>
      </c>
      <c r="I83" s="44" t="s">
        <v>148</v>
      </c>
    </row>
    <row r="84" spans="1:9" ht="15.75" customHeight="1">
      <c r="A84" s="84">
        <v>46024</v>
      </c>
      <c r="B84" s="45" t="s">
        <v>51</v>
      </c>
      <c r="C84" s="85">
        <v>1200</v>
      </c>
      <c r="D84" s="45" t="s">
        <v>162</v>
      </c>
      <c r="E84" s="45" t="s">
        <v>51</v>
      </c>
      <c r="F84" s="46"/>
      <c r="G84" s="46"/>
      <c r="H84" s="46" t="s">
        <v>244</v>
      </c>
      <c r="I84" s="45" t="s">
        <v>148</v>
      </c>
    </row>
    <row r="85" spans="1:9" ht="13.5" customHeight="1">
      <c r="A85" s="82">
        <v>46027</v>
      </c>
      <c r="B85" s="44" t="s">
        <v>245</v>
      </c>
      <c r="C85" s="83">
        <v>1250</v>
      </c>
      <c r="D85" s="44" t="s">
        <v>162</v>
      </c>
      <c r="E85" s="44" t="s">
        <v>49</v>
      </c>
      <c r="F85" s="44"/>
      <c r="G85" s="44"/>
      <c r="H85" s="44" t="s">
        <v>246</v>
      </c>
      <c r="I85" s="44" t="s">
        <v>148</v>
      </c>
    </row>
    <row r="86" spans="1:9" ht="13.5" customHeight="1">
      <c r="A86" s="82">
        <v>46028</v>
      </c>
      <c r="B86" s="44" t="s">
        <v>247</v>
      </c>
      <c r="C86" s="83">
        <v>1380</v>
      </c>
      <c r="D86" s="44" t="s">
        <v>162</v>
      </c>
      <c r="E86" s="44" t="s">
        <v>49</v>
      </c>
      <c r="F86" s="44"/>
      <c r="G86" s="44"/>
      <c r="H86" s="44" t="s">
        <v>248</v>
      </c>
      <c r="I86" s="44" t="s">
        <v>148</v>
      </c>
    </row>
    <row r="87" spans="1:9" ht="15.75" customHeight="1">
      <c r="A87" s="84">
        <v>46029</v>
      </c>
      <c r="B87" s="45" t="s">
        <v>249</v>
      </c>
      <c r="C87" s="85">
        <v>1380</v>
      </c>
      <c r="D87" s="45" t="s">
        <v>162</v>
      </c>
      <c r="E87" s="45" t="s">
        <v>49</v>
      </c>
      <c r="F87" s="46"/>
      <c r="G87" s="46"/>
      <c r="H87" s="46" t="s">
        <v>235</v>
      </c>
      <c r="I87" s="45" t="s">
        <v>148</v>
      </c>
    </row>
    <row r="88" spans="1:9" ht="13.5" customHeight="1">
      <c r="A88" s="82">
        <v>46032</v>
      </c>
      <c r="B88" s="44" t="s">
        <v>250</v>
      </c>
      <c r="C88" s="83">
        <v>1100</v>
      </c>
      <c r="D88" s="44" t="s">
        <v>162</v>
      </c>
      <c r="E88" s="44" t="s">
        <v>49</v>
      </c>
      <c r="F88" s="44"/>
      <c r="G88" s="44"/>
      <c r="H88" s="44" t="s">
        <v>251</v>
      </c>
      <c r="I88" s="44" t="s">
        <v>148</v>
      </c>
    </row>
    <row r="89" spans="1:9" ht="15.75" customHeight="1">
      <c r="A89" s="84">
        <v>46033</v>
      </c>
      <c r="B89" s="45" t="s">
        <v>252</v>
      </c>
      <c r="C89" s="85">
        <v>1380</v>
      </c>
      <c r="D89" s="45" t="s">
        <v>162</v>
      </c>
      <c r="E89" s="45" t="s">
        <v>49</v>
      </c>
      <c r="F89" s="46"/>
      <c r="G89" s="46"/>
      <c r="H89" s="46" t="s">
        <v>203</v>
      </c>
      <c r="I89" s="45" t="s">
        <v>148</v>
      </c>
    </row>
    <row r="90" spans="1:9" ht="13.5" customHeight="1">
      <c r="A90" s="82">
        <v>46033</v>
      </c>
      <c r="B90" s="44" t="s">
        <v>253</v>
      </c>
      <c r="C90" s="83">
        <v>1100</v>
      </c>
      <c r="D90" s="44" t="s">
        <v>162</v>
      </c>
      <c r="E90" s="44" t="s">
        <v>49</v>
      </c>
      <c r="F90" s="44"/>
      <c r="G90" s="44"/>
      <c r="H90" s="44" t="s">
        <v>251</v>
      </c>
      <c r="I90" s="44" t="s">
        <v>148</v>
      </c>
    </row>
    <row r="91" spans="1:9" ht="15.75" customHeight="1">
      <c r="A91" s="84">
        <v>46034</v>
      </c>
      <c r="B91" s="45" t="s">
        <v>254</v>
      </c>
      <c r="C91" s="85">
        <v>1100</v>
      </c>
      <c r="D91" s="45" t="s">
        <v>162</v>
      </c>
      <c r="E91" s="45" t="s">
        <v>49</v>
      </c>
      <c r="F91" s="46"/>
      <c r="G91" s="46"/>
      <c r="H91" s="46" t="s">
        <v>251</v>
      </c>
      <c r="I91" s="45" t="s">
        <v>148</v>
      </c>
    </row>
    <row r="92" spans="1:9" ht="27.75" customHeight="1">
      <c r="A92" s="82">
        <v>46034</v>
      </c>
      <c r="B92" s="44" t="s">
        <v>255</v>
      </c>
      <c r="C92" s="83">
        <v>3000</v>
      </c>
      <c r="D92" s="44" t="s">
        <v>150</v>
      </c>
      <c r="E92" s="44" t="s">
        <v>51</v>
      </c>
      <c r="F92" s="44"/>
      <c r="G92" s="44"/>
      <c r="H92" s="44" t="s">
        <v>256</v>
      </c>
      <c r="I92" s="44" t="s">
        <v>148</v>
      </c>
    </row>
    <row r="93" spans="1:9" ht="15.75" customHeight="1">
      <c r="A93" s="84">
        <v>46035</v>
      </c>
      <c r="B93" s="45" t="s">
        <v>257</v>
      </c>
      <c r="C93" s="85">
        <v>1450</v>
      </c>
      <c r="D93" s="45" t="s">
        <v>147</v>
      </c>
      <c r="E93" s="45" t="s">
        <v>49</v>
      </c>
      <c r="F93" s="46"/>
      <c r="G93" s="46"/>
      <c r="H93" s="46" t="s">
        <v>258</v>
      </c>
      <c r="I93" s="45" t="s">
        <v>148</v>
      </c>
    </row>
    <row r="94" spans="1:9" ht="13.5" customHeight="1">
      <c r="A94" s="82">
        <v>46036</v>
      </c>
      <c r="B94" s="44" t="s">
        <v>259</v>
      </c>
      <c r="C94" s="83">
        <v>1599</v>
      </c>
      <c r="D94" s="44" t="s">
        <v>162</v>
      </c>
      <c r="E94" s="44" t="s">
        <v>49</v>
      </c>
      <c r="F94" s="44"/>
      <c r="G94" s="44"/>
      <c r="H94" s="44" t="s">
        <v>260</v>
      </c>
      <c r="I94" s="44" t="s">
        <v>148</v>
      </c>
    </row>
    <row r="95" spans="1:9" ht="15.75" customHeight="1">
      <c r="A95" s="84">
        <v>46038</v>
      </c>
      <c r="B95" s="45" t="s">
        <v>261</v>
      </c>
      <c r="C95" s="85">
        <v>1100</v>
      </c>
      <c r="D95" s="45" t="s">
        <v>162</v>
      </c>
      <c r="E95" s="45" t="s">
        <v>49</v>
      </c>
      <c r="F95" s="46"/>
      <c r="G95" s="46"/>
      <c r="H95" s="46" t="s">
        <v>251</v>
      </c>
      <c r="I95" s="45" t="s">
        <v>148</v>
      </c>
    </row>
    <row r="96" spans="1:9" ht="13.5" customHeight="1">
      <c r="A96" s="82">
        <v>46038</v>
      </c>
      <c r="B96" s="44" t="s">
        <v>262</v>
      </c>
      <c r="C96" s="83">
        <v>1650</v>
      </c>
      <c r="D96" s="44" t="s">
        <v>162</v>
      </c>
      <c r="E96" s="44" t="s">
        <v>51</v>
      </c>
      <c r="F96" s="44"/>
      <c r="G96" s="44"/>
      <c r="H96" s="44" t="s">
        <v>263</v>
      </c>
      <c r="I96" s="44" t="s">
        <v>148</v>
      </c>
    </row>
    <row r="97" spans="1:9" ht="15.75" customHeight="1">
      <c r="A97" s="84">
        <v>46039</v>
      </c>
      <c r="B97" s="45" t="s">
        <v>264</v>
      </c>
      <c r="C97" s="85">
        <v>2300</v>
      </c>
      <c r="D97" s="45" t="s">
        <v>150</v>
      </c>
      <c r="E97" s="45" t="s">
        <v>51</v>
      </c>
      <c r="F97" s="46"/>
      <c r="G97" s="46"/>
      <c r="H97" s="46" t="s">
        <v>265</v>
      </c>
      <c r="I97" s="45" t="s">
        <v>148</v>
      </c>
    </row>
    <row r="98" spans="1:9" ht="13.5" customHeight="1">
      <c r="A98" s="82">
        <v>46040</v>
      </c>
      <c r="B98" s="44" t="s">
        <v>266</v>
      </c>
      <c r="C98" s="83">
        <v>1399</v>
      </c>
      <c r="D98" s="44" t="s">
        <v>162</v>
      </c>
      <c r="E98" s="44" t="s">
        <v>49</v>
      </c>
      <c r="F98" s="44"/>
      <c r="G98" s="44"/>
      <c r="H98" s="44" t="s">
        <v>267</v>
      </c>
      <c r="I98" s="44" t="s">
        <v>148</v>
      </c>
    </row>
    <row r="99" spans="1:9" ht="15.75" customHeight="1">
      <c r="A99" s="84">
        <v>46041</v>
      </c>
      <c r="B99" s="45" t="s">
        <v>268</v>
      </c>
      <c r="C99" s="85">
        <v>1100</v>
      </c>
      <c r="D99" s="45" t="s">
        <v>162</v>
      </c>
      <c r="E99" s="45" t="s">
        <v>49</v>
      </c>
      <c r="F99" s="46"/>
      <c r="G99" s="46"/>
      <c r="H99" s="46" t="s">
        <v>251</v>
      </c>
      <c r="I99" s="45" t="s">
        <v>148</v>
      </c>
    </row>
    <row r="100" spans="1:9" ht="13.5" customHeight="1">
      <c r="A100" s="82">
        <v>46042</v>
      </c>
      <c r="B100" s="44" t="s">
        <v>269</v>
      </c>
      <c r="C100" s="83">
        <v>1250</v>
      </c>
      <c r="D100" s="44" t="s">
        <v>162</v>
      </c>
      <c r="E100" s="44" t="s">
        <v>49</v>
      </c>
      <c r="F100" s="44"/>
      <c r="G100" s="44"/>
      <c r="H100" s="44" t="s">
        <v>270</v>
      </c>
      <c r="I100" s="44" t="s">
        <v>148</v>
      </c>
    </row>
    <row r="101" spans="1:9" ht="15.75" customHeight="1">
      <c r="A101" s="84">
        <v>46043</v>
      </c>
      <c r="B101" s="45" t="s">
        <v>271</v>
      </c>
      <c r="C101" s="85">
        <v>1380</v>
      </c>
      <c r="D101" s="45" t="s">
        <v>162</v>
      </c>
      <c r="E101" s="45" t="s">
        <v>49</v>
      </c>
      <c r="F101" s="46"/>
      <c r="G101" s="46"/>
      <c r="H101" s="46" t="s">
        <v>272</v>
      </c>
      <c r="I101" s="45" t="s">
        <v>148</v>
      </c>
    </row>
    <row r="102" spans="1:9" ht="13.5" customHeight="1">
      <c r="A102" s="82">
        <v>46046</v>
      </c>
      <c r="B102" s="44" t="s">
        <v>273</v>
      </c>
      <c r="C102" s="83">
        <v>950</v>
      </c>
      <c r="D102" s="44" t="s">
        <v>162</v>
      </c>
      <c r="E102" s="44" t="s">
        <v>49</v>
      </c>
      <c r="F102" s="44"/>
      <c r="G102" s="44"/>
      <c r="H102" s="44" t="s">
        <v>274</v>
      </c>
      <c r="I102" s="44" t="s">
        <v>148</v>
      </c>
    </row>
    <row r="103" spans="1:9" ht="13.5" customHeight="1">
      <c r="A103" s="84">
        <v>46048</v>
      </c>
      <c r="B103" s="45" t="s">
        <v>275</v>
      </c>
      <c r="C103" s="85">
        <v>1380</v>
      </c>
      <c r="D103" s="45" t="s">
        <v>162</v>
      </c>
      <c r="E103" s="45" t="s">
        <v>49</v>
      </c>
      <c r="F103" s="46"/>
      <c r="G103" s="46"/>
      <c r="H103" s="44" t="s">
        <v>248</v>
      </c>
      <c r="I103" s="45" t="s">
        <v>148</v>
      </c>
    </row>
    <row r="104" spans="1:9" ht="13.5" customHeight="1">
      <c r="A104" s="82">
        <v>46048</v>
      </c>
      <c r="B104" s="44" t="s">
        <v>276</v>
      </c>
      <c r="C104" s="83">
        <v>2700</v>
      </c>
      <c r="D104" s="44" t="s">
        <v>162</v>
      </c>
      <c r="E104" s="44" t="s">
        <v>49</v>
      </c>
      <c r="F104" s="44"/>
      <c r="G104" s="44"/>
      <c r="H104" s="44" t="s">
        <v>277</v>
      </c>
      <c r="I104" s="44" t="s">
        <v>148</v>
      </c>
    </row>
    <row r="105" spans="1:9" ht="15.75" customHeight="1">
      <c r="A105" s="84">
        <v>46049</v>
      </c>
      <c r="B105" s="45" t="s">
        <v>278</v>
      </c>
      <c r="C105" s="85">
        <v>1380</v>
      </c>
      <c r="D105" s="45" t="s">
        <v>162</v>
      </c>
      <c r="E105" s="45" t="s">
        <v>49</v>
      </c>
      <c r="F105" s="46"/>
      <c r="G105" s="46"/>
      <c r="H105" s="46" t="s">
        <v>235</v>
      </c>
      <c r="I105" s="45" t="s">
        <v>148</v>
      </c>
    </row>
    <row r="106" spans="1:9" ht="13.5" customHeight="1">
      <c r="A106" s="82">
        <v>46049</v>
      </c>
      <c r="B106" s="44" t="s">
        <v>279</v>
      </c>
      <c r="C106" s="83">
        <v>1380</v>
      </c>
      <c r="D106" s="44" t="s">
        <v>162</v>
      </c>
      <c r="E106" s="44" t="s">
        <v>49</v>
      </c>
      <c r="F106" s="44"/>
      <c r="G106" s="44"/>
      <c r="H106" s="44" t="s">
        <v>280</v>
      </c>
      <c r="I106" s="44" t="s">
        <v>148</v>
      </c>
    </row>
    <row r="107" spans="1:9" ht="15.75" customHeight="1">
      <c r="A107" s="84">
        <v>46049</v>
      </c>
      <c r="B107" s="45" t="s">
        <v>281</v>
      </c>
      <c r="C107" s="85">
        <v>1200</v>
      </c>
      <c r="D107" s="45" t="s">
        <v>162</v>
      </c>
      <c r="E107" s="45" t="s">
        <v>49</v>
      </c>
      <c r="F107" s="46"/>
      <c r="G107" s="46"/>
      <c r="H107" s="46" t="s">
        <v>282</v>
      </c>
      <c r="I107" s="45" t="s">
        <v>148</v>
      </c>
    </row>
    <row r="108" spans="1:9" ht="13.5" customHeight="1">
      <c r="A108" s="82">
        <v>46050</v>
      </c>
      <c r="B108" s="44" t="s">
        <v>283</v>
      </c>
      <c r="C108" s="83">
        <v>1250</v>
      </c>
      <c r="D108" s="44" t="s">
        <v>162</v>
      </c>
      <c r="E108" s="44" t="s">
        <v>49</v>
      </c>
      <c r="F108" s="44"/>
      <c r="G108" s="44"/>
      <c r="H108" s="44" t="s">
        <v>284</v>
      </c>
      <c r="I108" s="44" t="s">
        <v>148</v>
      </c>
    </row>
    <row r="109" spans="1:9" ht="15.75" customHeight="1">
      <c r="A109" s="84">
        <v>46051</v>
      </c>
      <c r="B109" s="45" t="s">
        <v>285</v>
      </c>
      <c r="C109" s="85">
        <v>1380</v>
      </c>
      <c r="D109" s="45" t="s">
        <v>162</v>
      </c>
      <c r="E109" s="45" t="s">
        <v>49</v>
      </c>
      <c r="F109" s="46"/>
      <c r="G109" s="46"/>
      <c r="H109" s="46" t="s">
        <v>248</v>
      </c>
      <c r="I109" s="45" t="s">
        <v>148</v>
      </c>
    </row>
    <row r="110" spans="1:9" ht="13.5" customHeight="1">
      <c r="A110" s="82">
        <v>46051</v>
      </c>
      <c r="B110" s="44" t="s">
        <v>286</v>
      </c>
      <c r="C110" s="83">
        <v>1380</v>
      </c>
      <c r="D110" s="44" t="s">
        <v>162</v>
      </c>
      <c r="E110" s="44" t="s">
        <v>49</v>
      </c>
      <c r="F110" s="44"/>
      <c r="G110" s="44"/>
      <c r="H110" s="44" t="s">
        <v>248</v>
      </c>
      <c r="I110" s="44" t="s">
        <v>148</v>
      </c>
    </row>
    <row r="111" spans="1:9" ht="15.75" customHeight="1">
      <c r="A111" s="84">
        <v>46051</v>
      </c>
      <c r="B111" s="45" t="s">
        <v>264</v>
      </c>
      <c r="C111" s="85">
        <v>580</v>
      </c>
      <c r="D111" s="45" t="s">
        <v>287</v>
      </c>
      <c r="E111" s="45" t="s">
        <v>51</v>
      </c>
      <c r="F111" s="46"/>
      <c r="G111" s="46"/>
      <c r="H111" s="46" t="s">
        <v>288</v>
      </c>
      <c r="I111" s="45" t="s">
        <v>148</v>
      </c>
    </row>
    <row r="112" spans="1:9" ht="27.75" customHeight="1">
      <c r="A112" s="82">
        <v>46054</v>
      </c>
      <c r="B112" s="44" t="s">
        <v>289</v>
      </c>
      <c r="C112" s="83">
        <v>1800</v>
      </c>
      <c r="D112" s="44" t="s">
        <v>162</v>
      </c>
      <c r="E112" s="44" t="s">
        <v>49</v>
      </c>
      <c r="F112" s="44"/>
      <c r="G112" s="44"/>
      <c r="H112" s="44" t="s">
        <v>290</v>
      </c>
      <c r="I112" s="44" t="s">
        <v>148</v>
      </c>
    </row>
    <row r="113" spans="1:9" ht="15.75" customHeight="1">
      <c r="A113" s="84">
        <v>46054</v>
      </c>
      <c r="B113" s="45" t="s">
        <v>291</v>
      </c>
      <c r="C113" s="85">
        <v>1550</v>
      </c>
      <c r="D113" s="45" t="s">
        <v>162</v>
      </c>
      <c r="E113" s="45" t="s">
        <v>49</v>
      </c>
      <c r="F113" s="46"/>
      <c r="G113" s="46"/>
      <c r="H113" s="46" t="s">
        <v>260</v>
      </c>
      <c r="I113" s="45" t="s">
        <v>148</v>
      </c>
    </row>
    <row r="114" spans="1:9" ht="13.5" customHeight="1">
      <c r="A114" s="82">
        <v>46055</v>
      </c>
      <c r="B114" s="44" t="s">
        <v>157</v>
      </c>
      <c r="C114" s="83">
        <v>1380</v>
      </c>
      <c r="D114" s="44" t="s">
        <v>162</v>
      </c>
      <c r="E114" s="44" t="s">
        <v>49</v>
      </c>
      <c r="F114" s="44"/>
      <c r="G114" s="44"/>
      <c r="H114" s="44" t="s">
        <v>235</v>
      </c>
      <c r="I114" s="44" t="s">
        <v>148</v>
      </c>
    </row>
    <row r="115" spans="1:9" ht="15.75" customHeight="1">
      <c r="A115" s="84">
        <v>46055</v>
      </c>
      <c r="B115" s="45" t="s">
        <v>170</v>
      </c>
      <c r="C115" s="85">
        <v>1380</v>
      </c>
      <c r="D115" s="45" t="s">
        <v>162</v>
      </c>
      <c r="E115" s="45" t="s">
        <v>49</v>
      </c>
      <c r="F115" s="46"/>
      <c r="G115" s="46"/>
      <c r="H115" s="46" t="s">
        <v>292</v>
      </c>
      <c r="I115" s="45" t="s">
        <v>148</v>
      </c>
    </row>
    <row r="116" spans="1:9" ht="13.5" customHeight="1">
      <c r="A116" s="82">
        <v>46060</v>
      </c>
      <c r="B116" s="44" t="s">
        <v>293</v>
      </c>
      <c r="C116" s="83">
        <v>1050</v>
      </c>
      <c r="D116" s="44" t="s">
        <v>162</v>
      </c>
      <c r="E116" s="44" t="s">
        <v>49</v>
      </c>
      <c r="F116" s="44"/>
      <c r="G116" s="44"/>
      <c r="H116" s="44" t="s">
        <v>294</v>
      </c>
      <c r="I116" s="44" t="s">
        <v>148</v>
      </c>
    </row>
    <row r="117" spans="1:9" ht="15.75" customHeight="1">
      <c r="A117" s="84">
        <v>46062</v>
      </c>
      <c r="B117" s="45" t="s">
        <v>295</v>
      </c>
      <c r="C117" s="85">
        <v>1000</v>
      </c>
      <c r="D117" s="45" t="s">
        <v>162</v>
      </c>
      <c r="E117" s="45" t="s">
        <v>49</v>
      </c>
      <c r="F117" s="46"/>
      <c r="G117" s="46"/>
      <c r="H117" s="46" t="s">
        <v>296</v>
      </c>
      <c r="I117" s="45" t="s">
        <v>148</v>
      </c>
    </row>
    <row r="118" spans="1:9" ht="13.5" customHeight="1">
      <c r="A118" s="82">
        <v>46065</v>
      </c>
      <c r="B118" s="44" t="s">
        <v>297</v>
      </c>
      <c r="C118" s="83">
        <v>799</v>
      </c>
      <c r="D118" s="44" t="s">
        <v>162</v>
      </c>
      <c r="E118" s="44" t="s">
        <v>49</v>
      </c>
      <c r="F118" s="44"/>
      <c r="G118" s="44"/>
      <c r="H118" s="44" t="s">
        <v>298</v>
      </c>
      <c r="I118" s="44" t="s">
        <v>148</v>
      </c>
    </row>
    <row r="119" spans="1:9" ht="15.75" customHeight="1">
      <c r="A119" s="84">
        <v>46055</v>
      </c>
      <c r="B119" s="45" t="s">
        <v>299</v>
      </c>
      <c r="C119" s="85">
        <v>500</v>
      </c>
      <c r="D119" s="45" t="s">
        <v>162</v>
      </c>
      <c r="E119" s="45" t="s">
        <v>49</v>
      </c>
      <c r="F119" s="46"/>
      <c r="G119" s="46"/>
      <c r="H119" s="46" t="s">
        <v>109</v>
      </c>
      <c r="I119" s="45" t="s">
        <v>148</v>
      </c>
    </row>
    <row r="120" spans="1:9" ht="27.75" customHeight="1">
      <c r="A120" s="82">
        <v>46070</v>
      </c>
      <c r="B120" s="44" t="s">
        <v>300</v>
      </c>
      <c r="C120" s="83">
        <v>1450</v>
      </c>
      <c r="D120" s="44" t="s">
        <v>301</v>
      </c>
      <c r="E120" s="44" t="s">
        <v>49</v>
      </c>
      <c r="F120" s="44"/>
      <c r="G120" s="44"/>
      <c r="H120" s="44" t="s">
        <v>302</v>
      </c>
      <c r="I120" s="44" t="s">
        <v>148</v>
      </c>
    </row>
    <row r="121" spans="1:9" ht="15.75" customHeight="1">
      <c r="A121" s="84">
        <v>46073</v>
      </c>
      <c r="B121" s="45" t="s">
        <v>183</v>
      </c>
      <c r="C121" s="85">
        <v>1200</v>
      </c>
      <c r="D121" s="45" t="s">
        <v>162</v>
      </c>
      <c r="E121" s="45" t="s">
        <v>49</v>
      </c>
      <c r="F121" s="46"/>
      <c r="G121" s="46"/>
      <c r="H121" s="46" t="s">
        <v>303</v>
      </c>
      <c r="I121" s="45" t="s">
        <v>148</v>
      </c>
    </row>
    <row r="122" spans="1:9" ht="13.5" customHeight="1">
      <c r="A122" s="82">
        <v>46074</v>
      </c>
      <c r="B122" s="44" t="s">
        <v>304</v>
      </c>
      <c r="C122" s="83">
        <v>1200</v>
      </c>
      <c r="D122" s="44" t="s">
        <v>162</v>
      </c>
      <c r="E122" s="44" t="s">
        <v>49</v>
      </c>
      <c r="F122" s="44"/>
      <c r="G122" s="44"/>
      <c r="H122" s="44" t="s">
        <v>305</v>
      </c>
      <c r="I122" s="44" t="s">
        <v>148</v>
      </c>
    </row>
    <row r="123" spans="1:9" ht="15.75" customHeight="1">
      <c r="A123" s="84">
        <v>46075</v>
      </c>
      <c r="B123" s="45" t="s">
        <v>306</v>
      </c>
      <c r="C123" s="85">
        <v>1380</v>
      </c>
      <c r="D123" s="45" t="s">
        <v>162</v>
      </c>
      <c r="E123" s="45" t="s">
        <v>49</v>
      </c>
      <c r="F123" s="46"/>
      <c r="G123" s="46"/>
      <c r="H123" s="46" t="s">
        <v>203</v>
      </c>
      <c r="I123" s="45" t="s">
        <v>148</v>
      </c>
    </row>
    <row r="124" spans="1:9" ht="13.5" customHeight="1">
      <c r="A124" s="82">
        <v>46075</v>
      </c>
      <c r="B124" s="44" t="s">
        <v>307</v>
      </c>
      <c r="C124" s="83">
        <v>2550</v>
      </c>
      <c r="D124" s="44" t="s">
        <v>162</v>
      </c>
      <c r="E124" s="44" t="s">
        <v>49</v>
      </c>
      <c r="F124" s="44"/>
      <c r="G124" s="44"/>
      <c r="H124" s="44" t="s">
        <v>308</v>
      </c>
      <c r="I124" s="44" t="s">
        <v>148</v>
      </c>
    </row>
    <row r="125" spans="1:9" ht="31.5" customHeight="1">
      <c r="A125" s="84">
        <v>46079</v>
      </c>
      <c r="B125" s="45" t="s">
        <v>153</v>
      </c>
      <c r="C125" s="85">
        <v>1350</v>
      </c>
      <c r="D125" s="45" t="s">
        <v>162</v>
      </c>
      <c r="E125" s="45" t="s">
        <v>49</v>
      </c>
      <c r="F125" s="46"/>
      <c r="G125" s="46"/>
      <c r="H125" s="46" t="s">
        <v>309</v>
      </c>
      <c r="I125" s="45" t="s">
        <v>148</v>
      </c>
    </row>
    <row r="126" spans="1:9" ht="13.5" customHeight="1">
      <c r="A126" s="82">
        <v>46079</v>
      </c>
      <c r="B126" s="44" t="s">
        <v>310</v>
      </c>
      <c r="C126" s="83">
        <v>500</v>
      </c>
      <c r="D126" s="44" t="s">
        <v>162</v>
      </c>
      <c r="E126" s="44" t="s">
        <v>49</v>
      </c>
      <c r="F126" s="44"/>
      <c r="G126" s="44"/>
      <c r="H126" s="44" t="s">
        <v>311</v>
      </c>
      <c r="I126" s="44" t="s">
        <v>148</v>
      </c>
    </row>
    <row r="127" spans="1:9" ht="13.5" customHeight="1">
      <c r="A127" s="84">
        <v>46090</v>
      </c>
      <c r="B127" s="45" t="s">
        <v>312</v>
      </c>
      <c r="C127" s="85">
        <v>850</v>
      </c>
      <c r="D127" s="45" t="s">
        <v>162</v>
      </c>
      <c r="E127" s="45" t="s">
        <v>49</v>
      </c>
      <c r="F127" s="46"/>
      <c r="G127" s="46"/>
      <c r="H127" s="45" t="s">
        <v>313</v>
      </c>
      <c r="I127" s="45" t="s">
        <v>148</v>
      </c>
    </row>
    <row r="128" spans="1:9" ht="13.5" customHeight="1">
      <c r="A128" s="82">
        <v>46090</v>
      </c>
      <c r="B128" s="44" t="s">
        <v>314</v>
      </c>
      <c r="C128" s="83">
        <v>1100</v>
      </c>
      <c r="D128" s="44" t="s">
        <v>162</v>
      </c>
      <c r="E128" s="44" t="s">
        <v>49</v>
      </c>
      <c r="F128" s="44"/>
      <c r="G128" s="44"/>
      <c r="H128" s="44" t="s">
        <v>315</v>
      </c>
      <c r="I128" s="44" t="s">
        <v>148</v>
      </c>
    </row>
    <row r="129" spans="1:9" ht="13.5" customHeight="1">
      <c r="A129" s="82">
        <v>46090</v>
      </c>
      <c r="B129" s="44" t="s">
        <v>316</v>
      </c>
      <c r="C129" s="83">
        <v>800</v>
      </c>
      <c r="D129" s="44" t="s">
        <v>162</v>
      </c>
      <c r="E129" s="44" t="s">
        <v>49</v>
      </c>
      <c r="F129" s="44"/>
      <c r="G129" s="44"/>
      <c r="H129" s="44" t="s">
        <v>317</v>
      </c>
      <c r="I129" s="44" t="s">
        <v>148</v>
      </c>
    </row>
    <row r="130" spans="1:9" ht="15.75" customHeight="1">
      <c r="A130" s="84">
        <v>46091</v>
      </c>
      <c r="B130" s="45" t="s">
        <v>318</v>
      </c>
      <c r="C130" s="85">
        <v>1099</v>
      </c>
      <c r="D130" s="45" t="s">
        <v>162</v>
      </c>
      <c r="E130" s="45" t="s">
        <v>49</v>
      </c>
      <c r="F130" s="46"/>
      <c r="G130" s="46"/>
      <c r="H130" s="46" t="s">
        <v>319</v>
      </c>
      <c r="I130" s="45" t="s">
        <v>148</v>
      </c>
    </row>
    <row r="131" spans="1:9" ht="13.5" customHeight="1">
      <c r="A131" s="82">
        <v>46092</v>
      </c>
      <c r="B131" s="44" t="s">
        <v>307</v>
      </c>
      <c r="C131" s="83">
        <v>1200</v>
      </c>
      <c r="D131" s="44" t="s">
        <v>162</v>
      </c>
      <c r="E131" s="44" t="s">
        <v>49</v>
      </c>
      <c r="F131" s="44"/>
      <c r="G131" s="44"/>
      <c r="H131" s="44" t="s">
        <v>320</v>
      </c>
      <c r="I131" s="44" t="s">
        <v>148</v>
      </c>
    </row>
    <row r="132" spans="1:9" ht="15.75" customHeight="1">
      <c r="A132" s="84">
        <v>46092</v>
      </c>
      <c r="B132" s="45" t="s">
        <v>321</v>
      </c>
      <c r="C132" s="85">
        <v>1099</v>
      </c>
      <c r="D132" s="45" t="s">
        <v>162</v>
      </c>
      <c r="E132" s="45" t="s">
        <v>49</v>
      </c>
      <c r="F132" s="46"/>
      <c r="G132" s="46"/>
      <c r="H132" s="46" t="s">
        <v>322</v>
      </c>
      <c r="I132" s="45" t="s">
        <v>148</v>
      </c>
    </row>
    <row r="133" spans="1:9" ht="27.75" customHeight="1">
      <c r="A133" s="82">
        <v>46093</v>
      </c>
      <c r="B133" s="44" t="s">
        <v>215</v>
      </c>
      <c r="C133" s="83">
        <v>550</v>
      </c>
      <c r="D133" s="44" t="s">
        <v>162</v>
      </c>
      <c r="E133" s="44" t="s">
        <v>49</v>
      </c>
      <c r="F133" s="44"/>
      <c r="G133" s="44"/>
      <c r="H133" s="44" t="s">
        <v>323</v>
      </c>
      <c r="I133" s="44" t="s">
        <v>148</v>
      </c>
    </row>
    <row r="134" spans="1:9" ht="15.75" customHeight="1">
      <c r="A134" s="84">
        <v>46093</v>
      </c>
      <c r="B134" s="45" t="s">
        <v>201</v>
      </c>
      <c r="C134" s="85">
        <v>650</v>
      </c>
      <c r="D134" s="45" t="s">
        <v>162</v>
      </c>
      <c r="E134" s="45" t="s">
        <v>49</v>
      </c>
      <c r="F134" s="46"/>
      <c r="G134" s="46"/>
      <c r="H134" s="46" t="s">
        <v>324</v>
      </c>
      <c r="I134" s="45" t="s">
        <v>148</v>
      </c>
    </row>
    <row r="135" spans="1:9" ht="13.5" customHeight="1">
      <c r="A135" s="82">
        <v>46097</v>
      </c>
      <c r="B135" s="44" t="s">
        <v>325</v>
      </c>
      <c r="C135" s="83">
        <v>1550</v>
      </c>
      <c r="D135" s="44" t="s">
        <v>162</v>
      </c>
      <c r="E135" s="44" t="s">
        <v>49</v>
      </c>
      <c r="F135" s="44"/>
      <c r="G135" s="44"/>
      <c r="H135" s="44" t="s">
        <v>326</v>
      </c>
      <c r="I135" s="44" t="s">
        <v>148</v>
      </c>
    </row>
    <row r="136" spans="1:9" ht="15.75" customHeight="1">
      <c r="A136" s="84">
        <v>46097</v>
      </c>
      <c r="B136" s="45" t="s">
        <v>327</v>
      </c>
      <c r="C136" s="85">
        <v>850</v>
      </c>
      <c r="D136" s="45" t="s">
        <v>162</v>
      </c>
      <c r="E136" s="45" t="s">
        <v>49</v>
      </c>
      <c r="F136" s="46"/>
      <c r="G136" s="46"/>
      <c r="H136" s="46" t="s">
        <v>328</v>
      </c>
      <c r="I136" s="45" t="s">
        <v>148</v>
      </c>
    </row>
    <row r="137" spans="1:9" ht="13.5" customHeight="1">
      <c r="A137" s="82">
        <v>46100</v>
      </c>
      <c r="B137" s="44" t="s">
        <v>329</v>
      </c>
      <c r="C137" s="83">
        <v>1200</v>
      </c>
      <c r="D137" s="44" t="s">
        <v>162</v>
      </c>
      <c r="E137" s="44" t="s">
        <v>49</v>
      </c>
      <c r="F137" s="44"/>
      <c r="G137" s="44"/>
      <c r="H137" s="44" t="s">
        <v>114</v>
      </c>
      <c r="I137" s="44" t="s">
        <v>148</v>
      </c>
    </row>
    <row r="138" spans="1:9" ht="15.75" customHeight="1">
      <c r="A138" s="84">
        <v>46104</v>
      </c>
      <c r="B138" s="45" t="s">
        <v>226</v>
      </c>
      <c r="C138" s="85">
        <v>1800</v>
      </c>
      <c r="D138" s="45" t="s">
        <v>150</v>
      </c>
      <c r="E138" s="45" t="s">
        <v>50</v>
      </c>
      <c r="F138" s="46"/>
      <c r="G138" s="46"/>
      <c r="H138" s="46" t="s">
        <v>330</v>
      </c>
      <c r="I138" s="45" t="s">
        <v>148</v>
      </c>
    </row>
    <row r="139" spans="1:9" ht="27.75" customHeight="1">
      <c r="A139" s="82">
        <v>46105</v>
      </c>
      <c r="B139" s="44" t="s">
        <v>146</v>
      </c>
      <c r="C139" s="83">
        <v>3500</v>
      </c>
      <c r="D139" s="44" t="s">
        <v>162</v>
      </c>
      <c r="E139" s="44" t="s">
        <v>49</v>
      </c>
      <c r="F139" s="44"/>
      <c r="G139" s="44"/>
      <c r="H139" s="44" t="s">
        <v>331</v>
      </c>
      <c r="I139" s="44" t="s">
        <v>148</v>
      </c>
    </row>
    <row r="140" spans="1:9" ht="31.5" customHeight="1">
      <c r="A140" s="84">
        <v>46113</v>
      </c>
      <c r="B140" s="45" t="s">
        <v>332</v>
      </c>
      <c r="C140" s="85">
        <v>3000</v>
      </c>
      <c r="D140" s="45" t="s">
        <v>150</v>
      </c>
      <c r="E140" s="45" t="s">
        <v>49</v>
      </c>
      <c r="F140" s="46"/>
      <c r="G140" s="46"/>
      <c r="H140" s="46" t="s">
        <v>333</v>
      </c>
      <c r="I140" s="45" t="s">
        <v>148</v>
      </c>
    </row>
    <row r="141" spans="1:9" ht="13.5" customHeight="1">
      <c r="A141" s="82">
        <v>46118</v>
      </c>
      <c r="B141" s="44" t="s">
        <v>146</v>
      </c>
      <c r="C141" s="83">
        <v>1450</v>
      </c>
      <c r="D141" s="44" t="s">
        <v>162</v>
      </c>
      <c r="E141" s="44" t="s">
        <v>49</v>
      </c>
      <c r="F141" s="44"/>
      <c r="G141" s="44"/>
      <c r="H141" s="44" t="s">
        <v>334</v>
      </c>
      <c r="I141" s="44" t="s">
        <v>148</v>
      </c>
    </row>
    <row r="142" spans="1:9" ht="15.75" customHeight="1">
      <c r="A142" s="84">
        <v>46119</v>
      </c>
      <c r="B142" s="45" t="s">
        <v>335</v>
      </c>
      <c r="C142" s="85">
        <v>1200</v>
      </c>
      <c r="D142" s="45" t="s">
        <v>162</v>
      </c>
      <c r="E142" s="45" t="s">
        <v>49</v>
      </c>
      <c r="F142" s="46"/>
      <c r="G142" s="46"/>
      <c r="H142" s="46" t="s">
        <v>336</v>
      </c>
      <c r="I142" s="45" t="s">
        <v>148</v>
      </c>
    </row>
    <row r="143" spans="1:9" ht="13.5" customHeight="1">
      <c r="A143" s="82">
        <v>46120</v>
      </c>
      <c r="B143" s="44" t="s">
        <v>337</v>
      </c>
      <c r="C143" s="83">
        <v>1200</v>
      </c>
      <c r="D143" s="44" t="s">
        <v>162</v>
      </c>
      <c r="E143" s="44" t="s">
        <v>49</v>
      </c>
      <c r="F143" s="44"/>
      <c r="G143" s="44"/>
      <c r="H143" s="44" t="s">
        <v>338</v>
      </c>
      <c r="I143" s="44" t="s">
        <v>148</v>
      </c>
    </row>
    <row r="144" spans="1:9" ht="15.75" customHeight="1">
      <c r="A144" s="84">
        <v>46120</v>
      </c>
      <c r="B144" s="45" t="s">
        <v>339</v>
      </c>
      <c r="C144" s="85">
        <v>1500</v>
      </c>
      <c r="D144" s="45" t="s">
        <v>162</v>
      </c>
      <c r="E144" s="45" t="s">
        <v>49</v>
      </c>
      <c r="F144" s="46"/>
      <c r="G144" s="46"/>
      <c r="H144" s="46" t="s">
        <v>340</v>
      </c>
      <c r="I144" s="45" t="s">
        <v>148</v>
      </c>
    </row>
    <row r="145" spans="1:9" ht="13.5" customHeight="1">
      <c r="A145" s="82">
        <v>46120</v>
      </c>
      <c r="B145" s="44" t="s">
        <v>49</v>
      </c>
      <c r="C145" s="83">
        <v>730</v>
      </c>
      <c r="D145" s="44" t="s">
        <v>150</v>
      </c>
      <c r="E145" s="44" t="s">
        <v>49</v>
      </c>
      <c r="F145" s="44"/>
      <c r="G145" s="44"/>
      <c r="H145" s="44" t="s">
        <v>341</v>
      </c>
      <c r="I145" s="44" t="s">
        <v>148</v>
      </c>
    </row>
    <row r="146" spans="1:9" ht="31.5" customHeight="1">
      <c r="A146" s="84">
        <v>46122</v>
      </c>
      <c r="B146" s="45" t="s">
        <v>307</v>
      </c>
      <c r="C146" s="85">
        <v>950</v>
      </c>
      <c r="D146" s="45" t="s">
        <v>162</v>
      </c>
      <c r="E146" s="45" t="s">
        <v>49</v>
      </c>
      <c r="F146" s="46"/>
      <c r="G146" s="46"/>
      <c r="H146" s="46" t="s">
        <v>342</v>
      </c>
      <c r="I146" s="45" t="s">
        <v>148</v>
      </c>
    </row>
    <row r="147" spans="1:9" ht="13.5" customHeight="1">
      <c r="A147" s="82">
        <v>46122</v>
      </c>
      <c r="B147" s="44" t="s">
        <v>343</v>
      </c>
      <c r="C147" s="83">
        <v>650</v>
      </c>
      <c r="D147" s="44" t="s">
        <v>162</v>
      </c>
      <c r="E147" s="44" t="s">
        <v>49</v>
      </c>
      <c r="F147" s="44"/>
      <c r="G147" s="44"/>
      <c r="H147" s="44" t="s">
        <v>344</v>
      </c>
      <c r="I147" s="44" t="s">
        <v>148</v>
      </c>
    </row>
    <row r="148" spans="1:9" ht="15.75" customHeight="1">
      <c r="A148" s="84">
        <v>46122</v>
      </c>
      <c r="B148" s="45" t="s">
        <v>345</v>
      </c>
      <c r="C148" s="85">
        <v>500</v>
      </c>
      <c r="D148" s="45" t="s">
        <v>150</v>
      </c>
      <c r="E148" s="45" t="s">
        <v>49</v>
      </c>
      <c r="F148" s="46"/>
      <c r="G148" s="46"/>
      <c r="H148" s="46" t="s">
        <v>346</v>
      </c>
      <c r="I148" s="45" t="s">
        <v>148</v>
      </c>
    </row>
    <row r="149" spans="1:9" ht="13.5" customHeight="1">
      <c r="A149" s="82">
        <v>46122</v>
      </c>
      <c r="B149" s="44" t="s">
        <v>153</v>
      </c>
      <c r="C149" s="83">
        <v>1200</v>
      </c>
      <c r="D149" s="44" t="s">
        <v>162</v>
      </c>
      <c r="E149" s="44" t="s">
        <v>49</v>
      </c>
      <c r="F149" s="44"/>
      <c r="G149" s="44"/>
      <c r="H149" s="44" t="s">
        <v>347</v>
      </c>
      <c r="I149" s="44" t="s">
        <v>148</v>
      </c>
    </row>
    <row r="150" spans="1:9" ht="15.75" customHeight="1">
      <c r="A150" s="84">
        <v>46125</v>
      </c>
      <c r="B150" s="45" t="s">
        <v>218</v>
      </c>
      <c r="C150" s="85">
        <v>1100</v>
      </c>
      <c r="D150" s="45" t="s">
        <v>162</v>
      </c>
      <c r="E150" s="45" t="s">
        <v>49</v>
      </c>
      <c r="F150" s="46"/>
      <c r="G150" s="46"/>
      <c r="H150" s="46" t="s">
        <v>348</v>
      </c>
      <c r="I150" s="45" t="s">
        <v>148</v>
      </c>
    </row>
    <row r="151" spans="1:9" ht="13.5" customHeight="1">
      <c r="A151" s="82">
        <v>46125</v>
      </c>
      <c r="B151" s="44" t="s">
        <v>349</v>
      </c>
      <c r="C151" s="83">
        <v>1200</v>
      </c>
      <c r="D151" s="44" t="s">
        <v>162</v>
      </c>
      <c r="E151" s="44" t="s">
        <v>49</v>
      </c>
      <c r="F151" s="44"/>
      <c r="G151" s="44"/>
      <c r="H151" s="44" t="s">
        <v>350</v>
      </c>
      <c r="I151" s="44" t="s">
        <v>148</v>
      </c>
    </row>
    <row r="152" spans="1:9" ht="15.75" customHeight="1">
      <c r="A152" s="84">
        <v>46125</v>
      </c>
      <c r="B152" s="45" t="s">
        <v>173</v>
      </c>
      <c r="C152" s="85">
        <v>980</v>
      </c>
      <c r="D152" s="45" t="s">
        <v>162</v>
      </c>
      <c r="E152" s="45" t="s">
        <v>49</v>
      </c>
      <c r="F152" s="46"/>
      <c r="G152" s="46"/>
      <c r="H152" s="46" t="s">
        <v>341</v>
      </c>
      <c r="I152" s="45" t="s">
        <v>148</v>
      </c>
    </row>
    <row r="153" spans="1:9" ht="13.5" customHeight="1">
      <c r="A153" s="82">
        <v>46125</v>
      </c>
      <c r="B153" s="44" t="s">
        <v>186</v>
      </c>
      <c r="C153" s="83">
        <v>980</v>
      </c>
      <c r="D153" s="44" t="s">
        <v>162</v>
      </c>
      <c r="E153" s="44" t="s">
        <v>49</v>
      </c>
      <c r="F153" s="44"/>
      <c r="G153" s="44"/>
      <c r="H153" s="44" t="s">
        <v>341</v>
      </c>
      <c r="I153" s="44" t="s">
        <v>148</v>
      </c>
    </row>
    <row r="154" spans="1:9" ht="15.75" customHeight="1">
      <c r="A154" s="84">
        <v>46126</v>
      </c>
      <c r="B154" s="45" t="s">
        <v>199</v>
      </c>
      <c r="C154" s="85">
        <v>2000</v>
      </c>
      <c r="D154" s="45" t="s">
        <v>150</v>
      </c>
      <c r="E154" s="45" t="s">
        <v>49</v>
      </c>
      <c r="F154" s="46"/>
      <c r="G154" s="46"/>
      <c r="H154" s="46" t="s">
        <v>351</v>
      </c>
      <c r="I154" s="45" t="s">
        <v>148</v>
      </c>
    </row>
    <row r="155" spans="1:9" ht="13.5" customHeight="1">
      <c r="A155" s="82">
        <v>46127</v>
      </c>
      <c r="B155" s="44" t="s">
        <v>352</v>
      </c>
      <c r="C155" s="83">
        <v>1299</v>
      </c>
      <c r="D155" s="44" t="s">
        <v>162</v>
      </c>
      <c r="E155" s="44" t="s">
        <v>49</v>
      </c>
      <c r="F155" s="44"/>
      <c r="G155" s="44"/>
      <c r="H155" s="44" t="s">
        <v>353</v>
      </c>
      <c r="I155" s="44" t="s">
        <v>148</v>
      </c>
    </row>
    <row r="156" spans="1:9" ht="15.75" customHeight="1">
      <c r="A156" s="84">
        <v>46129</v>
      </c>
      <c r="B156" s="45" t="s">
        <v>354</v>
      </c>
      <c r="C156" s="85">
        <v>980</v>
      </c>
      <c r="D156" s="45" t="s">
        <v>162</v>
      </c>
      <c r="E156" s="45" t="s">
        <v>49</v>
      </c>
      <c r="F156" s="46"/>
      <c r="G156" s="46"/>
      <c r="H156" s="46" t="s">
        <v>341</v>
      </c>
      <c r="I156" s="45" t="s">
        <v>148</v>
      </c>
    </row>
    <row r="157" spans="1:9" ht="13.5" customHeight="1">
      <c r="A157" s="82">
        <v>46129</v>
      </c>
      <c r="B157" s="44" t="s">
        <v>355</v>
      </c>
      <c r="C157" s="83">
        <v>980</v>
      </c>
      <c r="D157" s="44" t="s">
        <v>162</v>
      </c>
      <c r="E157" s="44" t="s">
        <v>49</v>
      </c>
      <c r="F157" s="44"/>
      <c r="G157" s="44"/>
      <c r="H157" s="44" t="s">
        <v>341</v>
      </c>
      <c r="I157" s="44" t="s">
        <v>148</v>
      </c>
    </row>
    <row r="158" spans="1:9" ht="15.75" customHeight="1">
      <c r="A158" s="84">
        <v>46129</v>
      </c>
      <c r="B158" s="45" t="s">
        <v>187</v>
      </c>
      <c r="C158" s="85">
        <v>980</v>
      </c>
      <c r="D158" s="45" t="s">
        <v>301</v>
      </c>
      <c r="E158" s="45" t="s">
        <v>49</v>
      </c>
      <c r="F158" s="46"/>
      <c r="G158" s="46"/>
      <c r="H158" s="46" t="s">
        <v>341</v>
      </c>
      <c r="I158" s="45" t="s">
        <v>148</v>
      </c>
    </row>
    <row r="159" spans="1:9" ht="13.5" customHeight="1">
      <c r="A159" s="82">
        <v>46130</v>
      </c>
      <c r="B159" s="44" t="s">
        <v>357</v>
      </c>
      <c r="C159" s="83">
        <v>1280</v>
      </c>
      <c r="D159" s="44" t="s">
        <v>162</v>
      </c>
      <c r="E159" s="44" t="s">
        <v>49</v>
      </c>
      <c r="F159" s="44"/>
      <c r="G159" s="44"/>
      <c r="H159" s="44" t="s">
        <v>358</v>
      </c>
      <c r="I159" s="44" t="s">
        <v>148</v>
      </c>
    </row>
    <row r="160" spans="1:9" ht="15.75" customHeight="1">
      <c r="A160" s="84">
        <v>46131</v>
      </c>
      <c r="B160" s="45" t="s">
        <v>359</v>
      </c>
      <c r="C160" s="85">
        <v>1000</v>
      </c>
      <c r="D160" s="45" t="s">
        <v>162</v>
      </c>
      <c r="E160" s="45" t="s">
        <v>49</v>
      </c>
      <c r="F160" s="46"/>
      <c r="G160" s="46"/>
      <c r="H160" s="46" t="s">
        <v>360</v>
      </c>
      <c r="I160" s="45" t="s">
        <v>148</v>
      </c>
    </row>
    <row r="161" spans="1:9" ht="13.5" customHeight="1">
      <c r="A161" s="82">
        <v>46132</v>
      </c>
      <c r="B161" s="44" t="s">
        <v>361</v>
      </c>
      <c r="C161" s="83">
        <v>1100</v>
      </c>
      <c r="D161" s="44" t="s">
        <v>162</v>
      </c>
      <c r="E161" s="44" t="s">
        <v>49</v>
      </c>
      <c r="F161" s="44"/>
      <c r="G161" s="44"/>
      <c r="H161" s="44" t="s">
        <v>362</v>
      </c>
      <c r="I161" s="44" t="s">
        <v>148</v>
      </c>
    </row>
    <row r="162" spans="1:9" ht="42" customHeight="1">
      <c r="A162" s="84">
        <v>46132</v>
      </c>
      <c r="B162" s="45" t="s">
        <v>161</v>
      </c>
      <c r="C162" s="85">
        <v>5880</v>
      </c>
      <c r="D162" s="45" t="s">
        <v>162</v>
      </c>
      <c r="E162" s="45" t="s">
        <v>49</v>
      </c>
      <c r="F162" s="46"/>
      <c r="G162" s="46"/>
      <c r="H162" s="46" t="s">
        <v>363</v>
      </c>
      <c r="I162" s="45" t="s">
        <v>148</v>
      </c>
    </row>
    <row r="163" spans="1:9" ht="13.5" customHeight="1">
      <c r="A163" s="82">
        <v>46133</v>
      </c>
      <c r="B163" s="44" t="s">
        <v>364</v>
      </c>
      <c r="C163" s="83">
        <v>1350</v>
      </c>
      <c r="D163" s="44" t="s">
        <v>162</v>
      </c>
      <c r="E163" s="44" t="s">
        <v>49</v>
      </c>
      <c r="F163" s="44"/>
      <c r="G163" s="44"/>
      <c r="H163" s="44" t="s">
        <v>365</v>
      </c>
      <c r="I163" s="44" t="s">
        <v>148</v>
      </c>
    </row>
    <row r="164" spans="1:9" ht="13.5" customHeight="1">
      <c r="A164" s="84">
        <v>46133</v>
      </c>
      <c r="B164" s="45" t="s">
        <v>215</v>
      </c>
      <c r="C164" s="85">
        <v>1000</v>
      </c>
      <c r="D164" s="45" t="s">
        <v>162</v>
      </c>
      <c r="E164" s="45" t="s">
        <v>49</v>
      </c>
      <c r="F164" s="46"/>
      <c r="G164" s="46"/>
      <c r="H164" s="46" t="s">
        <v>366</v>
      </c>
      <c r="I164" s="45" t="s">
        <v>148</v>
      </c>
    </row>
    <row r="165" spans="1:9" ht="13.5" customHeight="1">
      <c r="A165" s="82">
        <v>46133</v>
      </c>
      <c r="B165" s="44" t="s">
        <v>164</v>
      </c>
      <c r="C165" s="83">
        <v>1200</v>
      </c>
      <c r="D165" s="44" t="s">
        <v>162</v>
      </c>
      <c r="E165" s="44" t="s">
        <v>49</v>
      </c>
      <c r="F165" s="44"/>
      <c r="G165" s="44"/>
      <c r="H165" s="44" t="s">
        <v>367</v>
      </c>
      <c r="I165" s="44" t="s">
        <v>148</v>
      </c>
    </row>
    <row r="166" spans="1:9" ht="13.5" customHeight="1">
      <c r="A166" s="84">
        <v>46134</v>
      </c>
      <c r="B166" s="45" t="s">
        <v>368</v>
      </c>
      <c r="C166" s="85">
        <v>1280</v>
      </c>
      <c r="D166" s="45" t="s">
        <v>162</v>
      </c>
      <c r="E166" s="45" t="s">
        <v>49</v>
      </c>
      <c r="F166" s="46"/>
      <c r="G166" s="46"/>
      <c r="H166" s="46" t="s">
        <v>369</v>
      </c>
      <c r="I166" s="45" t="s">
        <v>148</v>
      </c>
    </row>
    <row r="167" spans="1:9" ht="13.5" customHeight="1">
      <c r="A167" s="82">
        <v>46134</v>
      </c>
      <c r="B167" s="44" t="s">
        <v>191</v>
      </c>
      <c r="C167" s="83">
        <v>1100</v>
      </c>
      <c r="D167" s="44" t="s">
        <v>162</v>
      </c>
      <c r="E167" s="44" t="s">
        <v>49</v>
      </c>
      <c r="F167" s="44"/>
      <c r="G167" s="44"/>
      <c r="H167" s="44" t="s">
        <v>370</v>
      </c>
      <c r="I167" s="44" t="s">
        <v>148</v>
      </c>
    </row>
    <row r="168" spans="1:9" ht="13.5" customHeight="1">
      <c r="A168" s="82">
        <v>46134</v>
      </c>
      <c r="B168" s="44" t="s">
        <v>355</v>
      </c>
      <c r="C168" s="83">
        <v>950</v>
      </c>
      <c r="D168" s="44" t="s">
        <v>162</v>
      </c>
      <c r="E168" s="44" t="s">
        <v>49</v>
      </c>
      <c r="F168" s="44"/>
      <c r="G168" s="44"/>
      <c r="H168" s="44" t="s">
        <v>371</v>
      </c>
      <c r="I168" s="44" t="s">
        <v>148</v>
      </c>
    </row>
    <row r="169" spans="1:9" ht="13.5" customHeight="1">
      <c r="A169" s="84">
        <v>46134</v>
      </c>
      <c r="B169" s="45" t="s">
        <v>177</v>
      </c>
      <c r="C169" s="85">
        <v>650</v>
      </c>
      <c r="D169" s="45" t="s">
        <v>162</v>
      </c>
      <c r="E169" s="45" t="s">
        <v>49</v>
      </c>
      <c r="F169" s="46"/>
      <c r="G169" s="46"/>
      <c r="H169" s="46" t="s">
        <v>372</v>
      </c>
      <c r="I169" s="45" t="s">
        <v>148</v>
      </c>
    </row>
    <row r="170" spans="1:9" ht="13.5" customHeight="1">
      <c r="A170" s="82">
        <v>46134</v>
      </c>
      <c r="B170" s="44" t="s">
        <v>373</v>
      </c>
      <c r="C170" s="83">
        <v>650</v>
      </c>
      <c r="D170" s="44" t="s">
        <v>162</v>
      </c>
      <c r="E170" s="44" t="s">
        <v>49</v>
      </c>
      <c r="F170" s="44"/>
      <c r="G170" s="44"/>
      <c r="H170" s="44" t="s">
        <v>374</v>
      </c>
      <c r="I170" s="44" t="s">
        <v>148</v>
      </c>
    </row>
    <row r="171" spans="1:9" ht="13.5" customHeight="1">
      <c r="A171" s="84">
        <v>46136</v>
      </c>
      <c r="B171" s="45" t="s">
        <v>214</v>
      </c>
      <c r="C171" s="85">
        <v>680</v>
      </c>
      <c r="D171" s="45" t="s">
        <v>162</v>
      </c>
      <c r="E171" s="45" t="s">
        <v>49</v>
      </c>
      <c r="F171" s="46"/>
      <c r="G171" s="46"/>
      <c r="H171" s="46" t="s">
        <v>372</v>
      </c>
      <c r="I171" s="45" t="s">
        <v>148</v>
      </c>
    </row>
    <row r="172" spans="1:9" ht="13.5" customHeight="1">
      <c r="A172" s="82">
        <v>46138</v>
      </c>
      <c r="B172" s="44" t="s">
        <v>375</v>
      </c>
      <c r="C172" s="83">
        <v>690</v>
      </c>
      <c r="D172" s="44" t="s">
        <v>162</v>
      </c>
      <c r="E172" s="44" t="s">
        <v>49</v>
      </c>
      <c r="F172" s="44"/>
      <c r="G172" s="44"/>
      <c r="H172" s="44" t="s">
        <v>376</v>
      </c>
      <c r="I172" s="44" t="s">
        <v>148</v>
      </c>
    </row>
    <row r="173" spans="1:9" ht="13.5" customHeight="1">
      <c r="A173" s="84">
        <v>46138</v>
      </c>
      <c r="B173" s="45" t="s">
        <v>377</v>
      </c>
      <c r="C173" s="85">
        <v>1099</v>
      </c>
      <c r="D173" s="45" t="s">
        <v>162</v>
      </c>
      <c r="E173" s="45" t="s">
        <v>49</v>
      </c>
      <c r="F173" s="46"/>
      <c r="G173" s="46"/>
      <c r="H173" s="46" t="s">
        <v>378</v>
      </c>
      <c r="I173" s="45" t="s">
        <v>148</v>
      </c>
    </row>
    <row r="174" spans="1:9" ht="13.5" customHeight="1">
      <c r="A174" s="82">
        <v>46139</v>
      </c>
      <c r="B174" s="44" t="s">
        <v>379</v>
      </c>
      <c r="C174" s="83">
        <v>690</v>
      </c>
      <c r="D174" s="44" t="s">
        <v>162</v>
      </c>
      <c r="E174" s="44" t="s">
        <v>49</v>
      </c>
      <c r="F174" s="44"/>
      <c r="G174" s="44"/>
      <c r="H174" s="44" t="s">
        <v>380</v>
      </c>
      <c r="I174" s="44" t="s">
        <v>148</v>
      </c>
    </row>
    <row r="175" spans="1:9" ht="13.5" customHeight="1">
      <c r="A175" s="84">
        <v>46139</v>
      </c>
      <c r="B175" s="45" t="s">
        <v>381</v>
      </c>
      <c r="C175" s="85">
        <v>690</v>
      </c>
      <c r="D175" s="45" t="s">
        <v>162</v>
      </c>
      <c r="E175" s="45" t="s">
        <v>49</v>
      </c>
      <c r="F175" s="46"/>
      <c r="G175" s="46"/>
      <c r="H175" s="46" t="s">
        <v>376</v>
      </c>
      <c r="I175" s="45" t="s">
        <v>148</v>
      </c>
    </row>
    <row r="176" spans="1:9" ht="13.5" customHeight="1">
      <c r="A176" s="82">
        <v>46139</v>
      </c>
      <c r="B176" s="44" t="s">
        <v>382</v>
      </c>
      <c r="C176" s="83">
        <v>690</v>
      </c>
      <c r="D176" s="44" t="s">
        <v>162</v>
      </c>
      <c r="E176" s="44" t="s">
        <v>49</v>
      </c>
      <c r="F176" s="44"/>
      <c r="G176" s="44"/>
      <c r="H176" s="44" t="s">
        <v>383</v>
      </c>
      <c r="I176" s="44" t="s">
        <v>148</v>
      </c>
    </row>
    <row r="177" spans="1:9" ht="13.5" customHeight="1">
      <c r="A177" s="84">
        <v>46140</v>
      </c>
      <c r="B177" s="45" t="s">
        <v>384</v>
      </c>
      <c r="C177" s="85">
        <v>1380</v>
      </c>
      <c r="D177" s="45" t="s">
        <v>162</v>
      </c>
      <c r="E177" s="45" t="s">
        <v>49</v>
      </c>
      <c r="F177" s="46"/>
      <c r="G177" s="46"/>
      <c r="H177" s="46" t="s">
        <v>385</v>
      </c>
      <c r="I177" s="45" t="s">
        <v>148</v>
      </c>
    </row>
    <row r="178" spans="1:9" ht="13.5" customHeight="1">
      <c r="A178" s="82">
        <v>46140</v>
      </c>
      <c r="B178" s="44" t="s">
        <v>186</v>
      </c>
      <c r="C178" s="83">
        <v>1480</v>
      </c>
      <c r="D178" s="44" t="s">
        <v>162</v>
      </c>
      <c r="E178" s="44" t="s">
        <v>49</v>
      </c>
      <c r="F178" s="44"/>
      <c r="G178" s="44"/>
      <c r="H178" s="44" t="s">
        <v>386</v>
      </c>
      <c r="I178" s="44" t="s">
        <v>148</v>
      </c>
    </row>
    <row r="179" spans="1:9" ht="13.5" customHeight="1">
      <c r="A179" s="84">
        <v>46140</v>
      </c>
      <c r="B179" s="45" t="s">
        <v>387</v>
      </c>
      <c r="C179" s="85">
        <v>1200</v>
      </c>
      <c r="D179" s="45" t="s">
        <v>162</v>
      </c>
      <c r="E179" s="45" t="s">
        <v>49</v>
      </c>
      <c r="F179" s="46"/>
      <c r="G179" s="46"/>
      <c r="H179" s="46" t="s">
        <v>388</v>
      </c>
      <c r="I179" s="45" t="s">
        <v>148</v>
      </c>
    </row>
    <row r="180" spans="1:9" ht="13.5" customHeight="1">
      <c r="A180" s="82">
        <v>46140</v>
      </c>
      <c r="B180" s="44" t="s">
        <v>389</v>
      </c>
      <c r="C180" s="83">
        <v>1200</v>
      </c>
      <c r="D180" s="44" t="s">
        <v>162</v>
      </c>
      <c r="E180" s="44" t="s">
        <v>49</v>
      </c>
      <c r="F180" s="44"/>
      <c r="G180" s="44"/>
      <c r="H180" s="44" t="s">
        <v>390</v>
      </c>
      <c r="I180" s="44" t="s">
        <v>148</v>
      </c>
    </row>
    <row r="181" spans="1:9" ht="13.5" customHeight="1">
      <c r="A181" s="84">
        <v>46141</v>
      </c>
      <c r="B181" s="45" t="s">
        <v>391</v>
      </c>
      <c r="C181" s="85">
        <v>1380</v>
      </c>
      <c r="D181" s="45" t="s">
        <v>162</v>
      </c>
      <c r="E181" s="45" t="s">
        <v>49</v>
      </c>
      <c r="F181" s="46"/>
      <c r="G181" s="46"/>
      <c r="H181" s="46" t="s">
        <v>392</v>
      </c>
      <c r="I181" s="45" t="s">
        <v>148</v>
      </c>
    </row>
    <row r="182" spans="1:9" ht="13.5" customHeight="1">
      <c r="A182" s="82">
        <v>46141</v>
      </c>
      <c r="B182" s="44" t="s">
        <v>393</v>
      </c>
      <c r="C182" s="83">
        <v>690</v>
      </c>
      <c r="D182" s="44" t="s">
        <v>162</v>
      </c>
      <c r="E182" s="44" t="s">
        <v>49</v>
      </c>
      <c r="F182" s="44"/>
      <c r="G182" s="44"/>
      <c r="H182" s="44" t="s">
        <v>383</v>
      </c>
      <c r="I182" s="44" t="s">
        <v>148</v>
      </c>
    </row>
    <row r="183" spans="1:9" ht="13.5" customHeight="1">
      <c r="A183" s="84">
        <v>46142</v>
      </c>
      <c r="B183" s="45" t="s">
        <v>394</v>
      </c>
      <c r="C183" s="85">
        <v>690</v>
      </c>
      <c r="D183" s="45" t="s">
        <v>162</v>
      </c>
      <c r="E183" s="45" t="s">
        <v>49</v>
      </c>
      <c r="F183" s="46"/>
      <c r="G183" s="46"/>
      <c r="H183" s="46" t="s">
        <v>395</v>
      </c>
      <c r="I183" s="45" t="s">
        <v>148</v>
      </c>
    </row>
    <row r="184" spans="1:9" ht="13.5" customHeight="1">
      <c r="A184" s="82">
        <v>46142</v>
      </c>
      <c r="B184" s="44" t="s">
        <v>396</v>
      </c>
      <c r="C184" s="83">
        <v>690</v>
      </c>
      <c r="D184" s="44" t="s">
        <v>162</v>
      </c>
      <c r="E184" s="44" t="s">
        <v>49</v>
      </c>
      <c r="F184" s="44"/>
      <c r="G184" s="44"/>
      <c r="H184" s="44" t="s">
        <v>383</v>
      </c>
      <c r="I184" s="44" t="s">
        <v>148</v>
      </c>
    </row>
    <row r="185" spans="1:9" ht="13.5" customHeight="1">
      <c r="A185" s="84">
        <v>46142</v>
      </c>
      <c r="B185" s="45" t="s">
        <v>397</v>
      </c>
      <c r="C185" s="85">
        <v>609</v>
      </c>
      <c r="D185" s="45" t="s">
        <v>162</v>
      </c>
      <c r="E185" s="45" t="s">
        <v>49</v>
      </c>
      <c r="F185" s="46"/>
      <c r="G185" s="46"/>
      <c r="H185" s="46" t="s">
        <v>398</v>
      </c>
      <c r="I185" s="45" t="s">
        <v>148</v>
      </c>
    </row>
    <row r="186" spans="1:9" ht="13.5" customHeight="1">
      <c r="A186" s="84">
        <v>46144</v>
      </c>
      <c r="B186" s="45" t="s">
        <v>399</v>
      </c>
      <c r="C186" s="85">
        <v>699</v>
      </c>
      <c r="D186" s="45" t="s">
        <v>162</v>
      </c>
      <c r="E186" s="45" t="s">
        <v>49</v>
      </c>
      <c r="F186" s="46"/>
      <c r="G186" s="46"/>
      <c r="H186" s="46" t="s">
        <v>400</v>
      </c>
      <c r="I186" s="45" t="s">
        <v>148</v>
      </c>
    </row>
    <row r="187" spans="1:9" ht="13.5" customHeight="1">
      <c r="A187" s="82">
        <v>46144</v>
      </c>
      <c r="B187" s="44" t="s">
        <v>401</v>
      </c>
      <c r="C187" s="83">
        <v>690</v>
      </c>
      <c r="D187" s="44" t="s">
        <v>162</v>
      </c>
      <c r="E187" s="44" t="s">
        <v>49</v>
      </c>
      <c r="F187" s="44"/>
      <c r="G187" s="44"/>
      <c r="H187" s="44" t="s">
        <v>402</v>
      </c>
      <c r="I187" s="44" t="s">
        <v>148</v>
      </c>
    </row>
    <row r="188" spans="1:9" ht="13.5" customHeight="1">
      <c r="A188" s="84">
        <v>46145</v>
      </c>
      <c r="B188" s="45" t="s">
        <v>403</v>
      </c>
      <c r="C188" s="85">
        <v>1200</v>
      </c>
      <c r="D188" s="45" t="s">
        <v>162</v>
      </c>
      <c r="E188" s="45" t="s">
        <v>49</v>
      </c>
      <c r="F188" s="46"/>
      <c r="G188" s="46"/>
      <c r="H188" s="46" t="s">
        <v>404</v>
      </c>
      <c r="I188" s="45" t="s">
        <v>148</v>
      </c>
    </row>
    <row r="189" spans="1:9" ht="13.5" customHeight="1">
      <c r="A189" s="82">
        <v>46145</v>
      </c>
      <c r="B189" s="44" t="s">
        <v>405</v>
      </c>
      <c r="C189" s="83">
        <v>1200</v>
      </c>
      <c r="D189" s="44" t="s">
        <v>162</v>
      </c>
      <c r="E189" s="44" t="s">
        <v>49</v>
      </c>
      <c r="F189" s="44"/>
      <c r="G189" s="44"/>
      <c r="H189" s="44" t="s">
        <v>406</v>
      </c>
      <c r="I189" s="44" t="s">
        <v>148</v>
      </c>
    </row>
    <row r="190" spans="1:9" ht="13.5" customHeight="1">
      <c r="A190" s="84">
        <v>46145</v>
      </c>
      <c r="B190" s="45" t="s">
        <v>161</v>
      </c>
      <c r="C190" s="85">
        <v>600</v>
      </c>
      <c r="D190" s="45" t="s">
        <v>162</v>
      </c>
      <c r="E190" s="45" t="s">
        <v>49</v>
      </c>
      <c r="F190" s="46"/>
      <c r="G190" s="46"/>
      <c r="H190" s="46" t="s">
        <v>407</v>
      </c>
      <c r="I190" s="45" t="s">
        <v>148</v>
      </c>
    </row>
    <row r="191" spans="1:9" ht="42" customHeight="1">
      <c r="A191" s="82">
        <v>46151</v>
      </c>
      <c r="B191" s="44" t="s">
        <v>408</v>
      </c>
      <c r="C191" s="83">
        <v>5600</v>
      </c>
      <c r="D191" s="44" t="s">
        <v>150</v>
      </c>
      <c r="E191" s="44" t="s">
        <v>50</v>
      </c>
      <c r="F191" s="44"/>
      <c r="G191" s="44"/>
      <c r="H191" s="44" t="s">
        <v>409</v>
      </c>
      <c r="I191" s="44" t="s">
        <v>148</v>
      </c>
    </row>
    <row r="192" spans="1:9" ht="27.75" customHeight="1">
      <c r="A192" s="84">
        <v>46152</v>
      </c>
      <c r="B192" s="45" t="s">
        <v>410</v>
      </c>
      <c r="C192" s="85">
        <v>5600</v>
      </c>
      <c r="D192" s="45" t="s">
        <v>150</v>
      </c>
      <c r="E192" s="45" t="s">
        <v>50</v>
      </c>
      <c r="F192" s="46"/>
      <c r="G192" s="46"/>
      <c r="H192" s="46" t="s">
        <v>411</v>
      </c>
      <c r="I192" s="45" t="s">
        <v>148</v>
      </c>
    </row>
    <row r="193" spans="1:9" ht="42" customHeight="1">
      <c r="A193" s="82">
        <v>46152</v>
      </c>
      <c r="B193" s="44" t="s">
        <v>412</v>
      </c>
      <c r="C193" s="83">
        <v>5600</v>
      </c>
      <c r="D193" s="44" t="s">
        <v>150</v>
      </c>
      <c r="E193" s="44" t="s">
        <v>50</v>
      </c>
      <c r="F193" s="44"/>
      <c r="G193" s="44"/>
      <c r="H193" s="44" t="s">
        <v>413</v>
      </c>
      <c r="I193" s="44" t="s">
        <v>148</v>
      </c>
    </row>
    <row r="194" spans="1:9" ht="27.75" customHeight="1">
      <c r="A194" s="84">
        <v>46151</v>
      </c>
      <c r="B194" s="45" t="s">
        <v>414</v>
      </c>
      <c r="C194" s="85">
        <v>3100</v>
      </c>
      <c r="D194" s="45" t="s">
        <v>162</v>
      </c>
      <c r="E194" s="45" t="s">
        <v>49</v>
      </c>
      <c r="F194" s="46"/>
      <c r="G194" s="46"/>
      <c r="H194" s="46" t="s">
        <v>415</v>
      </c>
      <c r="I194" s="45" t="s">
        <v>148</v>
      </c>
    </row>
    <row r="195" spans="1:9" ht="42" customHeight="1">
      <c r="A195" s="82">
        <v>46155</v>
      </c>
      <c r="B195" s="44" t="s">
        <v>416</v>
      </c>
      <c r="C195" s="83">
        <v>5400</v>
      </c>
      <c r="D195" s="44" t="s">
        <v>150</v>
      </c>
      <c r="E195" s="44" t="s">
        <v>50</v>
      </c>
      <c r="F195" s="44"/>
      <c r="G195" s="44"/>
      <c r="H195" s="44" t="s">
        <v>417</v>
      </c>
      <c r="I195" s="44" t="s">
        <v>148</v>
      </c>
    </row>
    <row r="196" spans="1:9" ht="42" customHeight="1">
      <c r="A196" s="84">
        <v>46155</v>
      </c>
      <c r="B196" s="45" t="s">
        <v>418</v>
      </c>
      <c r="C196" s="85">
        <v>5750</v>
      </c>
      <c r="D196" s="45" t="s">
        <v>150</v>
      </c>
      <c r="E196" s="45" t="s">
        <v>50</v>
      </c>
      <c r="F196" s="46"/>
      <c r="G196" s="46"/>
      <c r="H196" s="46" t="s">
        <v>419</v>
      </c>
      <c r="I196" s="45" t="s">
        <v>148</v>
      </c>
    </row>
    <row r="197" spans="1:9" ht="42" customHeight="1">
      <c r="A197" s="82">
        <v>46155</v>
      </c>
      <c r="B197" s="44" t="s">
        <v>183</v>
      </c>
      <c r="C197" s="83">
        <v>4000</v>
      </c>
      <c r="D197" s="44" t="s">
        <v>150</v>
      </c>
      <c r="E197" s="44" t="s">
        <v>50</v>
      </c>
      <c r="F197" s="44"/>
      <c r="G197" s="44"/>
      <c r="H197" s="44" t="s">
        <v>420</v>
      </c>
      <c r="I197" s="44" t="s">
        <v>148</v>
      </c>
    </row>
    <row r="198" spans="1:9" ht="42" customHeight="1">
      <c r="A198" s="84">
        <v>46168</v>
      </c>
      <c r="B198" s="45" t="s">
        <v>421</v>
      </c>
      <c r="C198" s="85">
        <v>5200</v>
      </c>
      <c r="D198" s="45" t="s">
        <v>150</v>
      </c>
      <c r="E198" s="45" t="s">
        <v>50</v>
      </c>
      <c r="F198" s="46"/>
      <c r="G198" s="46"/>
      <c r="H198" s="46" t="s">
        <v>422</v>
      </c>
      <c r="I198" s="45" t="s">
        <v>148</v>
      </c>
    </row>
    <row r="199" spans="1:9" ht="13.5" customHeight="1">
      <c r="A199" s="82">
        <v>46172</v>
      </c>
      <c r="B199" s="44" t="s">
        <v>423</v>
      </c>
      <c r="C199" s="83">
        <v>1425</v>
      </c>
      <c r="D199" s="44" t="s">
        <v>150</v>
      </c>
      <c r="E199" s="44" t="s">
        <v>50</v>
      </c>
      <c r="F199" s="44"/>
      <c r="G199" s="44"/>
      <c r="H199" s="44" t="s">
        <v>424</v>
      </c>
      <c r="I199" s="44" t="s">
        <v>148</v>
      </c>
    </row>
    <row r="200" spans="1:9" ht="27.75" customHeight="1">
      <c r="A200" s="84">
        <v>46173</v>
      </c>
      <c r="B200" s="45" t="s">
        <v>425</v>
      </c>
      <c r="C200" s="85">
        <v>2850</v>
      </c>
      <c r="D200" s="45" t="s">
        <v>150</v>
      </c>
      <c r="E200" s="45" t="s">
        <v>50</v>
      </c>
      <c r="F200" s="46"/>
      <c r="G200" s="46"/>
      <c r="H200" s="46" t="s">
        <v>426</v>
      </c>
      <c r="I200" s="45" t="s">
        <v>148</v>
      </c>
    </row>
    <row r="201" spans="1:9" ht="27.75" customHeight="1">
      <c r="A201" s="82">
        <v>46173</v>
      </c>
      <c r="B201" s="44" t="s">
        <v>427</v>
      </c>
      <c r="C201" s="83">
        <v>3850</v>
      </c>
      <c r="D201" s="44" t="s">
        <v>150</v>
      </c>
      <c r="E201" s="44" t="s">
        <v>50</v>
      </c>
      <c r="F201" s="44"/>
      <c r="G201" s="44"/>
      <c r="H201" s="44" t="s">
        <v>428</v>
      </c>
      <c r="I201" s="44" t="s">
        <v>148</v>
      </c>
    </row>
    <row r="202" spans="1:9" ht="13.5" customHeight="1">
      <c r="A202" s="84">
        <v>46173</v>
      </c>
      <c r="B202" s="45" t="s">
        <v>429</v>
      </c>
      <c r="C202" s="85">
        <v>930</v>
      </c>
      <c r="D202" s="45" t="s">
        <v>150</v>
      </c>
      <c r="E202" s="45" t="s">
        <v>50</v>
      </c>
      <c r="F202" s="46"/>
      <c r="G202" s="46"/>
      <c r="H202" s="46" t="s">
        <v>430</v>
      </c>
      <c r="I202" s="45" t="s">
        <v>148</v>
      </c>
    </row>
    <row r="203" spans="1:9" ht="13.5" customHeight="1">
      <c r="A203" s="82">
        <v>46173</v>
      </c>
      <c r="B203" s="44" t="s">
        <v>431</v>
      </c>
      <c r="C203" s="83">
        <v>930</v>
      </c>
      <c r="D203" s="44" t="s">
        <v>150</v>
      </c>
      <c r="E203" s="44" t="s">
        <v>50</v>
      </c>
      <c r="F203" s="44"/>
      <c r="G203" s="44"/>
      <c r="H203" s="44" t="s">
        <v>432</v>
      </c>
      <c r="I203" s="44" t="s">
        <v>356</v>
      </c>
    </row>
    <row r="204" spans="1:9" ht="13.5" customHeight="1">
      <c r="A204" s="84">
        <v>46175</v>
      </c>
      <c r="B204" s="45" t="s">
        <v>433</v>
      </c>
      <c r="C204" s="85">
        <v>699</v>
      </c>
      <c r="D204" s="45" t="s">
        <v>162</v>
      </c>
      <c r="E204" s="45" t="s">
        <v>49</v>
      </c>
      <c r="F204" s="46"/>
      <c r="G204" s="46"/>
      <c r="H204" s="46" t="s">
        <v>432</v>
      </c>
      <c r="I204" s="45" t="s">
        <v>148</v>
      </c>
    </row>
    <row r="205" spans="1:9" ht="13.5" customHeight="1">
      <c r="A205" s="82">
        <v>46175</v>
      </c>
      <c r="B205" s="44" t="s">
        <v>434</v>
      </c>
      <c r="C205" s="83">
        <v>700</v>
      </c>
      <c r="D205" s="44" t="s">
        <v>162</v>
      </c>
      <c r="E205" s="44" t="s">
        <v>49</v>
      </c>
      <c r="F205" s="44"/>
      <c r="G205" s="44"/>
      <c r="H205" s="44" t="s">
        <v>435</v>
      </c>
      <c r="I205" s="44" t="s">
        <v>148</v>
      </c>
    </row>
    <row r="206" spans="1:9" ht="13.5" customHeight="1">
      <c r="A206" s="84">
        <v>46175</v>
      </c>
      <c r="B206" s="45" t="s">
        <v>436</v>
      </c>
      <c r="C206" s="85">
        <v>1350</v>
      </c>
      <c r="D206" s="45" t="s">
        <v>162</v>
      </c>
      <c r="E206" s="45" t="s">
        <v>49</v>
      </c>
      <c r="F206" s="46"/>
      <c r="G206" s="46"/>
      <c r="H206" s="44" t="s">
        <v>437</v>
      </c>
      <c r="I206" s="45" t="s">
        <v>148</v>
      </c>
    </row>
    <row r="207" spans="1:9" ht="13.5" customHeight="1">
      <c r="A207" s="82">
        <v>46175</v>
      </c>
      <c r="B207" s="44" t="s">
        <v>438</v>
      </c>
      <c r="C207" s="83">
        <v>699</v>
      </c>
      <c r="D207" s="44" t="s">
        <v>162</v>
      </c>
      <c r="E207" s="44" t="s">
        <v>49</v>
      </c>
      <c r="F207" s="44"/>
      <c r="G207" s="44"/>
      <c r="H207" s="44" t="s">
        <v>439</v>
      </c>
      <c r="I207" s="44" t="s">
        <v>148</v>
      </c>
    </row>
    <row r="208" spans="1:9" ht="13.5" customHeight="1">
      <c r="A208" s="84">
        <v>46175</v>
      </c>
      <c r="B208" s="45" t="s">
        <v>440</v>
      </c>
      <c r="C208" s="85">
        <v>699</v>
      </c>
      <c r="D208" s="45" t="s">
        <v>162</v>
      </c>
      <c r="E208" s="45" t="s">
        <v>49</v>
      </c>
      <c r="F208" s="46"/>
      <c r="G208" s="46"/>
      <c r="H208" s="46" t="s">
        <v>441</v>
      </c>
      <c r="I208" s="45" t="s">
        <v>148</v>
      </c>
    </row>
    <row r="209" spans="1:9" ht="13.5" customHeight="1">
      <c r="A209" s="82">
        <v>46176</v>
      </c>
      <c r="B209" s="44" t="s">
        <v>442</v>
      </c>
      <c r="C209" s="83">
        <v>699</v>
      </c>
      <c r="D209" s="44" t="s">
        <v>162</v>
      </c>
      <c r="E209" s="44" t="s">
        <v>49</v>
      </c>
      <c r="F209" s="44"/>
      <c r="G209" s="44"/>
      <c r="H209" s="44" t="s">
        <v>439</v>
      </c>
      <c r="I209" s="44" t="s">
        <v>148</v>
      </c>
    </row>
    <row r="210" spans="1:9" ht="27.75" customHeight="1">
      <c r="A210" s="84">
        <v>46176</v>
      </c>
      <c r="B210" s="45" t="s">
        <v>443</v>
      </c>
      <c r="C210" s="85">
        <v>2200</v>
      </c>
      <c r="D210" s="45" t="s">
        <v>162</v>
      </c>
      <c r="E210" s="45" t="s">
        <v>49</v>
      </c>
      <c r="F210" s="46"/>
      <c r="G210" s="46"/>
      <c r="H210" s="46" t="s">
        <v>444</v>
      </c>
      <c r="I210" s="45" t="s">
        <v>148</v>
      </c>
    </row>
    <row r="211" spans="1:9" ht="13.5" customHeight="1">
      <c r="A211" s="82">
        <v>46176</v>
      </c>
      <c r="B211" s="44" t="s">
        <v>445</v>
      </c>
      <c r="C211" s="83">
        <v>699</v>
      </c>
      <c r="D211" s="44" t="s">
        <v>162</v>
      </c>
      <c r="E211" s="44" t="s">
        <v>49</v>
      </c>
      <c r="F211" s="44"/>
      <c r="G211" s="44"/>
      <c r="H211" s="44" t="s">
        <v>446</v>
      </c>
      <c r="I211" s="44" t="s">
        <v>148</v>
      </c>
    </row>
    <row r="212" spans="1:9" ht="14">
      <c r="A212" s="84">
        <v>46176</v>
      </c>
      <c r="B212" s="45" t="s">
        <v>447</v>
      </c>
      <c r="C212" s="85">
        <v>699</v>
      </c>
      <c r="D212" s="45" t="s">
        <v>162</v>
      </c>
      <c r="E212" s="45" t="s">
        <v>49</v>
      </c>
      <c r="F212" s="46"/>
      <c r="G212" s="46"/>
      <c r="H212" s="46" t="s">
        <v>432</v>
      </c>
      <c r="I212" s="45" t="s">
        <v>148</v>
      </c>
    </row>
    <row r="213" spans="1:9" ht="13.5" customHeight="1">
      <c r="A213" s="82">
        <v>46176</v>
      </c>
      <c r="B213" s="44" t="s">
        <v>448</v>
      </c>
      <c r="C213" s="83">
        <v>700</v>
      </c>
      <c r="D213" s="44" t="s">
        <v>162</v>
      </c>
      <c r="E213" s="44" t="s">
        <v>49</v>
      </c>
      <c r="F213" s="44"/>
      <c r="G213" s="44"/>
      <c r="H213" s="44" t="s">
        <v>446</v>
      </c>
      <c r="I213" s="44" t="s">
        <v>148</v>
      </c>
    </row>
    <row r="214" spans="1:9" ht="14">
      <c r="A214" s="84">
        <v>46177</v>
      </c>
      <c r="B214" s="45" t="s">
        <v>449</v>
      </c>
      <c r="C214" s="85">
        <v>699</v>
      </c>
      <c r="D214" s="45" t="s">
        <v>162</v>
      </c>
      <c r="E214" s="45" t="s">
        <v>49</v>
      </c>
      <c r="F214" s="46"/>
      <c r="G214" s="46"/>
      <c r="H214" s="46" t="s">
        <v>432</v>
      </c>
      <c r="I214" s="45" t="s">
        <v>148</v>
      </c>
    </row>
    <row r="215" spans="1:9" ht="13.5" customHeight="1">
      <c r="A215" s="82">
        <v>46187</v>
      </c>
      <c r="B215" s="44" t="s">
        <v>450</v>
      </c>
      <c r="C215" s="83">
        <v>1380</v>
      </c>
      <c r="D215" s="44" t="s">
        <v>162</v>
      </c>
      <c r="E215" s="44" t="s">
        <v>49</v>
      </c>
      <c r="F215" s="44"/>
      <c r="G215" s="44"/>
      <c r="H215" s="44" t="s">
        <v>235</v>
      </c>
      <c r="I215" s="44" t="s">
        <v>148</v>
      </c>
    </row>
    <row r="216" spans="1:9" ht="55.5" customHeight="1">
      <c r="A216" s="84">
        <v>46188</v>
      </c>
      <c r="B216" s="45" t="s">
        <v>451</v>
      </c>
      <c r="C216" s="85">
        <v>5000</v>
      </c>
      <c r="D216" s="45" t="s">
        <v>162</v>
      </c>
      <c r="E216" s="45" t="s">
        <v>49</v>
      </c>
      <c r="F216" s="46"/>
      <c r="G216" s="46"/>
      <c r="H216" s="46" t="s">
        <v>1092</v>
      </c>
      <c r="I216" s="45" t="s">
        <v>148</v>
      </c>
    </row>
    <row r="217" spans="1:9" ht="13.5" customHeight="1">
      <c r="A217" s="84">
        <v>46191</v>
      </c>
      <c r="B217" s="45" t="s">
        <v>452</v>
      </c>
      <c r="C217" s="85">
        <v>1380</v>
      </c>
      <c r="D217" s="45" t="s">
        <v>162</v>
      </c>
      <c r="E217" s="45" t="s">
        <v>49</v>
      </c>
      <c r="F217" s="46"/>
      <c r="G217" s="46"/>
      <c r="H217" s="46" t="s">
        <v>453</v>
      </c>
      <c r="I217" s="45" t="s">
        <v>148</v>
      </c>
    </row>
    <row r="218" spans="1:9" ht="13.5" customHeight="1">
      <c r="A218" s="82">
        <v>46191</v>
      </c>
      <c r="B218" s="44" t="s">
        <v>454</v>
      </c>
      <c r="C218" s="83">
        <v>1380</v>
      </c>
      <c r="D218" s="44" t="s">
        <v>162</v>
      </c>
      <c r="E218" s="44" t="s">
        <v>49</v>
      </c>
      <c r="F218" s="44"/>
      <c r="G218" s="44"/>
      <c r="H218" s="44" t="s">
        <v>366</v>
      </c>
      <c r="I218" s="44" t="s">
        <v>148</v>
      </c>
    </row>
    <row r="219" spans="1:9" ht="13.5" customHeight="1">
      <c r="A219" s="84">
        <v>46191</v>
      </c>
      <c r="B219" s="45" t="s">
        <v>455</v>
      </c>
      <c r="C219" s="85">
        <v>1380</v>
      </c>
      <c r="D219" s="45" t="s">
        <v>162</v>
      </c>
      <c r="E219" s="45" t="s">
        <v>49</v>
      </c>
      <c r="F219" s="46"/>
      <c r="G219" s="46"/>
      <c r="H219" s="46" t="s">
        <v>366</v>
      </c>
      <c r="I219" s="45" t="s">
        <v>148</v>
      </c>
    </row>
    <row r="220" spans="1:9" ht="13.5" customHeight="1">
      <c r="A220" s="82">
        <v>46191</v>
      </c>
      <c r="B220" s="44" t="s">
        <v>373</v>
      </c>
      <c r="C220" s="83">
        <v>1380</v>
      </c>
      <c r="D220" s="44" t="s">
        <v>162</v>
      </c>
      <c r="E220" s="44" t="s">
        <v>49</v>
      </c>
      <c r="F220" s="44"/>
      <c r="G220" s="44"/>
      <c r="H220" s="44" t="s">
        <v>367</v>
      </c>
      <c r="I220" s="44" t="s">
        <v>148</v>
      </c>
    </row>
    <row r="221" spans="1:9" ht="13.5" customHeight="1">
      <c r="A221" s="84">
        <v>46191</v>
      </c>
      <c r="B221" s="45" t="s">
        <v>456</v>
      </c>
      <c r="C221" s="85">
        <v>1380</v>
      </c>
      <c r="D221" s="45" t="s">
        <v>162</v>
      </c>
      <c r="E221" s="45" t="s">
        <v>49</v>
      </c>
      <c r="F221" s="46"/>
      <c r="G221" s="46"/>
      <c r="H221" s="46" t="s">
        <v>366</v>
      </c>
      <c r="I221" s="45" t="s">
        <v>148</v>
      </c>
    </row>
    <row r="222" spans="1:9" ht="13.5" customHeight="1">
      <c r="A222" s="82">
        <v>46191</v>
      </c>
      <c r="B222" s="44" t="s">
        <v>457</v>
      </c>
      <c r="C222" s="83">
        <v>1380</v>
      </c>
      <c r="D222" s="44" t="s">
        <v>162</v>
      </c>
      <c r="E222" s="44" t="s">
        <v>49</v>
      </c>
      <c r="F222" s="44"/>
      <c r="G222" s="44"/>
      <c r="H222" s="44" t="s">
        <v>367</v>
      </c>
      <c r="I222" s="44" t="s">
        <v>148</v>
      </c>
    </row>
    <row r="223" spans="1:9" ht="13.5" customHeight="1">
      <c r="A223" s="84">
        <v>46191</v>
      </c>
      <c r="B223" s="45" t="s">
        <v>458</v>
      </c>
      <c r="C223" s="85">
        <v>1380</v>
      </c>
      <c r="D223" s="45" t="s">
        <v>162</v>
      </c>
      <c r="E223" s="45" t="s">
        <v>49</v>
      </c>
      <c r="F223" s="46"/>
      <c r="G223" s="46"/>
      <c r="H223" s="46" t="s">
        <v>366</v>
      </c>
      <c r="I223" s="45" t="s">
        <v>148</v>
      </c>
    </row>
    <row r="224" spans="1:9" ht="13.5" customHeight="1">
      <c r="A224" s="82">
        <v>46192</v>
      </c>
      <c r="B224" s="44" t="s">
        <v>459</v>
      </c>
      <c r="C224" s="83">
        <v>1380</v>
      </c>
      <c r="D224" s="44" t="s">
        <v>162</v>
      </c>
      <c r="E224" s="44" t="s">
        <v>49</v>
      </c>
      <c r="F224" s="44"/>
      <c r="G224" s="44"/>
      <c r="H224" s="44" t="s">
        <v>367</v>
      </c>
      <c r="I224" s="44" t="s">
        <v>148</v>
      </c>
    </row>
    <row r="225" spans="1:9" ht="13.5" customHeight="1">
      <c r="A225" s="84">
        <v>46192</v>
      </c>
      <c r="B225" s="45" t="s">
        <v>460</v>
      </c>
      <c r="C225" s="85">
        <v>1440</v>
      </c>
      <c r="D225" s="45" t="s">
        <v>162</v>
      </c>
      <c r="E225" s="45" t="s">
        <v>49</v>
      </c>
      <c r="F225" s="46"/>
      <c r="G225" s="46"/>
      <c r="H225" s="46" t="s">
        <v>367</v>
      </c>
      <c r="I225" s="45" t="s">
        <v>148</v>
      </c>
    </row>
    <row r="226" spans="1:9" ht="13.5" customHeight="1">
      <c r="A226" s="82">
        <v>46192</v>
      </c>
      <c r="B226" s="44" t="s">
        <v>461</v>
      </c>
      <c r="C226" s="83">
        <v>1380</v>
      </c>
      <c r="D226" s="44" t="s">
        <v>162</v>
      </c>
      <c r="E226" s="44" t="s">
        <v>49</v>
      </c>
      <c r="F226" s="44"/>
      <c r="G226" s="44"/>
      <c r="H226" s="44" t="s">
        <v>366</v>
      </c>
      <c r="I226" s="44" t="s">
        <v>148</v>
      </c>
    </row>
    <row r="227" spans="1:9" ht="13.5" customHeight="1">
      <c r="A227" s="84">
        <v>46192</v>
      </c>
      <c r="B227" s="45" t="s">
        <v>462</v>
      </c>
      <c r="C227" s="85">
        <v>1380</v>
      </c>
      <c r="D227" s="45" t="s">
        <v>162</v>
      </c>
      <c r="E227" s="45" t="s">
        <v>49</v>
      </c>
      <c r="F227" s="46"/>
      <c r="G227" s="46"/>
      <c r="H227" s="46" t="s">
        <v>366</v>
      </c>
      <c r="I227" s="45" t="s">
        <v>148</v>
      </c>
    </row>
    <row r="228" spans="1:9" ht="13.5" customHeight="1">
      <c r="A228" s="82">
        <v>46193</v>
      </c>
      <c r="B228" s="44" t="s">
        <v>463</v>
      </c>
      <c r="C228" s="83">
        <v>699</v>
      </c>
      <c r="D228" s="44" t="s">
        <v>162</v>
      </c>
      <c r="E228" s="44" t="s">
        <v>49</v>
      </c>
      <c r="F228" s="44"/>
      <c r="G228" s="44"/>
      <c r="H228" s="44" t="s">
        <v>464</v>
      </c>
      <c r="I228" s="44" t="s">
        <v>148</v>
      </c>
    </row>
    <row r="229" spans="1:9" ht="13.5" customHeight="1">
      <c r="A229" s="84">
        <v>46193</v>
      </c>
      <c r="B229" s="45" t="s">
        <v>465</v>
      </c>
      <c r="C229" s="85">
        <v>699</v>
      </c>
      <c r="D229" s="45" t="s">
        <v>162</v>
      </c>
      <c r="E229" s="45" t="s">
        <v>49</v>
      </c>
      <c r="F229" s="46"/>
      <c r="G229" s="46"/>
      <c r="H229" s="46" t="s">
        <v>466</v>
      </c>
      <c r="I229" s="45" t="s">
        <v>148</v>
      </c>
    </row>
    <row r="230" spans="1:9" ht="13.5" customHeight="1">
      <c r="A230" s="82">
        <v>46193</v>
      </c>
      <c r="B230" s="44" t="s">
        <v>467</v>
      </c>
      <c r="C230" s="83">
        <v>1380</v>
      </c>
      <c r="D230" s="44" t="s">
        <v>162</v>
      </c>
      <c r="E230" s="44" t="s">
        <v>49</v>
      </c>
      <c r="F230" s="44"/>
      <c r="G230" s="44"/>
      <c r="H230" s="44" t="s">
        <v>367</v>
      </c>
      <c r="I230" s="44" t="s">
        <v>148</v>
      </c>
    </row>
    <row r="231" spans="1:9" ht="13.5" customHeight="1">
      <c r="A231" s="84">
        <v>46193</v>
      </c>
      <c r="B231" s="45" t="s">
        <v>468</v>
      </c>
      <c r="C231" s="85">
        <v>699</v>
      </c>
      <c r="D231" s="45" t="s">
        <v>162</v>
      </c>
      <c r="E231" s="45" t="s">
        <v>49</v>
      </c>
      <c r="F231" s="46"/>
      <c r="G231" s="46"/>
      <c r="H231" s="46" t="s">
        <v>464</v>
      </c>
      <c r="I231" s="45" t="s">
        <v>148</v>
      </c>
    </row>
    <row r="232" spans="1:9" ht="13.5" customHeight="1">
      <c r="A232" s="82">
        <v>46193</v>
      </c>
      <c r="B232" s="44" t="s">
        <v>469</v>
      </c>
      <c r="C232" s="83">
        <v>1380</v>
      </c>
      <c r="D232" s="44" t="s">
        <v>162</v>
      </c>
      <c r="E232" s="44" t="s">
        <v>49</v>
      </c>
      <c r="F232" s="44"/>
      <c r="G232" s="44"/>
      <c r="H232" s="44" t="s">
        <v>366</v>
      </c>
      <c r="I232" s="44" t="s">
        <v>148</v>
      </c>
    </row>
    <row r="233" spans="1:9" ht="13.5" customHeight="1">
      <c r="A233" s="84">
        <v>46193</v>
      </c>
      <c r="B233" s="45" t="s">
        <v>167</v>
      </c>
      <c r="C233" s="85">
        <v>2400</v>
      </c>
      <c r="D233" s="45" t="s">
        <v>162</v>
      </c>
      <c r="E233" s="45" t="s">
        <v>49</v>
      </c>
      <c r="F233" s="46"/>
      <c r="G233" s="46"/>
      <c r="H233" s="46" t="s">
        <v>470</v>
      </c>
      <c r="I233" s="45" t="s">
        <v>148</v>
      </c>
    </row>
    <row r="234" spans="1:9" ht="27.75" customHeight="1">
      <c r="A234" s="82">
        <v>46193</v>
      </c>
      <c r="B234" s="44" t="s">
        <v>153</v>
      </c>
      <c r="C234" s="83">
        <v>4000</v>
      </c>
      <c r="D234" s="44" t="s">
        <v>162</v>
      </c>
      <c r="E234" s="44" t="s">
        <v>49</v>
      </c>
      <c r="F234" s="44"/>
      <c r="G234" s="44"/>
      <c r="H234" s="44" t="s">
        <v>471</v>
      </c>
      <c r="I234" s="44" t="s">
        <v>148</v>
      </c>
    </row>
    <row r="235" spans="1:9" ht="13.5" customHeight="1">
      <c r="A235" s="84">
        <v>46194</v>
      </c>
      <c r="B235" s="45" t="s">
        <v>472</v>
      </c>
      <c r="C235" s="85">
        <v>700</v>
      </c>
      <c r="D235" s="45" t="s">
        <v>162</v>
      </c>
      <c r="E235" s="45" t="s">
        <v>49</v>
      </c>
      <c r="F235" s="46"/>
      <c r="G235" s="46"/>
      <c r="H235" s="46" t="s">
        <v>473</v>
      </c>
      <c r="I235" s="45" t="s">
        <v>148</v>
      </c>
    </row>
    <row r="236" spans="1:9" ht="27.75" customHeight="1">
      <c r="A236" s="82">
        <v>46194</v>
      </c>
      <c r="B236" s="44" t="s">
        <v>472</v>
      </c>
      <c r="C236" s="83">
        <v>2480</v>
      </c>
      <c r="D236" s="44" t="s">
        <v>162</v>
      </c>
      <c r="E236" s="44" t="s">
        <v>49</v>
      </c>
      <c r="F236" s="44"/>
      <c r="G236" s="44"/>
      <c r="H236" s="44" t="s">
        <v>474</v>
      </c>
      <c r="I236" s="44" t="s">
        <v>148</v>
      </c>
    </row>
    <row r="237" spans="1:9" ht="13.5" customHeight="1">
      <c r="A237" s="84">
        <v>46196</v>
      </c>
      <c r="B237" s="45" t="s">
        <v>472</v>
      </c>
      <c r="C237" s="85">
        <v>700</v>
      </c>
      <c r="D237" s="45" t="s">
        <v>162</v>
      </c>
      <c r="E237" s="45" t="s">
        <v>49</v>
      </c>
      <c r="F237" s="46"/>
      <c r="G237" s="46"/>
      <c r="H237" s="46" t="s">
        <v>475</v>
      </c>
      <c r="I237" s="45" t="s">
        <v>148</v>
      </c>
    </row>
    <row r="238" spans="1:9" ht="13.5" customHeight="1">
      <c r="A238" s="82">
        <v>46196</v>
      </c>
      <c r="B238" s="44" t="s">
        <v>476</v>
      </c>
      <c r="C238" s="83">
        <v>1380</v>
      </c>
      <c r="D238" s="44" t="s">
        <v>162</v>
      </c>
      <c r="E238" s="44" t="s">
        <v>49</v>
      </c>
      <c r="F238" s="44"/>
      <c r="G238" s="44"/>
      <c r="H238" s="44" t="s">
        <v>477</v>
      </c>
      <c r="I238" s="44" t="s">
        <v>148</v>
      </c>
    </row>
    <row r="239" spans="1:9" ht="13.5" customHeight="1">
      <c r="A239" s="84">
        <v>46196</v>
      </c>
      <c r="B239" s="45" t="s">
        <v>478</v>
      </c>
      <c r="C239" s="85">
        <v>699</v>
      </c>
      <c r="D239" s="45" t="s">
        <v>162</v>
      </c>
      <c r="E239" s="45" t="s">
        <v>49</v>
      </c>
      <c r="F239" s="46"/>
      <c r="G239" s="46"/>
      <c r="H239" s="46" t="s">
        <v>479</v>
      </c>
      <c r="I239" s="45" t="s">
        <v>148</v>
      </c>
    </row>
    <row r="240" spans="1:9" ht="27.75" customHeight="1">
      <c r="A240" s="82">
        <v>46196</v>
      </c>
      <c r="B240" s="44" t="s">
        <v>304</v>
      </c>
      <c r="C240" s="83">
        <v>5000</v>
      </c>
      <c r="D240" s="44" t="s">
        <v>162</v>
      </c>
      <c r="E240" s="44" t="s">
        <v>49</v>
      </c>
      <c r="F240" s="44"/>
      <c r="G240" s="44"/>
      <c r="H240" s="44" t="s">
        <v>480</v>
      </c>
      <c r="I240" s="44" t="s">
        <v>148</v>
      </c>
    </row>
    <row r="241" spans="1:9" ht="13.5" customHeight="1">
      <c r="A241" s="84">
        <v>46197</v>
      </c>
      <c r="B241" s="45" t="s">
        <v>481</v>
      </c>
      <c r="C241" s="85">
        <v>1380</v>
      </c>
      <c r="D241" s="45" t="s">
        <v>162</v>
      </c>
      <c r="E241" s="45" t="s">
        <v>49</v>
      </c>
      <c r="F241" s="46"/>
      <c r="G241" s="46"/>
      <c r="H241" s="46" t="s">
        <v>366</v>
      </c>
      <c r="I241" s="45" t="s">
        <v>148</v>
      </c>
    </row>
    <row r="242" spans="1:9" ht="13.5" customHeight="1">
      <c r="A242" s="82">
        <v>46197</v>
      </c>
      <c r="B242" s="44" t="s">
        <v>482</v>
      </c>
      <c r="C242" s="83">
        <v>1380</v>
      </c>
      <c r="D242" s="44" t="s">
        <v>162</v>
      </c>
      <c r="E242" s="44" t="s">
        <v>49</v>
      </c>
      <c r="F242" s="44"/>
      <c r="G242" s="44"/>
      <c r="H242" s="44" t="s">
        <v>483</v>
      </c>
      <c r="I242" s="44" t="s">
        <v>148</v>
      </c>
    </row>
    <row r="243" spans="1:9" ht="13.5" customHeight="1">
      <c r="A243" s="84">
        <v>46197</v>
      </c>
      <c r="B243" s="45" t="s">
        <v>484</v>
      </c>
      <c r="C243" s="85">
        <v>1380</v>
      </c>
      <c r="D243" s="45" t="s">
        <v>162</v>
      </c>
      <c r="E243" s="45" t="s">
        <v>49</v>
      </c>
      <c r="F243" s="46"/>
      <c r="G243" s="46"/>
      <c r="H243" s="46" t="s">
        <v>366</v>
      </c>
      <c r="I243" s="45" t="s">
        <v>148</v>
      </c>
    </row>
    <row r="244" spans="1:9" ht="13.5" customHeight="1">
      <c r="A244" s="82">
        <v>46197</v>
      </c>
      <c r="B244" s="44" t="s">
        <v>165</v>
      </c>
      <c r="C244" s="83">
        <v>699</v>
      </c>
      <c r="D244" s="44" t="s">
        <v>162</v>
      </c>
      <c r="E244" s="44" t="s">
        <v>49</v>
      </c>
      <c r="F244" s="44"/>
      <c r="G244" s="44"/>
      <c r="H244" s="44" t="s">
        <v>485</v>
      </c>
      <c r="I244" s="44" t="s">
        <v>148</v>
      </c>
    </row>
    <row r="245" spans="1:9" ht="13.5" customHeight="1">
      <c r="A245" s="84">
        <v>46198</v>
      </c>
      <c r="B245" s="45" t="s">
        <v>486</v>
      </c>
      <c r="C245" s="85">
        <v>1380</v>
      </c>
      <c r="D245" s="45" t="s">
        <v>162</v>
      </c>
      <c r="E245" s="45" t="s">
        <v>49</v>
      </c>
      <c r="F245" s="46"/>
      <c r="G245" s="46"/>
      <c r="H245" s="46" t="s">
        <v>366</v>
      </c>
      <c r="I245" s="45" t="s">
        <v>148</v>
      </c>
    </row>
    <row r="246" spans="1:9" ht="13.5" customHeight="1">
      <c r="A246" s="82">
        <v>46199</v>
      </c>
      <c r="B246" s="44" t="s">
        <v>487</v>
      </c>
      <c r="C246" s="83">
        <v>1380</v>
      </c>
      <c r="D246" s="44" t="s">
        <v>162</v>
      </c>
      <c r="E246" s="44" t="s">
        <v>49</v>
      </c>
      <c r="F246" s="44"/>
      <c r="G246" s="44"/>
      <c r="H246" s="44" t="s">
        <v>366</v>
      </c>
      <c r="I246" s="44" t="s">
        <v>148</v>
      </c>
    </row>
    <row r="247" spans="1:9" ht="13.5" customHeight="1">
      <c r="A247" s="84">
        <v>46199</v>
      </c>
      <c r="B247" s="45" t="s">
        <v>488</v>
      </c>
      <c r="C247" s="85">
        <v>1380</v>
      </c>
      <c r="D247" s="45" t="s">
        <v>162</v>
      </c>
      <c r="E247" s="45" t="s">
        <v>49</v>
      </c>
      <c r="F247" s="46"/>
      <c r="G247" s="46"/>
      <c r="H247" s="46" t="s">
        <v>366</v>
      </c>
      <c r="I247" s="45" t="s">
        <v>148</v>
      </c>
    </row>
    <row r="248" spans="1:9" ht="13.5" customHeight="1">
      <c r="A248" s="82">
        <v>46199</v>
      </c>
      <c r="B248" s="44" t="s">
        <v>332</v>
      </c>
      <c r="C248" s="83">
        <v>1000</v>
      </c>
      <c r="D248" s="44" t="s">
        <v>162</v>
      </c>
      <c r="E248" s="44" t="s">
        <v>49</v>
      </c>
      <c r="F248" s="44"/>
      <c r="G248" s="44"/>
      <c r="H248" s="44" t="s">
        <v>489</v>
      </c>
      <c r="I248" s="44" t="s">
        <v>148</v>
      </c>
    </row>
    <row r="249" spans="1:9" ht="14">
      <c r="A249" s="84">
        <v>46200</v>
      </c>
      <c r="B249" s="45" t="s">
        <v>153</v>
      </c>
      <c r="C249" s="85">
        <v>1200</v>
      </c>
      <c r="D249" s="45" t="s">
        <v>162</v>
      </c>
      <c r="E249" s="45" t="s">
        <v>49</v>
      </c>
      <c r="F249" s="46"/>
      <c r="G249" s="46"/>
      <c r="H249" s="46" t="s">
        <v>1076</v>
      </c>
      <c r="I249" s="45" t="s">
        <v>148</v>
      </c>
    </row>
    <row r="250" spans="1:9" ht="14">
      <c r="A250" s="82">
        <v>46200</v>
      </c>
      <c r="B250" s="44" t="s">
        <v>164</v>
      </c>
      <c r="C250" s="83">
        <v>950</v>
      </c>
      <c r="D250" s="44"/>
      <c r="E250" s="44"/>
      <c r="F250" s="44"/>
      <c r="G250" s="44"/>
      <c r="H250" s="44" t="s">
        <v>1078</v>
      </c>
      <c r="I250" s="44" t="s">
        <v>356</v>
      </c>
    </row>
    <row r="251" spans="1:9" ht="14">
      <c r="A251" s="84">
        <v>46201</v>
      </c>
      <c r="B251" s="45" t="s">
        <v>1093</v>
      </c>
      <c r="C251" s="85">
        <v>1380</v>
      </c>
      <c r="D251" s="45" t="s">
        <v>205</v>
      </c>
      <c r="E251" s="45" t="s">
        <v>49</v>
      </c>
      <c r="F251" s="46"/>
      <c r="G251" s="46"/>
      <c r="H251" s="46" t="s">
        <v>366</v>
      </c>
      <c r="I251" s="45" t="s">
        <v>148</v>
      </c>
    </row>
    <row r="252" spans="1:9" ht="14">
      <c r="A252" s="82">
        <v>46201</v>
      </c>
      <c r="B252" s="44" t="s">
        <v>1079</v>
      </c>
      <c r="C252" s="83">
        <v>699</v>
      </c>
      <c r="D252" s="44" t="s">
        <v>162</v>
      </c>
      <c r="E252" s="44" t="s">
        <v>49</v>
      </c>
      <c r="F252" s="44"/>
      <c r="G252" s="44"/>
      <c r="H252" s="44" t="s">
        <v>1080</v>
      </c>
      <c r="I252" s="44" t="s">
        <v>148</v>
      </c>
    </row>
    <row r="253" spans="1:9" ht="14">
      <c r="A253" s="84">
        <v>46201</v>
      </c>
      <c r="B253" s="45" t="s">
        <v>1081</v>
      </c>
      <c r="C253" s="85">
        <v>699</v>
      </c>
      <c r="D253" s="45" t="s">
        <v>162</v>
      </c>
      <c r="E253" s="45" t="s">
        <v>49</v>
      </c>
      <c r="F253" s="46"/>
      <c r="G253" s="46"/>
      <c r="H253" s="46" t="s">
        <v>1082</v>
      </c>
      <c r="I253" s="45" t="s">
        <v>148</v>
      </c>
    </row>
    <row r="254" spans="1:9" ht="14">
      <c r="A254" s="82">
        <v>46201</v>
      </c>
      <c r="B254" s="44" t="s">
        <v>1083</v>
      </c>
      <c r="C254" s="83">
        <v>699</v>
      </c>
      <c r="D254" s="44" t="s">
        <v>162</v>
      </c>
      <c r="E254" s="44" t="s">
        <v>49</v>
      </c>
      <c r="F254" s="44"/>
      <c r="G254" s="44"/>
      <c r="H254" s="44" t="s">
        <v>1084</v>
      </c>
      <c r="I254" s="44" t="s">
        <v>148</v>
      </c>
    </row>
    <row r="255" spans="1:9" ht="14">
      <c r="A255" s="84">
        <v>46201</v>
      </c>
      <c r="B255" s="45" t="s">
        <v>472</v>
      </c>
      <c r="C255" s="85">
        <v>2650</v>
      </c>
      <c r="D255" s="45" t="s">
        <v>162</v>
      </c>
      <c r="E255" s="45" t="s">
        <v>49</v>
      </c>
      <c r="F255" s="46"/>
      <c r="G255" s="46"/>
      <c r="H255" s="46" t="s">
        <v>1085</v>
      </c>
      <c r="I255" s="45" t="s">
        <v>148</v>
      </c>
    </row>
    <row r="256" spans="1:9" ht="14">
      <c r="A256" s="82">
        <v>46203</v>
      </c>
      <c r="B256" s="44" t="s">
        <v>1094</v>
      </c>
      <c r="C256" s="83">
        <v>950</v>
      </c>
      <c r="D256" s="44" t="s">
        <v>162</v>
      </c>
      <c r="E256" s="44" t="s">
        <v>49</v>
      </c>
      <c r="F256" s="44"/>
      <c r="G256" s="44"/>
      <c r="H256" s="44" t="s">
        <v>1095</v>
      </c>
      <c r="I256" s="44" t="s">
        <v>148</v>
      </c>
    </row>
    <row r="257" spans="1:9" ht="14">
      <c r="A257" s="84">
        <v>46204</v>
      </c>
      <c r="B257" s="45" t="s">
        <v>1098</v>
      </c>
      <c r="C257" s="85">
        <v>699</v>
      </c>
      <c r="D257" s="45" t="s">
        <v>162</v>
      </c>
      <c r="E257" s="45" t="s">
        <v>49</v>
      </c>
      <c r="F257" s="46"/>
      <c r="G257" s="46"/>
      <c r="H257" s="46" t="s">
        <v>1099</v>
      </c>
      <c r="I257" s="45" t="s">
        <v>148</v>
      </c>
    </row>
    <row r="258" spans="1:9" ht="14">
      <c r="A258" s="82">
        <v>46205</v>
      </c>
      <c r="B258" s="44" t="s">
        <v>1100</v>
      </c>
      <c r="C258" s="83">
        <v>1500</v>
      </c>
      <c r="D258" s="44" t="s">
        <v>162</v>
      </c>
      <c r="E258" s="44" t="s">
        <v>49</v>
      </c>
      <c r="F258" s="44"/>
      <c r="G258" s="44"/>
      <c r="H258" s="44" t="s">
        <v>1101</v>
      </c>
      <c r="I258" s="44" t="s">
        <v>148</v>
      </c>
    </row>
    <row r="259" spans="1:9" ht="14">
      <c r="A259" s="84">
        <v>46205</v>
      </c>
      <c r="B259" s="45" t="s">
        <v>1100</v>
      </c>
      <c r="C259" s="85">
        <v>1200</v>
      </c>
      <c r="D259" s="45" t="s">
        <v>162</v>
      </c>
      <c r="E259" s="45" t="s">
        <v>49</v>
      </c>
      <c r="F259" s="46"/>
      <c r="G259" s="46"/>
      <c r="H259" s="46" t="s">
        <v>1104</v>
      </c>
      <c r="I259" s="45" t="s">
        <v>148</v>
      </c>
    </row>
    <row r="260" spans="1:9" ht="14">
      <c r="A260" s="82">
        <v>46205</v>
      </c>
      <c r="B260" s="44" t="s">
        <v>1106</v>
      </c>
      <c r="C260" s="83">
        <v>1500</v>
      </c>
      <c r="D260" s="44" t="s">
        <v>162</v>
      </c>
      <c r="E260" s="44" t="s">
        <v>49</v>
      </c>
      <c r="F260" s="44"/>
      <c r="G260" s="44"/>
      <c r="H260" s="44" t="s">
        <v>1105</v>
      </c>
      <c r="I260" s="44" t="s">
        <v>148</v>
      </c>
    </row>
    <row r="261" spans="1:9" ht="14">
      <c r="A261" s="84">
        <v>46205</v>
      </c>
      <c r="B261" s="45" t="s">
        <v>1109</v>
      </c>
      <c r="C261" s="85">
        <v>2600</v>
      </c>
      <c r="D261" s="45" t="s">
        <v>162</v>
      </c>
      <c r="E261" s="45" t="s">
        <v>49</v>
      </c>
      <c r="F261" s="46"/>
      <c r="G261" s="46"/>
      <c r="H261" s="46" t="s">
        <v>1203</v>
      </c>
      <c r="I261" s="45" t="s">
        <v>148</v>
      </c>
    </row>
    <row r="262" spans="1:9" ht="14">
      <c r="A262" s="82">
        <v>46206</v>
      </c>
      <c r="B262" s="44" t="s">
        <v>1113</v>
      </c>
      <c r="C262" s="83">
        <v>1380</v>
      </c>
      <c r="D262" s="44" t="s">
        <v>162</v>
      </c>
      <c r="E262" s="44" t="s">
        <v>49</v>
      </c>
      <c r="F262" s="44"/>
      <c r="G262" s="44"/>
      <c r="H262" s="44" t="s">
        <v>366</v>
      </c>
      <c r="I262" s="44" t="s">
        <v>148</v>
      </c>
    </row>
    <row r="263" spans="1:9" ht="14">
      <c r="A263" s="84">
        <v>46206</v>
      </c>
      <c r="B263" s="45" t="s">
        <v>1114</v>
      </c>
      <c r="C263" s="85">
        <v>1380</v>
      </c>
      <c r="D263" s="45" t="s">
        <v>162</v>
      </c>
      <c r="E263" s="45" t="s">
        <v>49</v>
      </c>
      <c r="F263" s="46"/>
      <c r="G263" s="46"/>
      <c r="H263" s="46" t="s">
        <v>366</v>
      </c>
      <c r="I263" s="45" t="s">
        <v>148</v>
      </c>
    </row>
    <row r="264" spans="1:9" ht="14">
      <c r="A264" s="82">
        <v>46206</v>
      </c>
      <c r="B264" s="44" t="s">
        <v>1125</v>
      </c>
      <c r="C264" s="83">
        <v>2500</v>
      </c>
      <c r="D264" s="44" t="s">
        <v>162</v>
      </c>
      <c r="E264" s="44" t="s">
        <v>49</v>
      </c>
      <c r="F264" s="44"/>
      <c r="G264" s="44"/>
      <c r="H264" s="44" t="s">
        <v>1126</v>
      </c>
      <c r="I264" s="44" t="s">
        <v>356</v>
      </c>
    </row>
    <row r="265" spans="1:9" ht="14">
      <c r="A265" s="84">
        <v>46206</v>
      </c>
      <c r="B265" s="45" t="s">
        <v>1117</v>
      </c>
      <c r="C265" s="85">
        <v>1300</v>
      </c>
      <c r="D265" s="45" t="s">
        <v>162</v>
      </c>
      <c r="E265" s="45" t="s">
        <v>49</v>
      </c>
      <c r="F265" s="46"/>
      <c r="G265" s="46"/>
      <c r="H265" s="46" t="s">
        <v>1132</v>
      </c>
      <c r="I265" s="45" t="s">
        <v>356</v>
      </c>
    </row>
    <row r="266" spans="1:9" ht="14">
      <c r="A266" s="82">
        <v>46206</v>
      </c>
      <c r="B266" s="44" t="s">
        <v>1106</v>
      </c>
      <c r="C266" s="83">
        <v>1380</v>
      </c>
      <c r="D266" s="44" t="s">
        <v>162</v>
      </c>
      <c r="E266" s="44" t="s">
        <v>49</v>
      </c>
      <c r="F266" s="44"/>
      <c r="G266" s="44"/>
      <c r="H266" s="44" t="s">
        <v>1118</v>
      </c>
      <c r="I266" s="44" t="s">
        <v>148</v>
      </c>
    </row>
    <row r="267" spans="1:9" ht="14">
      <c r="A267" s="84">
        <v>46207</v>
      </c>
      <c r="B267" s="45" t="s">
        <v>173</v>
      </c>
      <c r="C267" s="85">
        <v>1250</v>
      </c>
      <c r="D267" s="45" t="s">
        <v>162</v>
      </c>
      <c r="E267" s="45" t="s">
        <v>49</v>
      </c>
      <c r="F267" s="46"/>
      <c r="G267" s="46"/>
      <c r="H267" s="46" t="s">
        <v>1119</v>
      </c>
      <c r="I267" s="45" t="s">
        <v>148</v>
      </c>
    </row>
    <row r="268" spans="1:9" ht="28">
      <c r="A268" s="82">
        <v>46208</v>
      </c>
      <c r="B268" s="44" t="s">
        <v>1124</v>
      </c>
      <c r="C268" s="83">
        <v>2350</v>
      </c>
      <c r="D268" s="44"/>
      <c r="E268" s="44"/>
      <c r="F268" s="44"/>
      <c r="G268" s="44"/>
      <c r="H268" s="44" t="s">
        <v>1133</v>
      </c>
      <c r="I268" s="44" t="s">
        <v>356</v>
      </c>
    </row>
    <row r="269" spans="1:9" ht="14">
      <c r="A269" s="84">
        <v>46209</v>
      </c>
      <c r="B269" s="45" t="s">
        <v>1122</v>
      </c>
      <c r="C269" s="85">
        <v>1100</v>
      </c>
      <c r="D269" s="45" t="s">
        <v>162</v>
      </c>
      <c r="E269" s="45" t="s">
        <v>49</v>
      </c>
      <c r="F269" s="46"/>
      <c r="G269" s="46"/>
      <c r="H269" s="46" t="s">
        <v>1123</v>
      </c>
      <c r="I269" s="45" t="s">
        <v>148</v>
      </c>
    </row>
    <row r="270" spans="1:9" ht="14">
      <c r="A270" s="82">
        <v>46210</v>
      </c>
      <c r="B270" s="44" t="s">
        <v>1256</v>
      </c>
      <c r="C270" s="83">
        <v>3200</v>
      </c>
      <c r="D270" s="44" t="s">
        <v>162</v>
      </c>
      <c r="E270" s="44" t="s">
        <v>49</v>
      </c>
      <c r="F270" s="44"/>
      <c r="G270" s="44"/>
      <c r="H270" s="44" t="s">
        <v>1129</v>
      </c>
      <c r="I270" s="44" t="s">
        <v>148</v>
      </c>
    </row>
    <row r="271" spans="1:9" ht="14">
      <c r="A271" s="84">
        <v>46211</v>
      </c>
      <c r="B271" s="45" t="s">
        <v>1130</v>
      </c>
      <c r="C271" s="85">
        <v>1380</v>
      </c>
      <c r="D271" s="45" t="s">
        <v>162</v>
      </c>
      <c r="E271" s="45" t="s">
        <v>49</v>
      </c>
      <c r="F271" s="46"/>
      <c r="G271" s="46"/>
      <c r="H271" s="46" t="s">
        <v>1131</v>
      </c>
      <c r="I271" s="45" t="s">
        <v>148</v>
      </c>
    </row>
    <row r="272" spans="1:9" ht="14">
      <c r="A272" s="82">
        <v>46215</v>
      </c>
      <c r="B272" s="44" t="s">
        <v>1135</v>
      </c>
      <c r="C272" s="83">
        <v>1380</v>
      </c>
      <c r="D272" s="44" t="s">
        <v>162</v>
      </c>
      <c r="E272" s="44" t="s">
        <v>49</v>
      </c>
      <c r="F272" s="44"/>
      <c r="G272" s="44"/>
      <c r="H272" s="44" t="s">
        <v>366</v>
      </c>
      <c r="I272" s="44" t="s">
        <v>148</v>
      </c>
    </row>
    <row r="273" spans="1:9" ht="14">
      <c r="A273" s="84">
        <v>46215</v>
      </c>
      <c r="B273" s="45" t="s">
        <v>1136</v>
      </c>
      <c r="C273" s="85">
        <v>699</v>
      </c>
      <c r="D273" s="45" t="s">
        <v>162</v>
      </c>
      <c r="E273" s="45" t="s">
        <v>49</v>
      </c>
      <c r="F273" s="46"/>
      <c r="G273" s="46"/>
      <c r="H273" s="46" t="s">
        <v>1099</v>
      </c>
      <c r="I273" s="45" t="s">
        <v>148</v>
      </c>
    </row>
    <row r="274" spans="1:9" ht="14">
      <c r="A274" s="82">
        <v>46215</v>
      </c>
      <c r="B274" s="44" t="s">
        <v>197</v>
      </c>
      <c r="C274" s="83">
        <v>1350</v>
      </c>
      <c r="D274" s="44" t="s">
        <v>162</v>
      </c>
      <c r="E274" s="44" t="s">
        <v>49</v>
      </c>
      <c r="F274" s="44"/>
      <c r="G274" s="44"/>
      <c r="H274" s="44" t="s">
        <v>1138</v>
      </c>
      <c r="I274" s="44" t="s">
        <v>148</v>
      </c>
    </row>
    <row r="275" spans="1:9" ht="14">
      <c r="A275" s="84">
        <v>46216</v>
      </c>
      <c r="B275" s="45" t="s">
        <v>1139</v>
      </c>
      <c r="C275" s="85">
        <v>699</v>
      </c>
      <c r="D275" s="45" t="s">
        <v>162</v>
      </c>
      <c r="E275" s="45" t="s">
        <v>49</v>
      </c>
      <c r="F275" s="46"/>
      <c r="G275" s="46"/>
      <c r="H275" s="46" t="s">
        <v>1099</v>
      </c>
      <c r="I275" s="45" t="s">
        <v>148</v>
      </c>
    </row>
    <row r="276" spans="1:9" ht="14">
      <c r="A276" s="82">
        <v>46216</v>
      </c>
      <c r="B276" s="44" t="s">
        <v>1141</v>
      </c>
      <c r="C276" s="83">
        <v>3000</v>
      </c>
      <c r="D276" s="44" t="s">
        <v>162</v>
      </c>
      <c r="E276" s="44" t="s">
        <v>49</v>
      </c>
      <c r="F276" s="44"/>
      <c r="G276" s="44"/>
      <c r="H276" s="44" t="s">
        <v>1140</v>
      </c>
      <c r="I276" s="44" t="s">
        <v>148</v>
      </c>
    </row>
    <row r="277" spans="1:9" ht="14">
      <c r="A277" s="84">
        <v>46219</v>
      </c>
      <c r="B277" s="45" t="s">
        <v>1142</v>
      </c>
      <c r="C277" s="85">
        <v>1380</v>
      </c>
      <c r="D277" s="45" t="s">
        <v>162</v>
      </c>
      <c r="E277" s="45" t="s">
        <v>49</v>
      </c>
      <c r="F277" s="46"/>
      <c r="G277" s="46"/>
      <c r="H277" s="46" t="s">
        <v>366</v>
      </c>
      <c r="I277" s="45" t="s">
        <v>148</v>
      </c>
    </row>
    <row r="278" spans="1:9" ht="14">
      <c r="A278" s="82">
        <v>46219</v>
      </c>
      <c r="B278" s="44" t="s">
        <v>482</v>
      </c>
      <c r="C278" s="83">
        <v>1380</v>
      </c>
      <c r="D278" s="44" t="s">
        <v>162</v>
      </c>
      <c r="E278" s="44" t="s">
        <v>49</v>
      </c>
      <c r="F278" s="44"/>
      <c r="G278" s="44"/>
      <c r="H278" s="44" t="s">
        <v>366</v>
      </c>
      <c r="I278" s="44" t="s">
        <v>148</v>
      </c>
    </row>
    <row r="279" spans="1:9" ht="14">
      <c r="A279" s="84">
        <v>46219</v>
      </c>
      <c r="B279" s="45" t="s">
        <v>224</v>
      </c>
      <c r="C279" s="85">
        <v>1200</v>
      </c>
      <c r="D279" s="45" t="s">
        <v>162</v>
      </c>
      <c r="E279" s="45" t="s">
        <v>49</v>
      </c>
      <c r="F279" s="46"/>
      <c r="G279" s="46"/>
      <c r="H279" s="46" t="s">
        <v>1146</v>
      </c>
      <c r="I279" s="45" t="s">
        <v>148</v>
      </c>
    </row>
    <row r="280" spans="1:9" ht="14">
      <c r="A280" s="82">
        <v>46219</v>
      </c>
      <c r="B280" s="44" t="s">
        <v>220</v>
      </c>
      <c r="C280" s="83">
        <v>2500</v>
      </c>
      <c r="D280" s="44" t="s">
        <v>162</v>
      </c>
      <c r="E280" s="44" t="s">
        <v>49</v>
      </c>
      <c r="F280" s="44"/>
      <c r="G280" s="44"/>
      <c r="H280" s="44" t="s">
        <v>1152</v>
      </c>
      <c r="I280" s="44" t="s">
        <v>148</v>
      </c>
    </row>
    <row r="281" spans="1:9" ht="14">
      <c r="A281" s="84">
        <v>46219</v>
      </c>
      <c r="B281" s="45" t="s">
        <v>153</v>
      </c>
      <c r="C281" s="85">
        <v>3200</v>
      </c>
      <c r="D281" s="45" t="s">
        <v>162</v>
      </c>
      <c r="E281" s="45" t="s">
        <v>49</v>
      </c>
      <c r="F281" s="46"/>
      <c r="G281" s="46"/>
      <c r="H281" s="46" t="s">
        <v>1157</v>
      </c>
      <c r="I281" s="45" t="s">
        <v>148</v>
      </c>
    </row>
    <row r="282" spans="1:9" ht="14">
      <c r="A282" s="82">
        <v>46220</v>
      </c>
      <c r="B282" s="44" t="s">
        <v>1167</v>
      </c>
      <c r="C282" s="83">
        <v>1500</v>
      </c>
      <c r="D282" s="44" t="s">
        <v>162</v>
      </c>
      <c r="E282" s="44" t="s">
        <v>49</v>
      </c>
      <c r="F282" s="44"/>
      <c r="G282" s="44"/>
      <c r="H282" s="44" t="s">
        <v>1168</v>
      </c>
      <c r="I282" s="44" t="s">
        <v>148</v>
      </c>
    </row>
    <row r="283" spans="1:9" ht="14">
      <c r="A283" s="84">
        <v>46221</v>
      </c>
      <c r="B283" s="45" t="s">
        <v>1171</v>
      </c>
      <c r="C283" s="85">
        <v>1100</v>
      </c>
      <c r="D283" s="45" t="s">
        <v>162</v>
      </c>
      <c r="E283" s="45" t="s">
        <v>49</v>
      </c>
      <c r="F283" s="46"/>
      <c r="G283" s="46"/>
      <c r="H283" s="46" t="s">
        <v>1172</v>
      </c>
      <c r="I283" s="45" t="s">
        <v>148</v>
      </c>
    </row>
    <row r="284" spans="1:9" ht="14">
      <c r="A284" s="82">
        <v>46222</v>
      </c>
      <c r="B284" s="44" t="s">
        <v>1173</v>
      </c>
      <c r="C284" s="83">
        <v>850</v>
      </c>
      <c r="D284" s="44" t="s">
        <v>162</v>
      </c>
      <c r="E284" s="44" t="s">
        <v>49</v>
      </c>
      <c r="F284" s="44"/>
      <c r="G284" s="44"/>
      <c r="H284" s="44" t="s">
        <v>1174</v>
      </c>
      <c r="I284" s="44" t="s">
        <v>148</v>
      </c>
    </row>
    <row r="285" spans="1:9" ht="14">
      <c r="A285" s="84">
        <v>46222</v>
      </c>
      <c r="B285" s="45" t="s">
        <v>1175</v>
      </c>
      <c r="C285" s="85">
        <v>1250</v>
      </c>
      <c r="D285" s="45" t="s">
        <v>162</v>
      </c>
      <c r="E285" s="45" t="s">
        <v>49</v>
      </c>
      <c r="F285" s="46"/>
      <c r="G285" s="46"/>
      <c r="H285" s="46" t="s">
        <v>1176</v>
      </c>
      <c r="I285" s="45" t="s">
        <v>148</v>
      </c>
    </row>
    <row r="286" spans="1:9" ht="14">
      <c r="A286" s="82">
        <v>46222</v>
      </c>
      <c r="B286" s="44" t="s">
        <v>1178</v>
      </c>
      <c r="C286" s="83">
        <v>700</v>
      </c>
      <c r="D286" s="44" t="s">
        <v>162</v>
      </c>
      <c r="E286" s="44" t="s">
        <v>49</v>
      </c>
      <c r="F286" s="44"/>
      <c r="G286" s="44"/>
      <c r="H286" s="44" t="s">
        <v>395</v>
      </c>
      <c r="I286" s="44" t="s">
        <v>148</v>
      </c>
    </row>
    <row r="287" spans="1:9" ht="14">
      <c r="A287" s="84">
        <v>46222</v>
      </c>
      <c r="B287" s="45" t="s">
        <v>1179</v>
      </c>
      <c r="C287" s="85">
        <v>699</v>
      </c>
      <c r="D287" s="45" t="s">
        <v>162</v>
      </c>
      <c r="E287" s="45" t="s">
        <v>49</v>
      </c>
      <c r="F287" s="46"/>
      <c r="G287" s="46"/>
      <c r="H287" s="46" t="s">
        <v>395</v>
      </c>
      <c r="I287" s="45" t="s">
        <v>148</v>
      </c>
    </row>
    <row r="288" spans="1:9" ht="14">
      <c r="A288" s="82">
        <v>46223</v>
      </c>
      <c r="B288" s="44" t="s">
        <v>1182</v>
      </c>
      <c r="C288" s="83">
        <v>1380</v>
      </c>
      <c r="D288" s="44" t="s">
        <v>162</v>
      </c>
      <c r="E288" s="44" t="s">
        <v>49</v>
      </c>
      <c r="F288" s="44"/>
      <c r="G288" s="44"/>
      <c r="H288" s="44" t="s">
        <v>1183</v>
      </c>
      <c r="I288" s="44" t="s">
        <v>148</v>
      </c>
    </row>
    <row r="289" spans="1:9" ht="14">
      <c r="A289" s="84">
        <v>46224</v>
      </c>
      <c r="B289" s="45" t="s">
        <v>1185</v>
      </c>
      <c r="C289" s="85">
        <v>1380</v>
      </c>
      <c r="D289" s="45" t="s">
        <v>162</v>
      </c>
      <c r="E289" s="45" t="s">
        <v>49</v>
      </c>
      <c r="F289" s="46"/>
      <c r="G289" s="46"/>
      <c r="H289" s="46" t="s">
        <v>1188</v>
      </c>
      <c r="I289" s="45" t="s">
        <v>148</v>
      </c>
    </row>
    <row r="290" spans="1:9" ht="14">
      <c r="A290" s="82">
        <v>46224</v>
      </c>
      <c r="B290" s="44" t="s">
        <v>1184</v>
      </c>
      <c r="C290" s="83">
        <v>1380</v>
      </c>
      <c r="D290" s="44" t="s">
        <v>162</v>
      </c>
      <c r="E290" s="44" t="s">
        <v>49</v>
      </c>
      <c r="F290" s="44"/>
      <c r="G290" s="44"/>
      <c r="H290" s="44" t="s">
        <v>1189</v>
      </c>
      <c r="I290" s="44" t="s">
        <v>148</v>
      </c>
    </row>
    <row r="291" spans="1:9" ht="14">
      <c r="A291" s="82">
        <v>46228</v>
      </c>
      <c r="B291" s="44" t="s">
        <v>186</v>
      </c>
      <c r="C291" s="83">
        <v>1250</v>
      </c>
      <c r="D291" s="44" t="s">
        <v>162</v>
      </c>
      <c r="E291" s="44" t="s">
        <v>49</v>
      </c>
      <c r="F291" s="44"/>
      <c r="G291" s="44"/>
      <c r="H291" s="44" t="s">
        <v>1192</v>
      </c>
      <c r="I291" s="44" t="s">
        <v>148</v>
      </c>
    </row>
    <row r="292" spans="1:9" ht="42">
      <c r="A292" s="84">
        <v>46229</v>
      </c>
      <c r="B292" s="45" t="s">
        <v>1195</v>
      </c>
      <c r="C292" s="85">
        <v>1900</v>
      </c>
      <c r="D292" s="45"/>
      <c r="E292" s="45"/>
      <c r="F292" s="46"/>
      <c r="G292" s="46"/>
      <c r="H292" s="46" t="s">
        <v>1254</v>
      </c>
      <c r="I292" s="45" t="s">
        <v>356</v>
      </c>
    </row>
    <row r="293" spans="1:9" ht="28">
      <c r="A293" s="82">
        <v>46229</v>
      </c>
      <c r="B293" s="44" t="s">
        <v>293</v>
      </c>
      <c r="C293" s="83">
        <v>3000</v>
      </c>
      <c r="D293" s="44"/>
      <c r="E293" s="44"/>
      <c r="F293" s="44"/>
      <c r="G293" s="44"/>
      <c r="H293" s="44" t="s">
        <v>1255</v>
      </c>
      <c r="I293" s="44" t="s">
        <v>356</v>
      </c>
    </row>
    <row r="294" spans="1:9" ht="28">
      <c r="A294" s="84">
        <v>46229</v>
      </c>
      <c r="B294" s="45" t="s">
        <v>1109</v>
      </c>
      <c r="C294" s="85">
        <v>3250</v>
      </c>
      <c r="D294" s="45"/>
      <c r="E294" s="45"/>
      <c r="F294" s="46"/>
      <c r="G294" s="46"/>
      <c r="H294" s="46" t="s">
        <v>1204</v>
      </c>
      <c r="I294" s="45" t="s">
        <v>356</v>
      </c>
    </row>
    <row r="295" spans="1:9" ht="14">
      <c r="A295" s="82">
        <v>46229</v>
      </c>
      <c r="B295" s="44" t="s">
        <v>1207</v>
      </c>
      <c r="C295" s="83">
        <v>1550</v>
      </c>
      <c r="D295" s="44"/>
      <c r="E295" s="44"/>
      <c r="F295" s="44"/>
      <c r="G295" s="44"/>
      <c r="H295" s="44" t="s">
        <v>1208</v>
      </c>
      <c r="I295" s="44" t="s">
        <v>356</v>
      </c>
    </row>
    <row r="296" spans="1:9" ht="14">
      <c r="A296" s="84">
        <v>46235</v>
      </c>
      <c r="B296" s="45" t="s">
        <v>1260</v>
      </c>
      <c r="C296" s="85">
        <v>1450</v>
      </c>
      <c r="D296" s="45" t="s">
        <v>162</v>
      </c>
      <c r="E296" s="45" t="s">
        <v>49</v>
      </c>
      <c r="F296" s="46"/>
      <c r="G296" s="46"/>
      <c r="H296" s="46" t="s">
        <v>1253</v>
      </c>
      <c r="I296" s="45" t="s">
        <v>148</v>
      </c>
    </row>
    <row r="297" spans="1:9" ht="28">
      <c r="A297" s="82">
        <v>46236</v>
      </c>
      <c r="B297" s="44" t="s">
        <v>1257</v>
      </c>
      <c r="C297" s="83">
        <v>6900</v>
      </c>
      <c r="D297" s="44" t="s">
        <v>162</v>
      </c>
      <c r="E297" s="44" t="s">
        <v>49</v>
      </c>
      <c r="F297" s="44"/>
      <c r="G297" s="44"/>
      <c r="H297" s="44" t="s">
        <v>1258</v>
      </c>
      <c r="I297" s="44" t="s">
        <v>148</v>
      </c>
    </row>
    <row r="298" spans="1:9" ht="14">
      <c r="A298" s="84">
        <v>46236</v>
      </c>
      <c r="B298" s="45" t="s">
        <v>1263</v>
      </c>
      <c r="C298" s="85">
        <v>1479</v>
      </c>
      <c r="D298" s="45" t="s">
        <v>162</v>
      </c>
      <c r="E298" s="45" t="s">
        <v>49</v>
      </c>
      <c r="F298" s="46"/>
      <c r="G298" s="46"/>
      <c r="H298" s="46" t="s">
        <v>1262</v>
      </c>
      <c r="I298" s="45" t="s">
        <v>148</v>
      </c>
    </row>
    <row r="299" spans="1:9" ht="14">
      <c r="A299" s="82"/>
      <c r="B299" s="44"/>
      <c r="C299" s="83">
        <v>2630</v>
      </c>
      <c r="D299" s="44" t="s">
        <v>162</v>
      </c>
      <c r="E299" s="44" t="s">
        <v>1267</v>
      </c>
      <c r="F299" s="44"/>
      <c r="G299" s="44"/>
      <c r="H299" s="44" t="s">
        <v>1266</v>
      </c>
      <c r="I299" s="44" t="s">
        <v>148</v>
      </c>
    </row>
    <row r="300" spans="1:9">
      <c r="A300" s="84"/>
      <c r="B300" s="45"/>
      <c r="C300" s="85"/>
      <c r="D300" s="45"/>
      <c r="E300" s="45"/>
      <c r="F300" s="46"/>
      <c r="G300" s="46"/>
      <c r="H300" s="46"/>
      <c r="I300" s="45"/>
    </row>
    <row r="301" spans="1:9">
      <c r="A301" s="82"/>
      <c r="B301" s="44"/>
      <c r="C301" s="83"/>
      <c r="D301" s="44"/>
      <c r="E301" s="44"/>
      <c r="F301" s="44"/>
      <c r="G301" s="44"/>
      <c r="H301" s="44"/>
      <c r="I301" s="44"/>
    </row>
    <row r="302" spans="1:9">
      <c r="A302" s="84"/>
      <c r="B302" s="45"/>
      <c r="C302" s="85"/>
      <c r="D302" s="45"/>
      <c r="E302" s="45"/>
      <c r="F302" s="46"/>
      <c r="G302" s="46"/>
      <c r="H302" s="46"/>
      <c r="I302" s="45"/>
    </row>
    <row r="303" spans="1:9">
      <c r="A303" s="82"/>
      <c r="B303" s="44"/>
      <c r="C303" s="83"/>
      <c r="D303" s="44"/>
      <c r="E303" s="44"/>
      <c r="F303" s="44"/>
      <c r="G303" s="44"/>
      <c r="H303" s="44"/>
      <c r="I303" s="44"/>
    </row>
    <row r="304" spans="1:9">
      <c r="A304" s="84"/>
      <c r="B304" s="45"/>
      <c r="C304" s="85"/>
      <c r="D304" s="45"/>
      <c r="E304" s="45"/>
      <c r="F304" s="46"/>
      <c r="G304" s="46"/>
      <c r="H304" s="46"/>
      <c r="I304" s="45"/>
    </row>
    <row r="305" spans="1:9">
      <c r="A305" s="82"/>
      <c r="B305" s="44"/>
      <c r="C305" s="83"/>
      <c r="D305" s="44"/>
      <c r="E305" s="44"/>
      <c r="F305" s="44"/>
      <c r="G305" s="44"/>
      <c r="H305" s="44"/>
      <c r="I305" s="44"/>
    </row>
    <row r="306" spans="1:9">
      <c r="A306" s="84"/>
      <c r="B306" s="45"/>
      <c r="C306" s="85"/>
      <c r="D306" s="45"/>
      <c r="E306" s="45"/>
      <c r="F306" s="46"/>
      <c r="G306" s="46"/>
      <c r="H306" s="46"/>
      <c r="I306" s="45"/>
    </row>
    <row r="307" spans="1:9">
      <c r="A307" s="82"/>
      <c r="B307" s="44"/>
      <c r="C307" s="83"/>
      <c r="D307" s="44"/>
      <c r="E307" s="44"/>
      <c r="F307" s="44"/>
      <c r="G307" s="44"/>
      <c r="H307" s="44"/>
      <c r="I307" s="44"/>
    </row>
    <row r="308" spans="1:9">
      <c r="A308" s="84"/>
      <c r="B308" s="45"/>
      <c r="C308" s="85"/>
      <c r="D308" s="45"/>
      <c r="E308" s="45"/>
      <c r="F308" s="46"/>
      <c r="G308" s="46"/>
      <c r="H308" s="46"/>
      <c r="I308" s="45"/>
    </row>
    <row r="309" spans="1:9">
      <c r="A309" s="82"/>
      <c r="B309" s="44"/>
      <c r="C309" s="83"/>
      <c r="D309" s="44"/>
      <c r="E309" s="44"/>
      <c r="F309" s="44"/>
      <c r="G309" s="44"/>
      <c r="H309" s="44"/>
      <c r="I309" s="44"/>
    </row>
    <row r="310" spans="1:9">
      <c r="A310" s="84"/>
      <c r="B310" s="45"/>
      <c r="C310" s="85"/>
      <c r="D310" s="45"/>
      <c r="E310" s="45"/>
      <c r="F310" s="46"/>
      <c r="G310" s="46"/>
      <c r="H310" s="46"/>
      <c r="I310" s="45"/>
    </row>
    <row r="311" spans="1:9">
      <c r="A311" s="82"/>
      <c r="B311" s="44"/>
      <c r="C311" s="83"/>
      <c r="D311" s="44"/>
      <c r="E311" s="44"/>
      <c r="F311" s="44"/>
      <c r="G311" s="44"/>
      <c r="H311" s="44"/>
      <c r="I311" s="44"/>
    </row>
    <row r="312" spans="1:9">
      <c r="A312" s="84"/>
      <c r="B312" s="45"/>
      <c r="C312" s="85"/>
      <c r="D312" s="45"/>
      <c r="E312" s="45"/>
      <c r="F312" s="46"/>
      <c r="G312" s="46"/>
      <c r="H312" s="46"/>
      <c r="I312" s="45"/>
    </row>
    <row r="313" spans="1:9">
      <c r="A313" s="82"/>
      <c r="B313" s="44"/>
      <c r="C313" s="83"/>
      <c r="D313" s="44"/>
      <c r="E313" s="44"/>
      <c r="F313" s="44"/>
      <c r="G313" s="44"/>
      <c r="H313" s="44"/>
      <c r="I313" s="44"/>
    </row>
    <row r="314" spans="1:9">
      <c r="A314" s="84"/>
      <c r="B314" s="45"/>
      <c r="C314" s="85"/>
      <c r="D314" s="45"/>
      <c r="E314" s="45"/>
      <c r="F314" s="46"/>
      <c r="G314" s="46"/>
      <c r="H314" s="46"/>
      <c r="I314" s="45"/>
    </row>
    <row r="315" spans="1:9">
      <c r="A315" s="82"/>
      <c r="B315" s="44"/>
      <c r="C315" s="83"/>
      <c r="D315" s="44"/>
      <c r="E315" s="44"/>
      <c r="F315" s="44"/>
      <c r="G315" s="44"/>
      <c r="H315" s="44"/>
      <c r="I315" s="44"/>
    </row>
    <row r="316" spans="1:9">
      <c r="A316" s="84"/>
      <c r="B316" s="45"/>
      <c r="C316" s="85"/>
      <c r="D316" s="45"/>
      <c r="E316" s="45"/>
      <c r="F316" s="46"/>
      <c r="G316" s="46"/>
      <c r="H316" s="46"/>
      <c r="I316" s="45"/>
    </row>
    <row r="317" spans="1:9">
      <c r="A317" s="82"/>
      <c r="B317" s="44"/>
      <c r="C317" s="83"/>
      <c r="D317" s="44"/>
      <c r="E317" s="44"/>
      <c r="F317" s="44"/>
      <c r="G317" s="44"/>
      <c r="H317" s="44"/>
      <c r="I317" s="44"/>
    </row>
    <row r="318" spans="1:9">
      <c r="A318" s="84"/>
      <c r="B318" s="45"/>
      <c r="C318" s="85"/>
      <c r="D318" s="45"/>
      <c r="E318" s="45"/>
      <c r="F318" s="46"/>
      <c r="G318" s="46"/>
      <c r="H318" s="46"/>
      <c r="I318" s="45"/>
    </row>
    <row r="319" spans="1:9">
      <c r="A319" s="82"/>
      <c r="B319" s="44"/>
      <c r="C319" s="83"/>
      <c r="D319" s="44"/>
      <c r="E319" s="44"/>
      <c r="F319" s="44"/>
      <c r="G319" s="44"/>
      <c r="H319" s="44"/>
      <c r="I319" s="44"/>
    </row>
    <row r="320" spans="1:9">
      <c r="A320" s="84"/>
      <c r="B320" s="45"/>
      <c r="C320" s="85"/>
      <c r="D320" s="45"/>
      <c r="E320" s="45"/>
      <c r="F320" s="46"/>
      <c r="G320" s="46"/>
      <c r="H320" s="46"/>
      <c r="I320" s="45"/>
    </row>
    <row r="321" spans="1:9">
      <c r="A321" s="82"/>
      <c r="B321" s="44"/>
      <c r="C321" s="83"/>
      <c r="D321" s="44"/>
      <c r="E321" s="44"/>
      <c r="F321" s="44"/>
      <c r="G321" s="44"/>
      <c r="H321" s="44"/>
      <c r="I321" s="44"/>
    </row>
    <row r="322" spans="1:9">
      <c r="A322" s="84"/>
      <c r="B322" s="45"/>
      <c r="C322" s="85"/>
      <c r="D322" s="45"/>
      <c r="E322" s="45"/>
      <c r="F322" s="46"/>
      <c r="G322" s="46"/>
      <c r="H322" s="46"/>
      <c r="I322" s="45"/>
    </row>
    <row r="323" spans="1:9">
      <c r="A323" s="82"/>
      <c r="B323" s="44"/>
      <c r="C323" s="83"/>
      <c r="D323" s="44"/>
      <c r="E323" s="44"/>
      <c r="F323" s="44"/>
      <c r="G323" s="44"/>
      <c r="H323" s="44"/>
      <c r="I323" s="44"/>
    </row>
    <row r="324" spans="1:9">
      <c r="A324" s="84"/>
      <c r="B324" s="45"/>
      <c r="C324" s="85"/>
      <c r="D324" s="45"/>
      <c r="E324" s="45"/>
      <c r="F324" s="46"/>
      <c r="G324" s="46"/>
      <c r="H324" s="46"/>
      <c r="I324" s="45"/>
    </row>
    <row r="325" spans="1:9">
      <c r="A325" s="82"/>
      <c r="B325" s="44"/>
      <c r="C325" s="83"/>
      <c r="D325" s="44"/>
      <c r="E325" s="44"/>
      <c r="F325" s="44"/>
      <c r="G325" s="44"/>
      <c r="H325" s="44"/>
      <c r="I325" s="44"/>
    </row>
    <row r="326" spans="1:9">
      <c r="A326" s="84"/>
      <c r="B326" s="45"/>
      <c r="C326" s="85"/>
      <c r="D326" s="45"/>
      <c r="E326" s="45"/>
      <c r="F326" s="46"/>
      <c r="G326" s="46"/>
      <c r="H326" s="46"/>
      <c r="I326" s="45"/>
    </row>
    <row r="327" spans="1:9">
      <c r="A327" s="82"/>
      <c r="B327" s="44"/>
      <c r="C327" s="83"/>
      <c r="D327" s="44"/>
      <c r="E327" s="44"/>
      <c r="F327" s="44"/>
      <c r="G327" s="44"/>
      <c r="H327" s="44"/>
      <c r="I327" s="44"/>
    </row>
    <row r="328" spans="1:9">
      <c r="A328" s="84"/>
      <c r="B328" s="45"/>
      <c r="C328" s="85"/>
      <c r="D328" s="45"/>
      <c r="E328" s="45"/>
      <c r="F328" s="46"/>
      <c r="G328" s="46"/>
      <c r="H328" s="46"/>
      <c r="I328" s="45"/>
    </row>
    <row r="329" spans="1:9">
      <c r="A329" s="82"/>
      <c r="B329" s="44"/>
      <c r="C329" s="83"/>
      <c r="D329" s="44"/>
      <c r="E329" s="44"/>
      <c r="F329" s="44"/>
      <c r="G329" s="44"/>
      <c r="H329" s="44"/>
      <c r="I329" s="44"/>
    </row>
  </sheetData>
  <autoFilter ref="A1:I296" xr:uid="{00000000-0009-0000-0000-000004000000}"/>
  <dataValidations count="1">
    <dataValidation type="list" allowBlank="1" showInputMessage="1" showErrorMessage="1" sqref="G2:G1258" xr:uid="{00000000-0002-0000-0400-000000000000}">
      <formula1>"Ordered,Pending,Completed,Cancelled"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L1189"/>
  <sheetViews>
    <sheetView zoomScaleNormal="100" workbookViewId="0">
      <pane ySplit="1" topLeftCell="A211" activePane="bottomLeft" state="frozen"/>
      <selection activeCell="E1" sqref="E1"/>
      <selection pane="bottomLeft" activeCell="A230" sqref="A230"/>
    </sheetView>
  </sheetViews>
  <sheetFormatPr baseColWidth="10" defaultColWidth="7" defaultRowHeight="14"/>
  <cols>
    <col min="1" max="1" width="10" style="47" customWidth="1"/>
    <col min="2" max="2" width="94.33203125" style="47" customWidth="1"/>
    <col min="3" max="3" width="13.83203125" style="47" customWidth="1"/>
    <col min="4" max="4" width="17.5" style="47" customWidth="1"/>
    <col min="5" max="5" width="14.33203125" style="47" customWidth="1"/>
    <col min="6" max="6" width="8.1640625" style="47" customWidth="1"/>
    <col min="7" max="7" width="11.1640625" style="47" customWidth="1"/>
    <col min="8" max="8" width="13.5" style="47" customWidth="1"/>
    <col min="9" max="9" width="15.1640625" style="47" customWidth="1"/>
    <col min="10" max="10" width="13.83203125" style="47" customWidth="1"/>
    <col min="11" max="11" width="13.6640625" style="47" customWidth="1"/>
    <col min="12" max="12" width="70.5" style="47" customWidth="1"/>
    <col min="13" max="13" width="20.6640625" style="47" customWidth="1"/>
    <col min="14" max="14" width="13" style="47" customWidth="1"/>
    <col min="15" max="15" width="14.6640625" style="47" bestFit="1" customWidth="1"/>
    <col min="16" max="16" width="62.6640625" style="47" customWidth="1"/>
    <col min="17" max="17" width="14.83203125" style="47" customWidth="1"/>
    <col min="18" max="18" width="11.1640625" style="47" customWidth="1"/>
    <col min="19" max="20" width="10" style="48" customWidth="1"/>
    <col min="21" max="246" width="7" style="48"/>
    <col min="247" max="16384" width="7" style="47"/>
  </cols>
  <sheetData>
    <row r="1" spans="1:246" s="51" customFormat="1" ht="33.75" customHeight="1">
      <c r="A1" s="49" t="s">
        <v>490</v>
      </c>
      <c r="B1" s="49" t="s">
        <v>491</v>
      </c>
      <c r="C1" s="49" t="s">
        <v>93</v>
      </c>
      <c r="D1" s="49" t="s">
        <v>492</v>
      </c>
      <c r="E1" s="49" t="s">
        <v>493</v>
      </c>
      <c r="F1" s="49" t="s">
        <v>80</v>
      </c>
      <c r="G1" s="49" t="s">
        <v>82</v>
      </c>
      <c r="H1" s="49" t="s">
        <v>494</v>
      </c>
      <c r="I1" s="49" t="s">
        <v>495</v>
      </c>
      <c r="J1" s="49" t="s">
        <v>496</v>
      </c>
      <c r="K1" s="49" t="s">
        <v>497</v>
      </c>
      <c r="L1" s="49" t="s">
        <v>498</v>
      </c>
      <c r="M1" s="49" t="s">
        <v>141</v>
      </c>
      <c r="N1" s="49" t="s">
        <v>145</v>
      </c>
      <c r="O1" s="49" t="s">
        <v>142</v>
      </c>
      <c r="P1" s="49" t="s">
        <v>143</v>
      </c>
      <c r="Q1" s="49" t="s">
        <v>144</v>
      </c>
      <c r="R1" s="49" t="s">
        <v>499</v>
      </c>
      <c r="S1" s="49" t="s">
        <v>500</v>
      </c>
      <c r="T1" s="49" t="s">
        <v>501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50"/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50"/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50"/>
      <c r="EE1" s="50"/>
      <c r="EF1" s="50"/>
      <c r="EG1" s="50"/>
      <c r="EH1" s="50"/>
      <c r="EI1" s="50"/>
      <c r="EJ1" s="50"/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50"/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  <c r="FP1" s="50"/>
      <c r="FQ1" s="50"/>
      <c r="FR1" s="50"/>
      <c r="FS1" s="50"/>
      <c r="FT1" s="50"/>
      <c r="FU1" s="50"/>
      <c r="FV1" s="50"/>
      <c r="FW1" s="50"/>
      <c r="FX1" s="50"/>
      <c r="FY1" s="50"/>
      <c r="FZ1" s="50"/>
      <c r="GA1" s="50"/>
      <c r="GB1" s="50"/>
      <c r="GC1" s="50"/>
      <c r="GD1" s="50"/>
      <c r="GE1" s="50"/>
      <c r="GF1" s="50"/>
      <c r="GG1" s="50"/>
      <c r="GH1" s="50"/>
      <c r="GI1" s="50"/>
      <c r="GJ1" s="50"/>
      <c r="GK1" s="50"/>
      <c r="GL1" s="50"/>
      <c r="GM1" s="50"/>
      <c r="GN1" s="50"/>
      <c r="GO1" s="50"/>
      <c r="GP1" s="50"/>
      <c r="GQ1" s="50"/>
      <c r="GR1" s="50"/>
      <c r="GS1" s="50"/>
      <c r="GT1" s="50"/>
      <c r="GU1" s="50"/>
      <c r="GV1" s="50"/>
      <c r="GW1" s="50"/>
      <c r="GX1" s="50"/>
      <c r="GY1" s="50"/>
      <c r="GZ1" s="50"/>
      <c r="HA1" s="50"/>
      <c r="HB1" s="50"/>
      <c r="HC1" s="50"/>
      <c r="HD1" s="50"/>
      <c r="HE1" s="50"/>
      <c r="HF1" s="50"/>
      <c r="HG1" s="50"/>
      <c r="HH1" s="50"/>
      <c r="HI1" s="50"/>
      <c r="HJ1" s="50"/>
      <c r="HK1" s="50"/>
      <c r="HL1" s="50"/>
      <c r="HM1" s="50"/>
      <c r="HN1" s="50"/>
      <c r="HO1" s="50"/>
      <c r="HP1" s="50"/>
      <c r="HQ1" s="50"/>
      <c r="HR1" s="50"/>
      <c r="HS1" s="50"/>
      <c r="HT1" s="50"/>
      <c r="HU1" s="50"/>
      <c r="HV1" s="50"/>
      <c r="HW1" s="50"/>
      <c r="HX1" s="50"/>
      <c r="HY1" s="50"/>
      <c r="HZ1" s="50"/>
      <c r="IA1" s="50"/>
      <c r="IB1" s="50"/>
      <c r="IC1" s="50"/>
      <c r="ID1" s="50"/>
      <c r="IE1" s="50"/>
      <c r="IF1" s="50"/>
      <c r="IG1" s="50"/>
      <c r="IH1" s="50"/>
      <c r="II1" s="50"/>
      <c r="IJ1" s="50"/>
      <c r="IK1" s="50"/>
      <c r="IL1" s="50"/>
    </row>
    <row r="2" spans="1:246" s="54" customFormat="1" ht="15" customHeight="1">
      <c r="A2" s="52" t="s">
        <v>502</v>
      </c>
      <c r="B2" s="52" t="s">
        <v>503</v>
      </c>
      <c r="C2" s="52" t="s">
        <v>95</v>
      </c>
      <c r="D2" s="53">
        <v>779</v>
      </c>
      <c r="E2" s="53">
        <v>1250</v>
      </c>
      <c r="F2" s="53">
        <v>1</v>
      </c>
      <c r="G2" s="53">
        <v>0</v>
      </c>
      <c r="H2" s="52">
        <f t="shared" ref="H2:H33" si="0">F2+IF(LEN(G2)=0,0,G2)</f>
        <v>1</v>
      </c>
      <c r="I2" s="52">
        <f>IF(D2&lt;&gt;"",D2,IFERROR(E2/(IFERROR(SUM(Sales!C:C),0))*(IFERROR(SUM(Purchases!C:C),0)),0))</f>
        <v>779</v>
      </c>
      <c r="J2" s="52">
        <f t="shared" ref="J2:J65" si="1">F2*I2</f>
        <v>779</v>
      </c>
      <c r="K2" s="52">
        <f t="shared" ref="K2:K65" si="2">IF(LEN(G2)=0,0,G2)*I2</f>
        <v>0</v>
      </c>
      <c r="L2" s="52" t="s">
        <v>146</v>
      </c>
      <c r="M2" s="52" t="s">
        <v>49</v>
      </c>
      <c r="N2" s="52" t="s">
        <v>504</v>
      </c>
      <c r="O2" s="52"/>
      <c r="P2" s="52"/>
      <c r="Q2" s="52"/>
      <c r="R2" s="52"/>
      <c r="S2" s="52"/>
      <c r="T2" s="52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</row>
    <row r="3" spans="1:246" ht="15" customHeight="1">
      <c r="A3" s="55" t="s">
        <v>505</v>
      </c>
      <c r="B3" s="55" t="s">
        <v>506</v>
      </c>
      <c r="C3" s="55" t="s">
        <v>95</v>
      </c>
      <c r="D3" s="56">
        <v>1096</v>
      </c>
      <c r="E3" s="56">
        <v>1600</v>
      </c>
      <c r="F3" s="56">
        <v>1</v>
      </c>
      <c r="G3" s="56">
        <v>0</v>
      </c>
      <c r="H3" s="55">
        <f t="shared" si="0"/>
        <v>1</v>
      </c>
      <c r="I3" s="55">
        <f>IF(D3&lt;&gt;"",D3,IFERROR(E3/(IFERROR(SUM(Sales!C:C),0))*(IFERROR(SUM(Purchases!C:C),0)),0))</f>
        <v>1096</v>
      </c>
      <c r="J3" s="55">
        <f t="shared" si="1"/>
        <v>1096</v>
      </c>
      <c r="K3" s="55">
        <f t="shared" si="2"/>
        <v>0</v>
      </c>
      <c r="L3" s="55" t="s">
        <v>149</v>
      </c>
      <c r="M3" s="55" t="s">
        <v>49</v>
      </c>
      <c r="N3" s="55" t="s">
        <v>504</v>
      </c>
      <c r="O3" s="55"/>
      <c r="P3" s="55"/>
      <c r="Q3" s="55"/>
      <c r="R3" s="55"/>
      <c r="S3" s="55"/>
      <c r="T3" s="55"/>
    </row>
    <row r="4" spans="1:246" ht="15" customHeight="1">
      <c r="A4" s="52" t="s">
        <v>507</v>
      </c>
      <c r="B4" s="52" t="s">
        <v>508</v>
      </c>
      <c r="C4" s="52" t="s">
        <v>95</v>
      </c>
      <c r="D4" s="53">
        <v>1048</v>
      </c>
      <c r="E4" s="53">
        <v>2000</v>
      </c>
      <c r="F4" s="53">
        <v>1</v>
      </c>
      <c r="G4" s="53">
        <v>0</v>
      </c>
      <c r="H4" s="52">
        <f t="shared" si="0"/>
        <v>1</v>
      </c>
      <c r="I4" s="52">
        <f>IF(D4&lt;&gt;"",D4,IFERROR(E4/(IFERROR(SUM(Sales!C:C),0))*(IFERROR(SUM(Purchases!C:C),0)),0))</f>
        <v>1048</v>
      </c>
      <c r="J4" s="52">
        <f t="shared" si="1"/>
        <v>1048</v>
      </c>
      <c r="K4" s="52">
        <f t="shared" si="2"/>
        <v>0</v>
      </c>
      <c r="L4" s="52" t="s">
        <v>152</v>
      </c>
      <c r="M4" s="52" t="s">
        <v>49</v>
      </c>
      <c r="N4" s="52" t="s">
        <v>504</v>
      </c>
      <c r="O4" s="52"/>
      <c r="P4" s="52"/>
      <c r="Q4" s="52"/>
      <c r="R4" s="52"/>
      <c r="S4" s="52"/>
      <c r="T4" s="52"/>
    </row>
    <row r="5" spans="1:246" ht="15" customHeight="1">
      <c r="A5" s="55" t="s">
        <v>509</v>
      </c>
      <c r="B5" s="55" t="s">
        <v>510</v>
      </c>
      <c r="C5" s="55" t="s">
        <v>95</v>
      </c>
      <c r="D5" s="56">
        <v>887</v>
      </c>
      <c r="E5" s="56">
        <v>1600</v>
      </c>
      <c r="F5" s="56">
        <v>1</v>
      </c>
      <c r="G5" s="56">
        <v>0</v>
      </c>
      <c r="H5" s="55">
        <f t="shared" si="0"/>
        <v>1</v>
      </c>
      <c r="I5" s="55">
        <f>IF(D5&lt;&gt;"",D5,IFERROR(E5/(IFERROR(SUM(Sales!C:C),0))*(IFERROR(SUM(Purchases!C:C),0)),0))</f>
        <v>887</v>
      </c>
      <c r="J5" s="55">
        <f t="shared" si="1"/>
        <v>887</v>
      </c>
      <c r="K5" s="55">
        <f t="shared" si="2"/>
        <v>0</v>
      </c>
      <c r="L5" s="55" t="s">
        <v>153</v>
      </c>
      <c r="M5" s="55" t="s">
        <v>49</v>
      </c>
      <c r="N5" s="55" t="s">
        <v>504</v>
      </c>
      <c r="O5" s="55"/>
      <c r="P5" s="55"/>
      <c r="Q5" s="55"/>
      <c r="R5" s="55"/>
      <c r="S5" s="55"/>
      <c r="T5" s="55"/>
    </row>
    <row r="6" spans="1:246" ht="15" customHeight="1">
      <c r="A6" s="52" t="s">
        <v>511</v>
      </c>
      <c r="B6" s="52" t="s">
        <v>512</v>
      </c>
      <c r="C6" s="52" t="s">
        <v>95</v>
      </c>
      <c r="D6" s="53">
        <v>372</v>
      </c>
      <c r="E6" s="53">
        <v>750</v>
      </c>
      <c r="F6" s="53">
        <v>1</v>
      </c>
      <c r="G6" s="53">
        <v>0</v>
      </c>
      <c r="H6" s="52">
        <f t="shared" si="0"/>
        <v>1</v>
      </c>
      <c r="I6" s="52">
        <f>IF(D6&lt;&gt;"",D6,IFERROR(E6/(IFERROR(SUM(Sales!C:C),0))*(IFERROR(SUM(Purchases!C:C),0)),0))</f>
        <v>372</v>
      </c>
      <c r="J6" s="52">
        <f t="shared" si="1"/>
        <v>372</v>
      </c>
      <c r="K6" s="52">
        <f t="shared" si="2"/>
        <v>0</v>
      </c>
      <c r="L6" s="52" t="s">
        <v>513</v>
      </c>
      <c r="M6" s="52" t="s">
        <v>49</v>
      </c>
      <c r="N6" s="52" t="s">
        <v>504</v>
      </c>
      <c r="O6" s="52"/>
      <c r="P6" s="52"/>
      <c r="Q6" s="52"/>
      <c r="R6" s="52"/>
      <c r="S6" s="52"/>
      <c r="T6" s="52"/>
    </row>
    <row r="7" spans="1:246" ht="15" customHeight="1">
      <c r="A7" s="55" t="s">
        <v>514</v>
      </c>
      <c r="B7" s="55" t="s">
        <v>515</v>
      </c>
      <c r="C7" s="55" t="s">
        <v>95</v>
      </c>
      <c r="D7" s="56">
        <v>625</v>
      </c>
      <c r="E7" s="56">
        <v>1000</v>
      </c>
      <c r="F7" s="56">
        <v>1</v>
      </c>
      <c r="G7" s="56">
        <v>0</v>
      </c>
      <c r="H7" s="55">
        <f t="shared" si="0"/>
        <v>1</v>
      </c>
      <c r="I7" s="55">
        <f>IF(D7&lt;&gt;"",D7,IFERROR(E7/(IFERROR(SUM(Sales!C:C),0))*(IFERROR(SUM(Purchases!C:C),0)),0))</f>
        <v>625</v>
      </c>
      <c r="J7" s="55">
        <f t="shared" si="1"/>
        <v>625</v>
      </c>
      <c r="K7" s="55">
        <f t="shared" si="2"/>
        <v>0</v>
      </c>
      <c r="L7" s="55" t="s">
        <v>155</v>
      </c>
      <c r="M7" s="55" t="s">
        <v>49</v>
      </c>
      <c r="N7" s="55" t="s">
        <v>504</v>
      </c>
      <c r="O7" s="55"/>
      <c r="P7" s="55"/>
      <c r="Q7" s="55"/>
      <c r="R7" s="55"/>
      <c r="S7" s="55"/>
      <c r="T7" s="55"/>
    </row>
    <row r="8" spans="1:246" ht="15" customHeight="1">
      <c r="A8" s="52" t="s">
        <v>516</v>
      </c>
      <c r="B8" s="52" t="s">
        <v>517</v>
      </c>
      <c r="C8" s="52" t="s">
        <v>95</v>
      </c>
      <c r="D8" s="53">
        <v>1559</v>
      </c>
      <c r="E8" s="53">
        <v>2600</v>
      </c>
      <c r="F8" s="53">
        <v>1</v>
      </c>
      <c r="G8" s="53">
        <v>0</v>
      </c>
      <c r="H8" s="52">
        <f t="shared" si="0"/>
        <v>1</v>
      </c>
      <c r="I8" s="52">
        <f>IF(D8&lt;&gt;"",D8,IFERROR(E8/(IFERROR(SUM(Sales!C:C),0))*(IFERROR(SUM(Purchases!C:C),0)),0))</f>
        <v>1559</v>
      </c>
      <c r="J8" s="52">
        <f t="shared" si="1"/>
        <v>1559</v>
      </c>
      <c r="K8" s="52">
        <f t="shared" si="2"/>
        <v>0</v>
      </c>
      <c r="L8" s="52" t="s">
        <v>155</v>
      </c>
      <c r="M8" s="52" t="s">
        <v>49</v>
      </c>
      <c r="N8" s="52" t="s">
        <v>504</v>
      </c>
      <c r="O8" s="52"/>
      <c r="P8" s="52"/>
      <c r="Q8" s="52"/>
      <c r="R8" s="52"/>
      <c r="S8" s="52"/>
      <c r="T8" s="52"/>
    </row>
    <row r="9" spans="1:246" ht="15" customHeight="1">
      <c r="A9" s="55" t="s">
        <v>518</v>
      </c>
      <c r="B9" s="55" t="s">
        <v>519</v>
      </c>
      <c r="C9" s="55" t="s">
        <v>96</v>
      </c>
      <c r="D9" s="56">
        <v>839</v>
      </c>
      <c r="E9" s="56">
        <v>1000</v>
      </c>
      <c r="F9" s="56">
        <v>1</v>
      </c>
      <c r="G9" s="56">
        <v>0</v>
      </c>
      <c r="H9" s="55">
        <f t="shared" si="0"/>
        <v>1</v>
      </c>
      <c r="I9" s="55">
        <f>IF(D9&lt;&gt;"",D9,IFERROR(E9/(IFERROR(SUM(Sales!C:C),0))*(IFERROR(SUM(Purchases!C:C),0)),0))</f>
        <v>839</v>
      </c>
      <c r="J9" s="55">
        <f t="shared" si="1"/>
        <v>839</v>
      </c>
      <c r="K9" s="55">
        <f t="shared" si="2"/>
        <v>0</v>
      </c>
      <c r="L9" s="55" t="s">
        <v>155</v>
      </c>
      <c r="M9" s="55" t="s">
        <v>49</v>
      </c>
      <c r="N9" s="55" t="s">
        <v>504</v>
      </c>
      <c r="O9" s="55"/>
      <c r="P9" s="55"/>
      <c r="Q9" s="55"/>
      <c r="R9" s="55"/>
      <c r="S9" s="55"/>
      <c r="T9" s="55"/>
    </row>
    <row r="10" spans="1:246" ht="15" customHeight="1">
      <c r="A10" s="52" t="s">
        <v>520</v>
      </c>
      <c r="B10" s="52" t="s">
        <v>508</v>
      </c>
      <c r="C10" s="52" t="s">
        <v>95</v>
      </c>
      <c r="D10" s="53">
        <v>1148</v>
      </c>
      <c r="E10" s="53">
        <v>2000</v>
      </c>
      <c r="F10" s="53">
        <v>1</v>
      </c>
      <c r="G10" s="53">
        <v>0</v>
      </c>
      <c r="H10" s="52">
        <f t="shared" si="0"/>
        <v>1</v>
      </c>
      <c r="I10" s="52">
        <f>IF(D10&lt;&gt;"",D10,IFERROR(E10/(IFERROR(SUM(Sales!C:C),0))*(IFERROR(SUM(Purchases!C:C),0)),0))</f>
        <v>1148</v>
      </c>
      <c r="J10" s="52">
        <f t="shared" si="1"/>
        <v>1148</v>
      </c>
      <c r="K10" s="52">
        <f t="shared" si="2"/>
        <v>0</v>
      </c>
      <c r="L10" s="52" t="s">
        <v>156</v>
      </c>
      <c r="M10" s="52" t="s">
        <v>49</v>
      </c>
      <c r="N10" s="52" t="s">
        <v>504</v>
      </c>
      <c r="O10" s="52"/>
      <c r="P10" s="52"/>
      <c r="Q10" s="52"/>
      <c r="R10" s="52"/>
      <c r="S10" s="52"/>
      <c r="T10" s="52"/>
    </row>
    <row r="11" spans="1:246" ht="15" customHeight="1">
      <c r="A11" s="55" t="s">
        <v>521</v>
      </c>
      <c r="B11" s="55" t="s">
        <v>522</v>
      </c>
      <c r="C11" s="55" t="s">
        <v>95</v>
      </c>
      <c r="D11" s="56">
        <v>1252</v>
      </c>
      <c r="E11" s="56">
        <v>1800</v>
      </c>
      <c r="F11" s="56">
        <v>2</v>
      </c>
      <c r="G11" s="56">
        <v>0</v>
      </c>
      <c r="H11" s="55">
        <f t="shared" si="0"/>
        <v>2</v>
      </c>
      <c r="I11" s="55">
        <f>IF(D11&lt;&gt;"",D11,IFERROR(E11/(IFERROR(SUM(Sales!C:C),0))*(IFERROR(SUM(Purchases!C:C),0)),0))</f>
        <v>1252</v>
      </c>
      <c r="J11" s="55">
        <f t="shared" si="1"/>
        <v>2504</v>
      </c>
      <c r="K11" s="55">
        <f t="shared" si="2"/>
        <v>0</v>
      </c>
      <c r="L11" s="55" t="s">
        <v>523</v>
      </c>
      <c r="M11" s="55" t="s">
        <v>49</v>
      </c>
      <c r="N11" s="55" t="s">
        <v>504</v>
      </c>
      <c r="O11" s="55"/>
      <c r="P11" s="55"/>
      <c r="Q11" s="55"/>
      <c r="R11" s="55"/>
      <c r="S11" s="55"/>
      <c r="T11" s="55"/>
    </row>
    <row r="12" spans="1:246" ht="15" customHeight="1">
      <c r="A12" s="52" t="s">
        <v>524</v>
      </c>
      <c r="B12" s="52" t="s">
        <v>525</v>
      </c>
      <c r="C12" s="52" t="s">
        <v>96</v>
      </c>
      <c r="D12" s="53">
        <v>1096</v>
      </c>
      <c r="E12" s="53">
        <v>1600</v>
      </c>
      <c r="F12" s="53">
        <v>1</v>
      </c>
      <c r="G12" s="53">
        <v>0</v>
      </c>
      <c r="H12" s="52">
        <f t="shared" si="0"/>
        <v>1</v>
      </c>
      <c r="I12" s="52">
        <f>IF(D12&lt;&gt;"",D12,IFERROR(E12/(IFERROR(SUM(Sales!C:C),0))*(IFERROR(SUM(Purchases!C:C),0)),0))</f>
        <v>1096</v>
      </c>
      <c r="J12" s="52">
        <f t="shared" si="1"/>
        <v>1096</v>
      </c>
      <c r="K12" s="52">
        <f t="shared" si="2"/>
        <v>0</v>
      </c>
      <c r="L12" s="52" t="s">
        <v>157</v>
      </c>
      <c r="M12" s="52" t="s">
        <v>49</v>
      </c>
      <c r="N12" s="52" t="s">
        <v>504</v>
      </c>
      <c r="O12" s="52"/>
      <c r="P12" s="52"/>
      <c r="Q12" s="52"/>
      <c r="R12" s="52"/>
      <c r="S12" s="52"/>
      <c r="T12" s="52"/>
    </row>
    <row r="13" spans="1:246" ht="15" customHeight="1">
      <c r="A13" s="55" t="s">
        <v>526</v>
      </c>
      <c r="B13" s="55" t="s">
        <v>527</v>
      </c>
      <c r="C13" s="55" t="s">
        <v>96</v>
      </c>
      <c r="D13" s="56">
        <v>1096</v>
      </c>
      <c r="E13" s="56">
        <v>1600</v>
      </c>
      <c r="F13" s="56">
        <v>1</v>
      </c>
      <c r="G13" s="56">
        <v>0</v>
      </c>
      <c r="H13" s="55">
        <f t="shared" si="0"/>
        <v>1</v>
      </c>
      <c r="I13" s="55">
        <f>IF(D13&lt;&gt;"",D13,IFERROR(E13/(IFERROR(SUM(Sales!C:C),0))*(IFERROR(SUM(Purchases!C:C),0)),0))</f>
        <v>1096</v>
      </c>
      <c r="J13" s="55">
        <f t="shared" si="1"/>
        <v>1096</v>
      </c>
      <c r="K13" s="55">
        <f t="shared" si="2"/>
        <v>0</v>
      </c>
      <c r="L13" s="55" t="s">
        <v>158</v>
      </c>
      <c r="M13" s="55" t="s">
        <v>49</v>
      </c>
      <c r="N13" s="55" t="s">
        <v>504</v>
      </c>
      <c r="O13" s="55"/>
      <c r="P13" s="55"/>
      <c r="Q13" s="55"/>
      <c r="R13" s="55"/>
      <c r="S13" s="55"/>
      <c r="T13" s="55"/>
    </row>
    <row r="14" spans="1:246" ht="15" customHeight="1">
      <c r="A14" s="52" t="s">
        <v>528</v>
      </c>
      <c r="B14" s="52" t="s">
        <v>529</v>
      </c>
      <c r="C14" s="52" t="s">
        <v>96</v>
      </c>
      <c r="D14" s="53">
        <v>1080</v>
      </c>
      <c r="E14" s="53">
        <v>1600</v>
      </c>
      <c r="F14" s="53">
        <v>1</v>
      </c>
      <c r="G14" s="53">
        <v>0</v>
      </c>
      <c r="H14" s="52">
        <f t="shared" si="0"/>
        <v>1</v>
      </c>
      <c r="I14" s="52">
        <f>IF(D14&lt;&gt;"",D14,IFERROR(E14/(IFERROR(SUM(Sales!C:C),0))*(IFERROR(SUM(Purchases!C:C),0)),0))</f>
        <v>1080</v>
      </c>
      <c r="J14" s="52">
        <f t="shared" si="1"/>
        <v>1080</v>
      </c>
      <c r="K14" s="52">
        <f t="shared" si="2"/>
        <v>0</v>
      </c>
      <c r="L14" s="52" t="s">
        <v>160</v>
      </c>
      <c r="M14" s="52" t="s">
        <v>49</v>
      </c>
      <c r="N14" s="52" t="s">
        <v>504</v>
      </c>
      <c r="O14" s="52"/>
      <c r="P14" s="52"/>
      <c r="Q14" s="52"/>
      <c r="R14" s="52"/>
      <c r="S14" s="52"/>
      <c r="T14" s="52"/>
    </row>
    <row r="15" spans="1:246" ht="15" customHeight="1">
      <c r="A15" s="55" t="s">
        <v>530</v>
      </c>
      <c r="B15" s="55" t="s">
        <v>531</v>
      </c>
      <c r="C15" s="55" t="s">
        <v>96</v>
      </c>
      <c r="D15" s="56">
        <v>839</v>
      </c>
      <c r="E15" s="56">
        <v>1200</v>
      </c>
      <c r="F15" s="56">
        <v>1</v>
      </c>
      <c r="G15" s="56">
        <v>0</v>
      </c>
      <c r="H15" s="55">
        <f t="shared" si="0"/>
        <v>1</v>
      </c>
      <c r="I15" s="55">
        <f>IF(D15&lt;&gt;"",D15,IFERROR(E15/(IFERROR(SUM(Sales!C:C),0))*(IFERROR(SUM(Purchases!C:C),0)),0))</f>
        <v>839</v>
      </c>
      <c r="J15" s="55">
        <f t="shared" si="1"/>
        <v>839</v>
      </c>
      <c r="K15" s="55">
        <f t="shared" si="2"/>
        <v>0</v>
      </c>
      <c r="L15" s="55" t="s">
        <v>160</v>
      </c>
      <c r="M15" s="55" t="s">
        <v>49</v>
      </c>
      <c r="N15" s="55" t="s">
        <v>504</v>
      </c>
      <c r="O15" s="55"/>
      <c r="P15" s="55"/>
      <c r="Q15" s="55"/>
      <c r="R15" s="55"/>
      <c r="S15" s="55"/>
      <c r="T15" s="55"/>
    </row>
    <row r="16" spans="1:246" s="58" customFormat="1" ht="15" customHeight="1">
      <c r="A16" s="52" t="s">
        <v>532</v>
      </c>
      <c r="B16" s="52" t="s">
        <v>533</v>
      </c>
      <c r="C16" s="52" t="s">
        <v>96</v>
      </c>
      <c r="D16" s="53">
        <v>995</v>
      </c>
      <c r="E16" s="53">
        <v>1200</v>
      </c>
      <c r="F16" s="53">
        <v>1</v>
      </c>
      <c r="G16" s="53">
        <v>0</v>
      </c>
      <c r="H16" s="52">
        <f t="shared" si="0"/>
        <v>1</v>
      </c>
      <c r="I16" s="52">
        <f>IF(D16&lt;&gt;"",D16,IFERROR(E16/(IFERROR(SUM(Sales!C:C),0))*(IFERROR(SUM(Purchases!C:C),0)),0))</f>
        <v>995</v>
      </c>
      <c r="J16" s="52">
        <f t="shared" si="1"/>
        <v>995</v>
      </c>
      <c r="K16" s="52">
        <f t="shared" si="2"/>
        <v>0</v>
      </c>
      <c r="L16" s="52" t="s">
        <v>160</v>
      </c>
      <c r="M16" s="52" t="s">
        <v>49</v>
      </c>
      <c r="N16" s="52" t="s">
        <v>504</v>
      </c>
      <c r="O16" s="52"/>
      <c r="P16" s="52"/>
      <c r="Q16" s="52"/>
      <c r="R16" s="52"/>
      <c r="S16" s="52"/>
      <c r="T16" s="52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57"/>
      <c r="FW16" s="57"/>
      <c r="FX16" s="57"/>
      <c r="FY16" s="57"/>
      <c r="FZ16" s="57"/>
      <c r="GA16" s="57"/>
      <c r="GB16" s="57"/>
      <c r="GC16" s="57"/>
      <c r="GD16" s="57"/>
      <c r="GE16" s="57"/>
      <c r="GF16" s="57"/>
      <c r="GG16" s="57"/>
      <c r="GH16" s="57"/>
      <c r="GI16" s="57"/>
      <c r="GJ16" s="57"/>
      <c r="GK16" s="57"/>
      <c r="GL16" s="57"/>
      <c r="GM16" s="57"/>
      <c r="GN16" s="57"/>
      <c r="GO16" s="57"/>
      <c r="GP16" s="57"/>
      <c r="GQ16" s="57"/>
      <c r="GR16" s="57"/>
      <c r="GS16" s="57"/>
      <c r="GT16" s="57"/>
      <c r="GU16" s="57"/>
      <c r="GV16" s="57"/>
      <c r="GW16" s="57"/>
      <c r="GX16" s="57"/>
      <c r="GY16" s="57"/>
      <c r="GZ16" s="57"/>
      <c r="HA16" s="57"/>
      <c r="HB16" s="57"/>
      <c r="HC16" s="57"/>
      <c r="HD16" s="57"/>
      <c r="HE16" s="57"/>
      <c r="HF16" s="57"/>
      <c r="HG16" s="57"/>
      <c r="HH16" s="57"/>
      <c r="HI16" s="57"/>
      <c r="HJ16" s="57"/>
      <c r="HK16" s="57"/>
      <c r="HL16" s="57"/>
      <c r="HM16" s="57"/>
      <c r="HN16" s="57"/>
      <c r="HO16" s="57"/>
      <c r="HP16" s="57"/>
      <c r="HQ16" s="57"/>
      <c r="HR16" s="57"/>
      <c r="HS16" s="57"/>
      <c r="HT16" s="57"/>
      <c r="HU16" s="57"/>
      <c r="HV16" s="57"/>
      <c r="HW16" s="57"/>
      <c r="HX16" s="57"/>
      <c r="HY16" s="57"/>
      <c r="HZ16" s="57"/>
      <c r="IA16" s="57"/>
      <c r="IB16" s="57"/>
      <c r="IC16" s="57"/>
      <c r="ID16" s="57"/>
      <c r="IE16" s="57"/>
      <c r="IF16" s="57"/>
      <c r="IG16" s="57"/>
      <c r="IH16" s="57"/>
      <c r="II16" s="57"/>
      <c r="IJ16" s="57"/>
      <c r="IK16" s="57"/>
      <c r="IL16" s="57"/>
    </row>
    <row r="17" spans="1:246" ht="15" customHeight="1">
      <c r="A17" s="55" t="s">
        <v>534</v>
      </c>
      <c r="B17" s="55" t="s">
        <v>535</v>
      </c>
      <c r="C17" s="55" t="s">
        <v>95</v>
      </c>
      <c r="D17" s="56">
        <v>779</v>
      </c>
      <c r="E17" s="56">
        <v>1200</v>
      </c>
      <c r="F17" s="56">
        <v>1</v>
      </c>
      <c r="G17" s="56">
        <v>0</v>
      </c>
      <c r="H17" s="55">
        <f t="shared" si="0"/>
        <v>1</v>
      </c>
      <c r="I17" s="55">
        <f>IF(D17&lt;&gt;"",D17,IFERROR(E17/(IFERROR(SUM(Sales!C:C),0))*(IFERROR(SUM(Purchases!C:C),0)),0))</f>
        <v>779</v>
      </c>
      <c r="J17" s="55">
        <f t="shared" si="1"/>
        <v>779</v>
      </c>
      <c r="K17" s="55">
        <f t="shared" si="2"/>
        <v>0</v>
      </c>
      <c r="L17" s="55" t="s">
        <v>161</v>
      </c>
      <c r="M17" s="55" t="s">
        <v>49</v>
      </c>
      <c r="N17" s="55" t="s">
        <v>504</v>
      </c>
      <c r="O17" s="55"/>
      <c r="P17" s="55"/>
      <c r="Q17" s="55"/>
      <c r="R17" s="55"/>
      <c r="S17" s="55"/>
      <c r="T17" s="55"/>
    </row>
    <row r="18" spans="1:246" ht="15" customHeight="1">
      <c r="A18" s="52" t="s">
        <v>536</v>
      </c>
      <c r="B18" s="52" t="s">
        <v>517</v>
      </c>
      <c r="C18" s="52" t="s">
        <v>95</v>
      </c>
      <c r="D18" s="53">
        <v>1559</v>
      </c>
      <c r="E18" s="53">
        <v>2700</v>
      </c>
      <c r="F18" s="53">
        <v>1</v>
      </c>
      <c r="G18" s="53">
        <v>0</v>
      </c>
      <c r="H18" s="52">
        <f t="shared" si="0"/>
        <v>1</v>
      </c>
      <c r="I18" s="52">
        <f>IF(D18&lt;&gt;"",D18,IFERROR(E18/(IFERROR(SUM(Sales!C:C),0))*(IFERROR(SUM(Purchases!C:C),0)),0))</f>
        <v>1559</v>
      </c>
      <c r="J18" s="52">
        <f t="shared" si="1"/>
        <v>1559</v>
      </c>
      <c r="K18" s="52">
        <f t="shared" si="2"/>
        <v>0</v>
      </c>
      <c r="L18" s="52" t="s">
        <v>161</v>
      </c>
      <c r="M18" s="52" t="s">
        <v>49</v>
      </c>
      <c r="N18" s="52" t="s">
        <v>504</v>
      </c>
      <c r="O18" s="52"/>
      <c r="P18" s="52"/>
      <c r="Q18" s="52"/>
      <c r="R18" s="52"/>
      <c r="S18" s="52"/>
      <c r="T18" s="52"/>
    </row>
    <row r="19" spans="1:246" ht="15" customHeight="1">
      <c r="A19" s="55" t="s">
        <v>537</v>
      </c>
      <c r="B19" s="55" t="s">
        <v>538</v>
      </c>
      <c r="C19" s="55" t="s">
        <v>96</v>
      </c>
      <c r="D19" s="56">
        <v>1096</v>
      </c>
      <c r="E19" s="56">
        <v>1600</v>
      </c>
      <c r="F19" s="56">
        <v>1</v>
      </c>
      <c r="G19" s="56">
        <v>0</v>
      </c>
      <c r="H19" s="55">
        <f t="shared" si="0"/>
        <v>1</v>
      </c>
      <c r="I19" s="55">
        <f>IF(D19&lt;&gt;"",D19,IFERROR(E19/(IFERROR(SUM(Sales!C:C),0))*(IFERROR(SUM(Purchases!C:C),0)),0))</f>
        <v>1096</v>
      </c>
      <c r="J19" s="55">
        <f t="shared" si="1"/>
        <v>1096</v>
      </c>
      <c r="K19" s="55">
        <f t="shared" si="2"/>
        <v>0</v>
      </c>
      <c r="L19" s="55" t="s">
        <v>161</v>
      </c>
      <c r="M19" s="55" t="s">
        <v>49</v>
      </c>
      <c r="N19" s="55" t="s">
        <v>504</v>
      </c>
      <c r="O19" s="55"/>
      <c r="P19" s="55"/>
      <c r="Q19" s="55"/>
      <c r="R19" s="55"/>
      <c r="S19" s="55"/>
      <c r="T19" s="55"/>
    </row>
    <row r="20" spans="1:246" s="58" customFormat="1" ht="15" customHeight="1">
      <c r="A20" s="52" t="s">
        <v>539</v>
      </c>
      <c r="B20" s="52" t="s">
        <v>533</v>
      </c>
      <c r="C20" s="52" t="s">
        <v>96</v>
      </c>
      <c r="D20" s="53">
        <v>995</v>
      </c>
      <c r="E20" s="53">
        <v>1400</v>
      </c>
      <c r="F20" s="53">
        <v>1</v>
      </c>
      <c r="G20" s="53">
        <v>0</v>
      </c>
      <c r="H20" s="52">
        <f t="shared" si="0"/>
        <v>1</v>
      </c>
      <c r="I20" s="52">
        <f>IF(D20&lt;&gt;"",D20,IFERROR(E20/(IFERROR(SUM(Sales!C:C),0))*(IFERROR(SUM(Purchases!C:C),0)),0))</f>
        <v>995</v>
      </c>
      <c r="J20" s="52">
        <f t="shared" si="1"/>
        <v>995</v>
      </c>
      <c r="K20" s="52">
        <f t="shared" si="2"/>
        <v>0</v>
      </c>
      <c r="L20" s="52" t="s">
        <v>161</v>
      </c>
      <c r="M20" s="52" t="s">
        <v>49</v>
      </c>
      <c r="N20" s="52" t="s">
        <v>504</v>
      </c>
      <c r="O20" s="52"/>
      <c r="P20" s="52"/>
      <c r="Q20" s="52"/>
      <c r="R20" s="52"/>
      <c r="S20" s="52"/>
      <c r="T20" s="52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</row>
    <row r="21" spans="1:246" ht="15" customHeight="1">
      <c r="A21" s="55" t="s">
        <v>540</v>
      </c>
      <c r="B21" s="55" t="s">
        <v>519</v>
      </c>
      <c r="C21" s="55" t="s">
        <v>96</v>
      </c>
      <c r="D21" s="56">
        <v>839</v>
      </c>
      <c r="E21" s="56">
        <v>1100</v>
      </c>
      <c r="F21" s="56">
        <v>1</v>
      </c>
      <c r="G21" s="56">
        <v>0</v>
      </c>
      <c r="H21" s="55">
        <f t="shared" si="0"/>
        <v>1</v>
      </c>
      <c r="I21" s="55">
        <f>IF(D21&lt;&gt;"",D21,IFERROR(E21/(IFERROR(SUM(Sales!C:C),0))*(IFERROR(SUM(Purchases!C:C),0)),0))</f>
        <v>839</v>
      </c>
      <c r="J21" s="55">
        <f t="shared" si="1"/>
        <v>839</v>
      </c>
      <c r="K21" s="55">
        <f t="shared" si="2"/>
        <v>0</v>
      </c>
      <c r="L21" s="55" t="s">
        <v>161</v>
      </c>
      <c r="M21" s="55" t="s">
        <v>49</v>
      </c>
      <c r="N21" s="55" t="s">
        <v>504</v>
      </c>
      <c r="O21" s="55"/>
      <c r="P21" s="55"/>
      <c r="Q21" s="55"/>
      <c r="R21" s="55"/>
      <c r="S21" s="55"/>
      <c r="T21" s="55"/>
    </row>
    <row r="22" spans="1:246" ht="15" customHeight="1">
      <c r="A22" s="52" t="s">
        <v>541</v>
      </c>
      <c r="B22" s="52" t="s">
        <v>542</v>
      </c>
      <c r="C22" s="52" t="s">
        <v>95</v>
      </c>
      <c r="D22" s="53">
        <v>887</v>
      </c>
      <c r="E22" s="53">
        <v>1300</v>
      </c>
      <c r="F22" s="53">
        <v>1</v>
      </c>
      <c r="G22" s="53">
        <v>0</v>
      </c>
      <c r="H22" s="52">
        <f t="shared" si="0"/>
        <v>1</v>
      </c>
      <c r="I22" s="52">
        <f>IF(D22&lt;&gt;"",D22,IFERROR(E22/(IFERROR(SUM(Sales!C:C),0))*(IFERROR(SUM(Purchases!C:C),0)),0))</f>
        <v>887</v>
      </c>
      <c r="J22" s="52">
        <f t="shared" si="1"/>
        <v>887</v>
      </c>
      <c r="K22" s="52">
        <f t="shared" si="2"/>
        <v>0</v>
      </c>
      <c r="L22" s="52" t="s">
        <v>152</v>
      </c>
      <c r="M22" s="52" t="s">
        <v>49</v>
      </c>
      <c r="N22" s="52" t="s">
        <v>504</v>
      </c>
      <c r="O22" s="52"/>
      <c r="P22" s="52"/>
      <c r="Q22" s="52"/>
      <c r="R22" s="52"/>
      <c r="S22" s="52"/>
      <c r="T22" s="52"/>
    </row>
    <row r="23" spans="1:246" ht="15" customHeight="1">
      <c r="A23" s="55" t="s">
        <v>543</v>
      </c>
      <c r="B23" s="55" t="s">
        <v>109</v>
      </c>
      <c r="C23" s="55" t="s">
        <v>95</v>
      </c>
      <c r="D23" s="56">
        <v>562</v>
      </c>
      <c r="E23" s="56">
        <v>900</v>
      </c>
      <c r="F23" s="56">
        <v>3</v>
      </c>
      <c r="G23" s="56">
        <v>0</v>
      </c>
      <c r="H23" s="55">
        <f t="shared" si="0"/>
        <v>3</v>
      </c>
      <c r="I23" s="55">
        <f>IF(D23&lt;&gt;"",D23,IFERROR(E23/(IFERROR(SUM(Sales!C:C),0))*(IFERROR(SUM(Purchases!C:C),0)),0))</f>
        <v>562</v>
      </c>
      <c r="J23" s="55">
        <f t="shared" si="1"/>
        <v>1686</v>
      </c>
      <c r="K23" s="55">
        <f t="shared" si="2"/>
        <v>0</v>
      </c>
      <c r="L23" s="55" t="s">
        <v>544</v>
      </c>
      <c r="M23" s="55" t="s">
        <v>49</v>
      </c>
      <c r="N23" s="55" t="s">
        <v>504</v>
      </c>
      <c r="O23" s="55"/>
      <c r="P23" s="55"/>
      <c r="Q23" s="55"/>
      <c r="R23" s="55"/>
      <c r="S23" s="55"/>
      <c r="T23" s="55"/>
    </row>
    <row r="24" spans="1:246" ht="15" customHeight="1">
      <c r="A24" s="52" t="s">
        <v>545</v>
      </c>
      <c r="B24" s="52" t="s">
        <v>512</v>
      </c>
      <c r="C24" s="52" t="s">
        <v>95</v>
      </c>
      <c r="D24" s="53">
        <v>372</v>
      </c>
      <c r="E24" s="53">
        <v>750</v>
      </c>
      <c r="F24" s="53">
        <v>1</v>
      </c>
      <c r="G24" s="53">
        <v>0</v>
      </c>
      <c r="H24" s="52">
        <f t="shared" si="0"/>
        <v>1</v>
      </c>
      <c r="I24" s="52">
        <f>IF(D24&lt;&gt;"",D24,IFERROR(E24/(IFERROR(SUM(Sales!C:C),0))*(IFERROR(SUM(Purchases!C:C),0)),0))</f>
        <v>372</v>
      </c>
      <c r="J24" s="52">
        <f t="shared" si="1"/>
        <v>372</v>
      </c>
      <c r="K24" s="52">
        <f t="shared" si="2"/>
        <v>0</v>
      </c>
      <c r="L24" s="52" t="s">
        <v>164</v>
      </c>
      <c r="M24" s="52" t="s">
        <v>49</v>
      </c>
      <c r="N24" s="52" t="s">
        <v>504</v>
      </c>
      <c r="O24" s="52"/>
      <c r="P24" s="52"/>
      <c r="Q24" s="52"/>
      <c r="R24" s="52"/>
      <c r="S24" s="52"/>
      <c r="T24" s="52"/>
    </row>
    <row r="25" spans="1:246" ht="15" customHeight="1">
      <c r="A25" s="55" t="s">
        <v>546</v>
      </c>
      <c r="B25" s="55" t="s">
        <v>512</v>
      </c>
      <c r="C25" s="55" t="s">
        <v>95</v>
      </c>
      <c r="D25" s="56">
        <v>372</v>
      </c>
      <c r="E25" s="56">
        <v>700</v>
      </c>
      <c r="F25" s="56">
        <v>1</v>
      </c>
      <c r="G25" s="56">
        <v>0</v>
      </c>
      <c r="H25" s="55">
        <f t="shared" si="0"/>
        <v>1</v>
      </c>
      <c r="I25" s="55">
        <f>IF(D25&lt;&gt;"",D25,IFERROR(E25/(IFERROR(SUM(Sales!C:C),0))*(IFERROR(SUM(Purchases!C:C),0)),0))</f>
        <v>372</v>
      </c>
      <c r="J25" s="55">
        <f t="shared" si="1"/>
        <v>372</v>
      </c>
      <c r="K25" s="55">
        <f t="shared" si="2"/>
        <v>0</v>
      </c>
      <c r="L25" s="55" t="s">
        <v>165</v>
      </c>
      <c r="M25" s="55" t="s">
        <v>49</v>
      </c>
      <c r="N25" s="55" t="s">
        <v>504</v>
      </c>
      <c r="O25" s="55"/>
      <c r="P25" s="55"/>
      <c r="Q25" s="55"/>
      <c r="R25" s="55"/>
      <c r="S25" s="55"/>
      <c r="T25" s="55"/>
    </row>
    <row r="26" spans="1:246" ht="15" customHeight="1">
      <c r="A26" s="52" t="s">
        <v>547</v>
      </c>
      <c r="B26" s="52" t="s">
        <v>548</v>
      </c>
      <c r="C26" s="52" t="s">
        <v>95</v>
      </c>
      <c r="D26" s="53">
        <v>1669</v>
      </c>
      <c r="E26" s="53">
        <v>2200</v>
      </c>
      <c r="F26" s="53">
        <v>1</v>
      </c>
      <c r="G26" s="53">
        <v>0</v>
      </c>
      <c r="H26" s="52">
        <f t="shared" si="0"/>
        <v>1</v>
      </c>
      <c r="I26" s="52">
        <f>IF(D26&lt;&gt;"",D26,IFERROR(E26/(IFERROR(SUM(Sales!C:C),0))*(IFERROR(SUM(Purchases!C:C),0)),0))</f>
        <v>1669</v>
      </c>
      <c r="J26" s="52">
        <f t="shared" si="1"/>
        <v>1669</v>
      </c>
      <c r="K26" s="52">
        <f t="shared" si="2"/>
        <v>0</v>
      </c>
      <c r="L26" s="52" t="s">
        <v>166</v>
      </c>
      <c r="M26" s="52" t="s">
        <v>49</v>
      </c>
      <c r="N26" s="52" t="s">
        <v>504</v>
      </c>
      <c r="O26" s="52"/>
      <c r="P26" s="52"/>
      <c r="Q26" s="52"/>
      <c r="R26" s="52"/>
      <c r="S26" s="52"/>
      <c r="T26" s="52"/>
    </row>
    <row r="27" spans="1:246" ht="15" customHeight="1">
      <c r="A27" s="55" t="s">
        <v>549</v>
      </c>
      <c r="B27" s="55" t="s">
        <v>512</v>
      </c>
      <c r="C27" s="55" t="s">
        <v>95</v>
      </c>
      <c r="D27" s="56">
        <v>372</v>
      </c>
      <c r="E27" s="56">
        <v>700</v>
      </c>
      <c r="F27" s="56">
        <v>1</v>
      </c>
      <c r="G27" s="56">
        <v>0</v>
      </c>
      <c r="H27" s="55">
        <f t="shared" si="0"/>
        <v>1</v>
      </c>
      <c r="I27" s="55">
        <f>IF(D27&lt;&gt;"",D27,IFERROR(E27/(IFERROR(SUM(Sales!C:C),0))*(IFERROR(SUM(Purchases!C:C),0)),0))</f>
        <v>372</v>
      </c>
      <c r="J27" s="55">
        <f t="shared" si="1"/>
        <v>372</v>
      </c>
      <c r="K27" s="55">
        <f t="shared" si="2"/>
        <v>0</v>
      </c>
      <c r="L27" s="55" t="s">
        <v>166</v>
      </c>
      <c r="M27" s="55" t="s">
        <v>49</v>
      </c>
      <c r="N27" s="55" t="s">
        <v>504</v>
      </c>
      <c r="O27" s="55"/>
      <c r="P27" s="55"/>
      <c r="Q27" s="55"/>
      <c r="R27" s="55"/>
      <c r="S27" s="55"/>
      <c r="T27" s="55"/>
    </row>
    <row r="28" spans="1:246" ht="15" customHeight="1">
      <c r="A28" s="52" t="s">
        <v>550</v>
      </c>
      <c r="B28" s="52" t="s">
        <v>551</v>
      </c>
      <c r="C28" s="52" t="s">
        <v>95</v>
      </c>
      <c r="D28" s="53">
        <v>1669</v>
      </c>
      <c r="E28" s="53">
        <v>2600</v>
      </c>
      <c r="F28" s="53">
        <v>1</v>
      </c>
      <c r="G28" s="53">
        <v>0</v>
      </c>
      <c r="H28" s="52">
        <f t="shared" si="0"/>
        <v>1</v>
      </c>
      <c r="I28" s="52">
        <f>IF(D28&lt;&gt;"",D28,IFERROR(E28/(IFERROR(SUM(Sales!C:C),0))*(IFERROR(SUM(Purchases!C:C),0)),0))</f>
        <v>1669</v>
      </c>
      <c r="J28" s="52">
        <f t="shared" si="1"/>
        <v>1669</v>
      </c>
      <c r="K28" s="52">
        <f t="shared" si="2"/>
        <v>0</v>
      </c>
      <c r="L28" s="52" t="s">
        <v>167</v>
      </c>
      <c r="M28" s="52" t="s">
        <v>49</v>
      </c>
      <c r="N28" s="52" t="s">
        <v>504</v>
      </c>
      <c r="O28" s="52"/>
      <c r="P28" s="52"/>
      <c r="Q28" s="52"/>
      <c r="R28" s="52"/>
      <c r="S28" s="52"/>
      <c r="T28" s="52"/>
    </row>
    <row r="29" spans="1:246" s="58" customFormat="1" ht="15" customHeight="1">
      <c r="A29" s="55" t="s">
        <v>552</v>
      </c>
      <c r="B29" s="55" t="s">
        <v>553</v>
      </c>
      <c r="C29" s="55" t="s">
        <v>96</v>
      </c>
      <c r="D29" s="56">
        <v>995</v>
      </c>
      <c r="E29" s="56">
        <v>1000</v>
      </c>
      <c r="F29" s="56">
        <v>1</v>
      </c>
      <c r="G29" s="56">
        <v>0</v>
      </c>
      <c r="H29" s="55">
        <f t="shared" si="0"/>
        <v>1</v>
      </c>
      <c r="I29" s="55">
        <f>IF(D29&lt;&gt;"",D29,IFERROR(E29/(IFERROR(SUM(Sales!C:C),0))*(IFERROR(SUM(Purchases!C:C),0)),0))</f>
        <v>995</v>
      </c>
      <c r="J29" s="55">
        <f t="shared" si="1"/>
        <v>995</v>
      </c>
      <c r="K29" s="55">
        <f t="shared" si="2"/>
        <v>0</v>
      </c>
      <c r="L29" s="55" t="s">
        <v>169</v>
      </c>
      <c r="M29" s="55" t="s">
        <v>49</v>
      </c>
      <c r="N29" s="55" t="s">
        <v>504</v>
      </c>
      <c r="O29" s="55"/>
      <c r="P29" s="55"/>
      <c r="Q29" s="55"/>
      <c r="R29" s="55"/>
      <c r="S29" s="55"/>
      <c r="T29" s="55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  <c r="EY29" s="57"/>
      <c r="EZ29" s="57"/>
      <c r="FA29" s="57"/>
      <c r="FB29" s="57"/>
      <c r="FC29" s="57"/>
      <c r="FD29" s="57"/>
      <c r="FE29" s="57"/>
      <c r="FF29" s="57"/>
      <c r="FG29" s="57"/>
      <c r="FH29" s="57"/>
      <c r="FI29" s="57"/>
      <c r="FJ29" s="57"/>
      <c r="FK29" s="57"/>
      <c r="FL29" s="57"/>
      <c r="FM29" s="57"/>
      <c r="FN29" s="57"/>
      <c r="FO29" s="57"/>
      <c r="FP29" s="57"/>
      <c r="FQ29" s="57"/>
      <c r="FR29" s="57"/>
      <c r="FS29" s="57"/>
      <c r="FT29" s="57"/>
      <c r="FU29" s="57"/>
      <c r="FV29" s="57"/>
      <c r="FW29" s="57"/>
      <c r="FX29" s="57"/>
      <c r="FY29" s="57"/>
      <c r="FZ29" s="57"/>
      <c r="GA29" s="57"/>
      <c r="GB29" s="57"/>
      <c r="GC29" s="57"/>
      <c r="GD29" s="57"/>
      <c r="GE29" s="57"/>
      <c r="GF29" s="57"/>
      <c r="GG29" s="57"/>
      <c r="GH29" s="57"/>
      <c r="GI29" s="57"/>
      <c r="GJ29" s="57"/>
      <c r="GK29" s="57"/>
      <c r="GL29" s="57"/>
      <c r="GM29" s="57"/>
      <c r="GN29" s="57"/>
      <c r="GO29" s="57"/>
      <c r="GP29" s="57"/>
      <c r="GQ29" s="57"/>
      <c r="GR29" s="57"/>
      <c r="GS29" s="57"/>
      <c r="GT29" s="57"/>
      <c r="GU29" s="57"/>
      <c r="GV29" s="57"/>
      <c r="GW29" s="57"/>
      <c r="GX29" s="57"/>
      <c r="GY29" s="57"/>
      <c r="GZ29" s="57"/>
      <c r="HA29" s="57"/>
      <c r="HB29" s="57"/>
      <c r="HC29" s="57"/>
      <c r="HD29" s="57"/>
      <c r="HE29" s="57"/>
      <c r="HF29" s="57"/>
      <c r="HG29" s="57"/>
      <c r="HH29" s="57"/>
      <c r="HI29" s="57"/>
      <c r="HJ29" s="57"/>
      <c r="HK29" s="57"/>
      <c r="HL29" s="57"/>
      <c r="HM29" s="57"/>
      <c r="HN29" s="57"/>
      <c r="HO29" s="57"/>
      <c r="HP29" s="57"/>
      <c r="HQ29" s="57"/>
      <c r="HR29" s="57"/>
      <c r="HS29" s="57"/>
      <c r="HT29" s="57"/>
      <c r="HU29" s="57"/>
      <c r="HV29" s="57"/>
      <c r="HW29" s="57"/>
      <c r="HX29" s="57"/>
      <c r="HY29" s="57"/>
      <c r="HZ29" s="57"/>
      <c r="IA29" s="57"/>
      <c r="IB29" s="57"/>
      <c r="IC29" s="57"/>
      <c r="ID29" s="57"/>
      <c r="IE29" s="57"/>
      <c r="IF29" s="57"/>
      <c r="IG29" s="57"/>
      <c r="IH29" s="57"/>
      <c r="II29" s="57"/>
      <c r="IJ29" s="57"/>
      <c r="IK29" s="57"/>
      <c r="IL29" s="57"/>
    </row>
    <row r="30" spans="1:246" ht="15" customHeight="1">
      <c r="A30" s="52" t="s">
        <v>554</v>
      </c>
      <c r="B30" s="52" t="s">
        <v>555</v>
      </c>
      <c r="C30" s="52" t="s">
        <v>95</v>
      </c>
      <c r="D30" s="53">
        <v>1476</v>
      </c>
      <c r="E30" s="53">
        <v>1800</v>
      </c>
      <c r="F30" s="53">
        <v>1</v>
      </c>
      <c r="G30" s="53">
        <v>0</v>
      </c>
      <c r="H30" s="52">
        <f t="shared" si="0"/>
        <v>1</v>
      </c>
      <c r="I30" s="52">
        <f>IF(D30&lt;&gt;"",D30,IFERROR(E30/(IFERROR(SUM(Sales!C:C),0))*(IFERROR(SUM(Purchases!C:C),0)),0))</f>
        <v>1476</v>
      </c>
      <c r="J30" s="52">
        <f t="shared" si="1"/>
        <v>1476</v>
      </c>
      <c r="K30" s="52">
        <f t="shared" si="2"/>
        <v>0</v>
      </c>
      <c r="L30" s="52" t="s">
        <v>170</v>
      </c>
      <c r="M30" s="52" t="s">
        <v>49</v>
      </c>
      <c r="N30" s="52" t="s">
        <v>504</v>
      </c>
      <c r="O30" s="52"/>
      <c r="P30" s="52"/>
      <c r="Q30" s="52"/>
      <c r="R30" s="52"/>
      <c r="S30" s="52"/>
      <c r="T30" s="52"/>
    </row>
    <row r="31" spans="1:246" s="58" customFormat="1" ht="15" customHeight="1">
      <c r="A31" s="55" t="s">
        <v>556</v>
      </c>
      <c r="B31" s="55" t="s">
        <v>557</v>
      </c>
      <c r="C31" s="55" t="s">
        <v>96</v>
      </c>
      <c r="D31" s="56">
        <v>525</v>
      </c>
      <c r="E31" s="56">
        <v>600</v>
      </c>
      <c r="F31" s="56">
        <v>1</v>
      </c>
      <c r="G31" s="56">
        <v>0</v>
      </c>
      <c r="H31" s="55">
        <f t="shared" si="0"/>
        <v>1</v>
      </c>
      <c r="I31" s="55">
        <f>IF(D31&lt;&gt;"",D31,IFERROR(E31/(IFERROR(SUM(Sales!C:C),0))*(IFERROR(SUM(Purchases!C:C),0)),0))</f>
        <v>525</v>
      </c>
      <c r="J31" s="55">
        <f t="shared" si="1"/>
        <v>525</v>
      </c>
      <c r="K31" s="55">
        <f t="shared" si="2"/>
        <v>0</v>
      </c>
      <c r="L31" s="55" t="s">
        <v>171</v>
      </c>
      <c r="M31" s="55" t="s">
        <v>49</v>
      </c>
      <c r="N31" s="55" t="s">
        <v>504</v>
      </c>
      <c r="O31" s="55"/>
      <c r="P31" s="55"/>
      <c r="Q31" s="55"/>
      <c r="R31" s="55"/>
      <c r="S31" s="55"/>
      <c r="T31" s="55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GL31" s="57"/>
      <c r="GM31" s="57"/>
      <c r="GN31" s="57"/>
      <c r="GO31" s="57"/>
      <c r="GP31" s="57"/>
      <c r="GQ31" s="57"/>
      <c r="GR31" s="57"/>
      <c r="GS31" s="57"/>
      <c r="GT31" s="57"/>
      <c r="GU31" s="57"/>
      <c r="GV31" s="57"/>
      <c r="GW31" s="57"/>
      <c r="GX31" s="57"/>
      <c r="GY31" s="57"/>
      <c r="GZ31" s="57"/>
      <c r="HA31" s="57"/>
      <c r="HB31" s="57"/>
      <c r="HC31" s="57"/>
      <c r="HD31" s="57"/>
      <c r="HE31" s="57"/>
      <c r="HF31" s="57"/>
      <c r="HG31" s="57"/>
      <c r="HH31" s="57"/>
      <c r="HI31" s="57"/>
      <c r="HJ31" s="57"/>
      <c r="HK31" s="57"/>
      <c r="HL31" s="57"/>
      <c r="HM31" s="57"/>
      <c r="HN31" s="57"/>
      <c r="HO31" s="57"/>
      <c r="HP31" s="57"/>
      <c r="HQ31" s="57"/>
      <c r="HR31" s="57"/>
      <c r="HS31" s="57"/>
      <c r="HT31" s="57"/>
      <c r="HU31" s="57"/>
      <c r="HV31" s="57"/>
      <c r="HW31" s="57"/>
      <c r="HX31" s="57"/>
      <c r="HY31" s="57"/>
      <c r="HZ31" s="57"/>
      <c r="IA31" s="57"/>
      <c r="IB31" s="57"/>
      <c r="IC31" s="57"/>
      <c r="ID31" s="57"/>
      <c r="IE31" s="57"/>
      <c r="IF31" s="57"/>
      <c r="IG31" s="57"/>
      <c r="IH31" s="57"/>
      <c r="II31" s="57"/>
      <c r="IJ31" s="57"/>
      <c r="IK31" s="57"/>
      <c r="IL31" s="57"/>
    </row>
    <row r="32" spans="1:246" s="58" customFormat="1" ht="15" customHeight="1">
      <c r="A32" s="52" t="s">
        <v>558</v>
      </c>
      <c r="B32" s="52" t="s">
        <v>559</v>
      </c>
      <c r="C32" s="52" t="s">
        <v>96</v>
      </c>
      <c r="D32" s="53">
        <v>839</v>
      </c>
      <c r="E32" s="53">
        <v>1000</v>
      </c>
      <c r="F32" s="53">
        <v>1</v>
      </c>
      <c r="G32" s="53">
        <v>0</v>
      </c>
      <c r="H32" s="52">
        <f t="shared" si="0"/>
        <v>1</v>
      </c>
      <c r="I32" s="52">
        <f>IF(D32&lt;&gt;"",D32,IFERROR(E32/(IFERROR(SUM(Sales!C:C),0))*(IFERROR(SUM(Purchases!C:C),0)),0))</f>
        <v>839</v>
      </c>
      <c r="J32" s="52">
        <f t="shared" si="1"/>
        <v>839</v>
      </c>
      <c r="K32" s="52">
        <f t="shared" si="2"/>
        <v>0</v>
      </c>
      <c r="L32" s="52" t="s">
        <v>171</v>
      </c>
      <c r="M32" s="52" t="s">
        <v>49</v>
      </c>
      <c r="N32" s="52" t="s">
        <v>504</v>
      </c>
      <c r="O32" s="52"/>
      <c r="P32" s="52"/>
      <c r="Q32" s="52"/>
      <c r="R32" s="52"/>
      <c r="S32" s="52"/>
      <c r="T32" s="52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</row>
    <row r="33" spans="1:246" s="58" customFormat="1" ht="15" customHeight="1">
      <c r="A33" s="55" t="s">
        <v>560</v>
      </c>
      <c r="B33" s="55" t="s">
        <v>557</v>
      </c>
      <c r="C33" s="55" t="s">
        <v>96</v>
      </c>
      <c r="D33" s="56">
        <v>525</v>
      </c>
      <c r="E33" s="56">
        <v>800</v>
      </c>
      <c r="F33" s="56">
        <v>1</v>
      </c>
      <c r="G33" s="56">
        <v>0</v>
      </c>
      <c r="H33" s="55">
        <f t="shared" si="0"/>
        <v>1</v>
      </c>
      <c r="I33" s="55">
        <f>IF(D33&lt;&gt;"",D33,IFERROR(E33/(IFERROR(SUM(Sales!C:C),0))*(IFERROR(SUM(Purchases!C:C),0)),0))</f>
        <v>525</v>
      </c>
      <c r="J33" s="55">
        <f t="shared" si="1"/>
        <v>525</v>
      </c>
      <c r="K33" s="55">
        <f t="shared" si="2"/>
        <v>0</v>
      </c>
      <c r="L33" s="55" t="s">
        <v>172</v>
      </c>
      <c r="M33" s="55" t="s">
        <v>49</v>
      </c>
      <c r="N33" s="55" t="s">
        <v>504</v>
      </c>
      <c r="O33" s="55"/>
      <c r="P33" s="55"/>
      <c r="Q33" s="55"/>
      <c r="R33" s="55"/>
      <c r="S33" s="55"/>
      <c r="T33" s="55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  <c r="GL33" s="57"/>
      <c r="GM33" s="57"/>
      <c r="GN33" s="57"/>
      <c r="GO33" s="57"/>
      <c r="GP33" s="57"/>
      <c r="GQ33" s="57"/>
      <c r="GR33" s="57"/>
      <c r="GS33" s="57"/>
      <c r="GT33" s="57"/>
      <c r="GU33" s="57"/>
      <c r="GV33" s="57"/>
      <c r="GW33" s="57"/>
      <c r="GX33" s="57"/>
      <c r="GY33" s="57"/>
      <c r="GZ33" s="57"/>
      <c r="HA33" s="57"/>
      <c r="HB33" s="57"/>
      <c r="HC33" s="57"/>
      <c r="HD33" s="57"/>
      <c r="HE33" s="57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</row>
    <row r="34" spans="1:246" ht="15" customHeight="1">
      <c r="A34" s="52" t="s">
        <v>561</v>
      </c>
      <c r="B34" s="52" t="s">
        <v>522</v>
      </c>
      <c r="C34" s="52" t="s">
        <v>95</v>
      </c>
      <c r="D34" s="53">
        <v>867</v>
      </c>
      <c r="E34" s="53">
        <v>1300</v>
      </c>
      <c r="F34" s="53">
        <v>1</v>
      </c>
      <c r="G34" s="53">
        <v>0</v>
      </c>
      <c r="H34" s="52">
        <f t="shared" ref="H34:H65" si="3">F34+IF(LEN(G34)=0,0,G34)</f>
        <v>1</v>
      </c>
      <c r="I34" s="52">
        <f>IF(D34&lt;&gt;"",D34,IFERROR(E34/(IFERROR(SUM(Sales!C:C),0))*(IFERROR(SUM(Purchases!C:C),0)),0))</f>
        <v>867</v>
      </c>
      <c r="J34" s="52">
        <f t="shared" si="1"/>
        <v>867</v>
      </c>
      <c r="K34" s="52">
        <f t="shared" si="2"/>
        <v>0</v>
      </c>
      <c r="L34" s="52" t="s">
        <v>172</v>
      </c>
      <c r="M34" s="52" t="s">
        <v>49</v>
      </c>
      <c r="N34" s="52" t="s">
        <v>504</v>
      </c>
      <c r="O34" s="52"/>
      <c r="P34" s="52"/>
      <c r="Q34" s="52"/>
      <c r="R34" s="52"/>
      <c r="S34" s="52"/>
      <c r="T34" s="52"/>
    </row>
    <row r="35" spans="1:246" ht="15" customHeight="1">
      <c r="A35" s="55" t="s">
        <v>562</v>
      </c>
      <c r="B35" s="55" t="s">
        <v>563</v>
      </c>
      <c r="C35" s="55" t="s">
        <v>95</v>
      </c>
      <c r="D35" s="56">
        <v>1165</v>
      </c>
      <c r="E35" s="56">
        <v>1500</v>
      </c>
      <c r="F35" s="56">
        <v>1</v>
      </c>
      <c r="G35" s="56">
        <v>0</v>
      </c>
      <c r="H35" s="55">
        <f t="shared" si="3"/>
        <v>1</v>
      </c>
      <c r="I35" s="55">
        <f>IF(D35&lt;&gt;"",D35,IFERROR(E35/(IFERROR(SUM(Sales!C:C),0))*(IFERROR(SUM(Purchases!C:C),0)),0))</f>
        <v>1165</v>
      </c>
      <c r="J35" s="55">
        <f t="shared" si="1"/>
        <v>1165</v>
      </c>
      <c r="K35" s="55">
        <f t="shared" si="2"/>
        <v>0</v>
      </c>
      <c r="L35" s="55" t="s">
        <v>173</v>
      </c>
      <c r="M35" s="55" t="s">
        <v>49</v>
      </c>
      <c r="N35" s="55" t="s">
        <v>504</v>
      </c>
      <c r="O35" s="55"/>
      <c r="P35" s="55"/>
      <c r="Q35" s="55"/>
      <c r="R35" s="55"/>
      <c r="S35" s="55"/>
      <c r="T35" s="55"/>
    </row>
    <row r="36" spans="1:246" ht="15" customHeight="1">
      <c r="A36" s="52" t="s">
        <v>564</v>
      </c>
      <c r="B36" s="52" t="s">
        <v>565</v>
      </c>
      <c r="C36" s="52" t="s">
        <v>95</v>
      </c>
      <c r="D36" s="53">
        <v>1250</v>
      </c>
      <c r="E36" s="53">
        <v>1400</v>
      </c>
      <c r="F36" s="53">
        <v>1</v>
      </c>
      <c r="G36" s="53">
        <v>0</v>
      </c>
      <c r="H36" s="52">
        <f t="shared" si="3"/>
        <v>1</v>
      </c>
      <c r="I36" s="52">
        <f>IF(D36&lt;&gt;"",D36,IFERROR(E36/(IFERROR(SUM(Sales!C:C),0))*(IFERROR(SUM(Purchases!C:C),0)),0))</f>
        <v>1250</v>
      </c>
      <c r="J36" s="52">
        <f t="shared" si="1"/>
        <v>1250</v>
      </c>
      <c r="K36" s="52">
        <f t="shared" si="2"/>
        <v>0</v>
      </c>
      <c r="L36" s="52" t="s">
        <v>174</v>
      </c>
      <c r="M36" s="52" t="s">
        <v>49</v>
      </c>
      <c r="N36" s="52" t="s">
        <v>504</v>
      </c>
      <c r="O36" s="52"/>
      <c r="P36" s="52"/>
      <c r="Q36" s="52"/>
      <c r="R36" s="52"/>
      <c r="S36" s="52"/>
      <c r="T36" s="52"/>
    </row>
    <row r="37" spans="1:246" ht="15" customHeight="1">
      <c r="A37" s="55" t="s">
        <v>566</v>
      </c>
      <c r="B37" s="55" t="s">
        <v>567</v>
      </c>
      <c r="C37" s="55" t="s">
        <v>96</v>
      </c>
      <c r="D37" s="56">
        <v>1941</v>
      </c>
      <c r="E37" s="56">
        <v>1800</v>
      </c>
      <c r="F37" s="56">
        <v>1</v>
      </c>
      <c r="G37" s="56">
        <v>0</v>
      </c>
      <c r="H37" s="55">
        <f t="shared" si="3"/>
        <v>1</v>
      </c>
      <c r="I37" s="55">
        <f>IF(D37&lt;&gt;"",D37,IFERROR(E37/(IFERROR(SUM(Sales!C:C),0))*(IFERROR(SUM(Purchases!C:C),0)),0))</f>
        <v>1941</v>
      </c>
      <c r="J37" s="55">
        <f t="shared" si="1"/>
        <v>1941</v>
      </c>
      <c r="K37" s="55">
        <f t="shared" si="2"/>
        <v>0</v>
      </c>
      <c r="L37" s="55" t="s">
        <v>175</v>
      </c>
      <c r="M37" s="55" t="s">
        <v>49</v>
      </c>
      <c r="N37" s="55" t="s">
        <v>504</v>
      </c>
      <c r="O37" s="55"/>
      <c r="P37" s="55"/>
      <c r="Q37" s="55"/>
      <c r="R37" s="55"/>
      <c r="S37" s="55"/>
      <c r="T37" s="55"/>
    </row>
    <row r="38" spans="1:246" ht="15" customHeight="1">
      <c r="A38" s="52" t="s">
        <v>568</v>
      </c>
      <c r="B38" s="52" t="s">
        <v>569</v>
      </c>
      <c r="C38" s="52" t="s">
        <v>95</v>
      </c>
      <c r="D38" s="53">
        <v>1094</v>
      </c>
      <c r="E38" s="53">
        <v>1700</v>
      </c>
      <c r="F38" s="53">
        <v>1</v>
      </c>
      <c r="G38" s="53">
        <v>0</v>
      </c>
      <c r="H38" s="52">
        <f t="shared" si="3"/>
        <v>1</v>
      </c>
      <c r="I38" s="52">
        <f>IF(D38&lt;&gt;"",D38,IFERROR(E38/(IFERROR(SUM(Sales!C:C),0))*(IFERROR(SUM(Purchases!C:C),0)),0))</f>
        <v>1094</v>
      </c>
      <c r="J38" s="52">
        <f t="shared" si="1"/>
        <v>1094</v>
      </c>
      <c r="K38" s="52">
        <f t="shared" si="2"/>
        <v>0</v>
      </c>
      <c r="L38" s="52" t="s">
        <v>175</v>
      </c>
      <c r="M38" s="52" t="s">
        <v>49</v>
      </c>
      <c r="N38" s="52" t="s">
        <v>504</v>
      </c>
      <c r="O38" s="52"/>
      <c r="P38" s="52"/>
      <c r="Q38" s="52"/>
      <c r="R38" s="52"/>
      <c r="S38" s="52"/>
      <c r="T38" s="52"/>
    </row>
    <row r="39" spans="1:246" ht="15" customHeight="1">
      <c r="A39" s="55" t="s">
        <v>570</v>
      </c>
      <c r="B39" s="55" t="s">
        <v>557</v>
      </c>
      <c r="C39" s="55" t="s">
        <v>96</v>
      </c>
      <c r="D39" s="56">
        <v>525</v>
      </c>
      <c r="E39" s="56">
        <v>800</v>
      </c>
      <c r="F39" s="56">
        <v>1</v>
      </c>
      <c r="G39" s="56">
        <v>0</v>
      </c>
      <c r="H39" s="55">
        <f t="shared" si="3"/>
        <v>1</v>
      </c>
      <c r="I39" s="55">
        <f>IF(D39&lt;&gt;"",D39,IFERROR(E39/(IFERROR(SUM(Sales!C:C),0))*(IFERROR(SUM(Purchases!C:C),0)),0))</f>
        <v>525</v>
      </c>
      <c r="J39" s="55">
        <f t="shared" si="1"/>
        <v>525</v>
      </c>
      <c r="K39" s="55">
        <f t="shared" si="2"/>
        <v>0</v>
      </c>
      <c r="L39" s="55" t="s">
        <v>176</v>
      </c>
      <c r="M39" s="55" t="s">
        <v>49</v>
      </c>
      <c r="N39" s="55" t="s">
        <v>504</v>
      </c>
      <c r="O39" s="55"/>
      <c r="P39" s="55"/>
      <c r="Q39" s="55"/>
      <c r="R39" s="55"/>
      <c r="S39" s="55"/>
      <c r="T39" s="55"/>
    </row>
    <row r="40" spans="1:246" ht="15" customHeight="1">
      <c r="A40" s="52" t="s">
        <v>571</v>
      </c>
      <c r="B40" s="52" t="s">
        <v>572</v>
      </c>
      <c r="C40" s="52" t="s">
        <v>96</v>
      </c>
      <c r="D40" s="53">
        <v>1096</v>
      </c>
      <c r="E40" s="53">
        <v>1600</v>
      </c>
      <c r="F40" s="53">
        <v>1</v>
      </c>
      <c r="G40" s="53">
        <v>0</v>
      </c>
      <c r="H40" s="52">
        <f t="shared" si="3"/>
        <v>1</v>
      </c>
      <c r="I40" s="52">
        <f>IF(D40&lt;&gt;"",D40,IFERROR(E40/(IFERROR(SUM(Sales!C:C),0))*(IFERROR(SUM(Purchases!C:C),0)),0))</f>
        <v>1096</v>
      </c>
      <c r="J40" s="52">
        <f t="shared" si="1"/>
        <v>1096</v>
      </c>
      <c r="K40" s="52">
        <f t="shared" si="2"/>
        <v>0</v>
      </c>
      <c r="L40" s="52" t="s">
        <v>176</v>
      </c>
      <c r="M40" s="52" t="s">
        <v>49</v>
      </c>
      <c r="N40" s="52" t="s">
        <v>504</v>
      </c>
      <c r="O40" s="52"/>
      <c r="P40" s="52"/>
      <c r="Q40" s="52"/>
      <c r="R40" s="52"/>
      <c r="S40" s="52"/>
      <c r="T40" s="52"/>
    </row>
    <row r="41" spans="1:246" s="58" customFormat="1" ht="15" customHeight="1">
      <c r="A41" s="55" t="s">
        <v>573</v>
      </c>
      <c r="B41" s="55" t="s">
        <v>533</v>
      </c>
      <c r="C41" s="55" t="s">
        <v>95</v>
      </c>
      <c r="D41" s="56">
        <v>995</v>
      </c>
      <c r="E41" s="56">
        <v>1000</v>
      </c>
      <c r="F41" s="56">
        <v>1</v>
      </c>
      <c r="G41" s="56">
        <v>0</v>
      </c>
      <c r="H41" s="55">
        <f t="shared" si="3"/>
        <v>1</v>
      </c>
      <c r="I41" s="55">
        <f>IF(D41&lt;&gt;"",D41,IFERROR(E41/(IFERROR(SUM(Sales!C:C),0))*(IFERROR(SUM(Purchases!C:C),0)),0))</f>
        <v>995</v>
      </c>
      <c r="J41" s="55">
        <f t="shared" si="1"/>
        <v>995</v>
      </c>
      <c r="K41" s="55">
        <f t="shared" si="2"/>
        <v>0</v>
      </c>
      <c r="L41" s="55" t="s">
        <v>177</v>
      </c>
      <c r="M41" s="55" t="s">
        <v>49</v>
      </c>
      <c r="N41" s="55" t="s">
        <v>504</v>
      </c>
      <c r="O41" s="55"/>
      <c r="P41" s="55"/>
      <c r="Q41" s="55"/>
      <c r="R41" s="55"/>
      <c r="S41" s="55"/>
      <c r="T41" s="55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7"/>
      <c r="EW41" s="57"/>
      <c r="EX41" s="57"/>
      <c r="EY41" s="57"/>
      <c r="EZ41" s="57"/>
      <c r="FA41" s="57"/>
      <c r="FB41" s="57"/>
      <c r="FC41" s="57"/>
      <c r="FD41" s="57"/>
      <c r="FE41" s="57"/>
      <c r="FF41" s="57"/>
      <c r="FG41" s="57"/>
      <c r="FH41" s="57"/>
      <c r="FI41" s="57"/>
      <c r="FJ41" s="57"/>
      <c r="FK41" s="57"/>
      <c r="FL41" s="57"/>
      <c r="FM41" s="57"/>
      <c r="FN41" s="57"/>
      <c r="FO41" s="57"/>
      <c r="FP41" s="57"/>
      <c r="FQ41" s="57"/>
      <c r="FR41" s="57"/>
      <c r="FS41" s="57"/>
      <c r="FT41" s="57"/>
      <c r="FU41" s="57"/>
      <c r="FV41" s="57"/>
      <c r="FW41" s="57"/>
      <c r="FX41" s="57"/>
      <c r="FY41" s="57"/>
      <c r="FZ41" s="57"/>
      <c r="GA41" s="57"/>
      <c r="GB41" s="57"/>
      <c r="GC41" s="57"/>
      <c r="GD41" s="57"/>
      <c r="GE41" s="57"/>
      <c r="GF41" s="57"/>
      <c r="GG41" s="57"/>
      <c r="GH41" s="57"/>
      <c r="GI41" s="57"/>
      <c r="GJ41" s="57"/>
      <c r="GK41" s="57"/>
      <c r="GL41" s="57"/>
      <c r="GM41" s="57"/>
      <c r="GN41" s="57"/>
      <c r="GO41" s="57"/>
      <c r="GP41" s="57"/>
      <c r="GQ41" s="57"/>
      <c r="GR41" s="57"/>
      <c r="GS41" s="57"/>
      <c r="GT41" s="57"/>
      <c r="GU41" s="57"/>
      <c r="GV41" s="57"/>
      <c r="GW41" s="57"/>
      <c r="GX41" s="57"/>
      <c r="GY41" s="57"/>
      <c r="GZ41" s="57"/>
      <c r="HA41" s="57"/>
      <c r="HB41" s="57"/>
      <c r="HC41" s="57"/>
      <c r="HD41" s="57"/>
      <c r="HE41" s="57"/>
      <c r="HF41" s="57"/>
      <c r="HG41" s="57"/>
      <c r="HH41" s="57"/>
      <c r="HI41" s="57"/>
      <c r="HJ41" s="57"/>
      <c r="HK41" s="57"/>
      <c r="HL41" s="57"/>
      <c r="HM41" s="57"/>
      <c r="HN41" s="57"/>
      <c r="HO41" s="57"/>
      <c r="HP41" s="57"/>
      <c r="HQ41" s="57"/>
      <c r="HR41" s="57"/>
      <c r="HS41" s="57"/>
      <c r="HT41" s="57"/>
      <c r="HU41" s="57"/>
      <c r="HV41" s="57"/>
      <c r="HW41" s="57"/>
      <c r="HX41" s="57"/>
      <c r="HY41" s="57"/>
      <c r="HZ41" s="57"/>
      <c r="IA41" s="57"/>
      <c r="IB41" s="57"/>
      <c r="IC41" s="57"/>
      <c r="ID41" s="57"/>
      <c r="IE41" s="57"/>
      <c r="IF41" s="57"/>
      <c r="IG41" s="57"/>
      <c r="IH41" s="57"/>
      <c r="II41" s="57"/>
      <c r="IJ41" s="57"/>
      <c r="IK41" s="57"/>
      <c r="IL41" s="57"/>
    </row>
    <row r="42" spans="1:246" ht="15" customHeight="1">
      <c r="A42" s="52" t="s">
        <v>574</v>
      </c>
      <c r="B42" s="52" t="s">
        <v>575</v>
      </c>
      <c r="C42" s="52" t="s">
        <v>96</v>
      </c>
      <c r="D42" s="53">
        <v>1096</v>
      </c>
      <c r="E42" s="53">
        <v>1550</v>
      </c>
      <c r="F42" s="53">
        <v>1</v>
      </c>
      <c r="G42" s="53">
        <v>0</v>
      </c>
      <c r="H42" s="52">
        <f t="shared" si="3"/>
        <v>1</v>
      </c>
      <c r="I42" s="52">
        <f>IF(D42&lt;&gt;"",D42,IFERROR(E42/(IFERROR(SUM(Sales!C:C),0))*(IFERROR(SUM(Purchases!C:C),0)),0))</f>
        <v>1096</v>
      </c>
      <c r="J42" s="52">
        <f t="shared" si="1"/>
        <v>1096</v>
      </c>
      <c r="K42" s="52">
        <f t="shared" si="2"/>
        <v>0</v>
      </c>
      <c r="L42" s="52" t="s">
        <v>178</v>
      </c>
      <c r="M42" s="52" t="s">
        <v>49</v>
      </c>
      <c r="N42" s="52" t="s">
        <v>504</v>
      </c>
      <c r="O42" s="52"/>
      <c r="P42" s="52"/>
      <c r="Q42" s="52"/>
      <c r="R42" s="52"/>
      <c r="S42" s="52"/>
      <c r="T42" s="52"/>
    </row>
    <row r="43" spans="1:246" ht="15" customHeight="1">
      <c r="A43" s="55" t="s">
        <v>576</v>
      </c>
      <c r="B43" s="55" t="s">
        <v>577</v>
      </c>
      <c r="C43" s="55" t="s">
        <v>96</v>
      </c>
      <c r="D43" s="56">
        <v>839</v>
      </c>
      <c r="E43" s="56">
        <v>950</v>
      </c>
      <c r="F43" s="56">
        <v>1</v>
      </c>
      <c r="G43" s="56">
        <v>0</v>
      </c>
      <c r="H43" s="55">
        <f t="shared" si="3"/>
        <v>1</v>
      </c>
      <c r="I43" s="55">
        <f>IF(D43&lt;&gt;"",D43,IFERROR(E43/(IFERROR(SUM(Sales!C:C),0))*(IFERROR(SUM(Purchases!C:C),0)),0))</f>
        <v>839</v>
      </c>
      <c r="J43" s="55">
        <f t="shared" si="1"/>
        <v>839</v>
      </c>
      <c r="K43" s="55">
        <f t="shared" si="2"/>
        <v>0</v>
      </c>
      <c r="L43" s="55" t="s">
        <v>178</v>
      </c>
      <c r="M43" s="55" t="s">
        <v>49</v>
      </c>
      <c r="N43" s="55" t="s">
        <v>504</v>
      </c>
      <c r="O43" s="55"/>
      <c r="P43" s="55"/>
      <c r="Q43" s="55"/>
      <c r="R43" s="55"/>
      <c r="S43" s="55"/>
      <c r="T43" s="55"/>
    </row>
    <row r="44" spans="1:246" ht="15" customHeight="1">
      <c r="A44" s="52" t="s">
        <v>578</v>
      </c>
      <c r="B44" s="52" t="s">
        <v>563</v>
      </c>
      <c r="C44" s="52" t="s">
        <v>96</v>
      </c>
      <c r="D44" s="53">
        <v>1165</v>
      </c>
      <c r="E44" s="53">
        <v>1500</v>
      </c>
      <c r="F44" s="53">
        <v>2</v>
      </c>
      <c r="G44" s="53">
        <v>0</v>
      </c>
      <c r="H44" s="52">
        <f t="shared" si="3"/>
        <v>2</v>
      </c>
      <c r="I44" s="52">
        <f>IF(D44&lt;&gt;"",D44,IFERROR(E44/(IFERROR(SUM(Sales!C:C),0))*(IFERROR(SUM(Purchases!C:C),0)),0))</f>
        <v>1165</v>
      </c>
      <c r="J44" s="52">
        <f t="shared" si="1"/>
        <v>2330</v>
      </c>
      <c r="K44" s="52">
        <f t="shared" si="2"/>
        <v>0</v>
      </c>
      <c r="L44" s="52" t="s">
        <v>579</v>
      </c>
      <c r="M44" s="52" t="s">
        <v>49</v>
      </c>
      <c r="N44" s="52" t="s">
        <v>504</v>
      </c>
      <c r="O44" s="52" t="s">
        <v>216</v>
      </c>
      <c r="P44" s="52"/>
      <c r="Q44" s="52" t="s">
        <v>580</v>
      </c>
      <c r="R44" s="52"/>
      <c r="S44" s="52"/>
      <c r="T44" s="52"/>
    </row>
    <row r="45" spans="1:246" s="58" customFormat="1" ht="15" customHeight="1">
      <c r="A45" s="55" t="s">
        <v>581</v>
      </c>
      <c r="B45" s="55" t="s">
        <v>582</v>
      </c>
      <c r="C45" s="55" t="s">
        <v>95</v>
      </c>
      <c r="D45" s="56">
        <v>1048</v>
      </c>
      <c r="E45" s="56">
        <v>1900</v>
      </c>
      <c r="F45" s="56">
        <v>1</v>
      </c>
      <c r="G45" s="56">
        <v>0</v>
      </c>
      <c r="H45" s="55">
        <f t="shared" si="3"/>
        <v>1</v>
      </c>
      <c r="I45" s="55">
        <f>IF(D45&lt;&gt;"",D45,IFERROR(E45/(IFERROR(SUM(Sales!C:C),0))*(IFERROR(SUM(Purchases!C:C),0)),0))</f>
        <v>1048</v>
      </c>
      <c r="J45" s="55">
        <f t="shared" si="1"/>
        <v>1048</v>
      </c>
      <c r="K45" s="55">
        <f t="shared" si="2"/>
        <v>0</v>
      </c>
      <c r="L45" s="55" t="s">
        <v>179</v>
      </c>
      <c r="M45" s="55" t="s">
        <v>49</v>
      </c>
      <c r="N45" s="55" t="s">
        <v>504</v>
      </c>
      <c r="O45" s="55"/>
      <c r="P45" s="55"/>
      <c r="Q45" s="55"/>
      <c r="R45" s="55"/>
      <c r="S45" s="55"/>
      <c r="T45" s="55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/>
      <c r="FB45" s="57"/>
      <c r="FC45" s="57"/>
      <c r="FD45" s="57"/>
      <c r="FE45" s="57"/>
      <c r="FF45" s="57"/>
      <c r="FG45" s="57"/>
      <c r="FH45" s="57"/>
      <c r="FI45" s="57"/>
      <c r="FJ45" s="57"/>
      <c r="FK45" s="57"/>
      <c r="FL45" s="57"/>
      <c r="FM45" s="57"/>
      <c r="FN45" s="57"/>
      <c r="FO45" s="57"/>
      <c r="FP45" s="57"/>
      <c r="FQ45" s="57"/>
      <c r="FR45" s="57"/>
      <c r="FS45" s="57"/>
      <c r="FT45" s="57"/>
      <c r="FU45" s="57"/>
      <c r="FV45" s="57"/>
      <c r="FW45" s="57"/>
      <c r="FX45" s="57"/>
      <c r="FY45" s="57"/>
      <c r="FZ45" s="57"/>
      <c r="GA45" s="57"/>
      <c r="GB45" s="57"/>
      <c r="GC45" s="57"/>
      <c r="GD45" s="57"/>
      <c r="GE45" s="57"/>
      <c r="GF45" s="57"/>
      <c r="GG45" s="57"/>
      <c r="GH45" s="57"/>
      <c r="GI45" s="57"/>
      <c r="GJ45" s="57"/>
      <c r="GK45" s="57"/>
      <c r="GL45" s="57"/>
      <c r="GM45" s="57"/>
      <c r="GN45" s="57"/>
      <c r="GO45" s="57"/>
      <c r="GP45" s="57"/>
      <c r="GQ45" s="57"/>
      <c r="GR45" s="57"/>
      <c r="GS45" s="57"/>
      <c r="GT45" s="57"/>
      <c r="GU45" s="57"/>
      <c r="GV45" s="57"/>
      <c r="GW45" s="57"/>
      <c r="GX45" s="57"/>
      <c r="GY45" s="57"/>
      <c r="GZ45" s="57"/>
      <c r="HA45" s="57"/>
      <c r="HB45" s="57"/>
      <c r="HC45" s="57"/>
      <c r="HD45" s="57"/>
      <c r="HE45" s="57"/>
      <c r="HF45" s="57"/>
      <c r="HG45" s="57"/>
      <c r="HH45" s="57"/>
      <c r="HI45" s="57"/>
      <c r="HJ45" s="57"/>
      <c r="HK45" s="57"/>
      <c r="HL45" s="57"/>
      <c r="HM45" s="57"/>
      <c r="HN45" s="57"/>
      <c r="HO45" s="57"/>
      <c r="HP45" s="57"/>
      <c r="HQ45" s="57"/>
      <c r="HR45" s="57"/>
      <c r="HS45" s="57"/>
      <c r="HT45" s="57"/>
      <c r="HU45" s="57"/>
      <c r="HV45" s="57"/>
      <c r="HW45" s="57"/>
      <c r="HX45" s="57"/>
      <c r="HY45" s="57"/>
      <c r="HZ45" s="57"/>
      <c r="IA45" s="57"/>
      <c r="IB45" s="57"/>
      <c r="IC45" s="57"/>
      <c r="ID45" s="57"/>
      <c r="IE45" s="57"/>
      <c r="IF45" s="57"/>
      <c r="IG45" s="57"/>
      <c r="IH45" s="57"/>
      <c r="II45" s="57"/>
      <c r="IJ45" s="57"/>
      <c r="IK45" s="57"/>
      <c r="IL45" s="57"/>
    </row>
    <row r="46" spans="1:246" s="58" customFormat="1" ht="15" customHeight="1">
      <c r="A46" s="52" t="s">
        <v>583</v>
      </c>
      <c r="B46" s="52" t="s">
        <v>584</v>
      </c>
      <c r="C46" s="52" t="s">
        <v>95</v>
      </c>
      <c r="D46" s="53">
        <v>372</v>
      </c>
      <c r="E46" s="53">
        <v>650</v>
      </c>
      <c r="F46" s="53">
        <v>1</v>
      </c>
      <c r="G46" s="53">
        <v>0</v>
      </c>
      <c r="H46" s="52">
        <f t="shared" si="3"/>
        <v>1</v>
      </c>
      <c r="I46" s="52">
        <f>IF(D46&lt;&gt;"",D46,IFERROR(E46/(IFERROR(SUM(Sales!C:C),0))*(IFERROR(SUM(Purchases!C:C),0)),0))</f>
        <v>372</v>
      </c>
      <c r="J46" s="52">
        <f t="shared" si="1"/>
        <v>372</v>
      </c>
      <c r="K46" s="52">
        <f t="shared" si="2"/>
        <v>0</v>
      </c>
      <c r="L46" s="52" t="s">
        <v>179</v>
      </c>
      <c r="M46" s="52" t="s">
        <v>49</v>
      </c>
      <c r="N46" s="52" t="s">
        <v>504</v>
      </c>
      <c r="O46" s="52"/>
      <c r="P46" s="52"/>
      <c r="Q46" s="52"/>
      <c r="R46" s="52"/>
      <c r="S46" s="52"/>
      <c r="T46" s="52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/>
      <c r="FA46" s="57"/>
      <c r="FB46" s="57"/>
      <c r="FC46" s="57"/>
      <c r="FD46" s="57"/>
      <c r="FE46" s="57"/>
      <c r="FF46" s="57"/>
      <c r="FG46" s="57"/>
      <c r="FH46" s="57"/>
      <c r="FI46" s="57"/>
      <c r="FJ46" s="57"/>
      <c r="FK46" s="57"/>
      <c r="FL46" s="57"/>
      <c r="FM46" s="57"/>
      <c r="FN46" s="57"/>
      <c r="FO46" s="57"/>
      <c r="FP46" s="57"/>
      <c r="FQ46" s="57"/>
      <c r="FR46" s="57"/>
      <c r="FS46" s="57"/>
      <c r="FT46" s="57"/>
      <c r="FU46" s="57"/>
      <c r="FV46" s="57"/>
      <c r="FW46" s="57"/>
      <c r="FX46" s="57"/>
      <c r="FY46" s="57"/>
      <c r="FZ46" s="57"/>
      <c r="GA46" s="57"/>
      <c r="GB46" s="57"/>
      <c r="GC46" s="57"/>
      <c r="GD46" s="57"/>
      <c r="GE46" s="57"/>
      <c r="GF46" s="57"/>
      <c r="GG46" s="57"/>
      <c r="GH46" s="57"/>
      <c r="GI46" s="57"/>
      <c r="GJ46" s="57"/>
      <c r="GK46" s="57"/>
      <c r="GL46" s="57"/>
      <c r="GM46" s="57"/>
      <c r="GN46" s="57"/>
      <c r="GO46" s="57"/>
      <c r="GP46" s="57"/>
      <c r="GQ46" s="57"/>
      <c r="GR46" s="57"/>
      <c r="GS46" s="57"/>
      <c r="GT46" s="57"/>
      <c r="GU46" s="57"/>
      <c r="GV46" s="57"/>
      <c r="GW46" s="57"/>
      <c r="GX46" s="57"/>
      <c r="GY46" s="57"/>
      <c r="GZ46" s="57"/>
      <c r="HA46" s="57"/>
      <c r="HB46" s="57"/>
      <c r="HC46" s="57"/>
      <c r="HD46" s="57"/>
      <c r="HE46" s="57"/>
      <c r="HF46" s="57"/>
      <c r="HG46" s="57"/>
      <c r="HH46" s="57"/>
      <c r="HI46" s="57"/>
      <c r="HJ46" s="57"/>
      <c r="HK46" s="57"/>
      <c r="HL46" s="57"/>
      <c r="HM46" s="57"/>
      <c r="HN46" s="57"/>
      <c r="HO46" s="57"/>
      <c r="HP46" s="57"/>
      <c r="HQ46" s="57"/>
      <c r="HR46" s="57"/>
      <c r="HS46" s="57"/>
      <c r="HT46" s="57"/>
      <c r="HU46" s="57"/>
      <c r="HV46" s="57"/>
      <c r="HW46" s="57"/>
      <c r="HX46" s="57"/>
      <c r="HY46" s="57"/>
      <c r="HZ46" s="57"/>
      <c r="IA46" s="57"/>
      <c r="IB46" s="57"/>
      <c r="IC46" s="57"/>
      <c r="ID46" s="57"/>
      <c r="IE46" s="57"/>
      <c r="IF46" s="57"/>
      <c r="IG46" s="57"/>
      <c r="IH46" s="57"/>
      <c r="II46" s="57"/>
      <c r="IJ46" s="57"/>
      <c r="IK46" s="57"/>
      <c r="IL46" s="57"/>
    </row>
    <row r="47" spans="1:246" s="58" customFormat="1" ht="15" customHeight="1">
      <c r="A47" s="55" t="s">
        <v>585</v>
      </c>
      <c r="B47" s="55" t="s">
        <v>586</v>
      </c>
      <c r="C47" s="55" t="s">
        <v>95</v>
      </c>
      <c r="D47" s="56">
        <v>1094</v>
      </c>
      <c r="E47" s="56">
        <v>1400</v>
      </c>
      <c r="F47" s="56">
        <v>4</v>
      </c>
      <c r="G47" s="56">
        <v>1</v>
      </c>
      <c r="H47" s="55">
        <f t="shared" si="3"/>
        <v>5</v>
      </c>
      <c r="I47" s="55">
        <f>IF(D47&lt;&gt;"",D47,IFERROR(E47/(IFERROR(SUM(Sales!C:C),0))*(IFERROR(SUM(Purchases!C:C),0)),0))</f>
        <v>1094</v>
      </c>
      <c r="J47" s="55">
        <f t="shared" si="1"/>
        <v>4376</v>
      </c>
      <c r="K47" s="55">
        <f t="shared" si="2"/>
        <v>1094</v>
      </c>
      <c r="L47" s="55" t="s">
        <v>587</v>
      </c>
      <c r="M47" s="55" t="s">
        <v>588</v>
      </c>
      <c r="N47" s="55" t="s">
        <v>589</v>
      </c>
      <c r="O47" s="55"/>
      <c r="P47" s="55"/>
      <c r="Q47" s="55"/>
      <c r="R47" s="55"/>
      <c r="S47" s="55"/>
      <c r="T47" s="55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/>
      <c r="DO47" s="57"/>
      <c r="DP47" s="57"/>
      <c r="DQ47" s="57"/>
      <c r="DR47" s="57"/>
      <c r="DS47" s="57"/>
      <c r="DT47" s="57"/>
      <c r="DU47" s="57"/>
      <c r="DV47" s="57"/>
      <c r="DW47" s="57"/>
      <c r="DX47" s="57"/>
      <c r="DY47" s="57"/>
      <c r="DZ47" s="57"/>
      <c r="EA47" s="57"/>
      <c r="EB47" s="57"/>
      <c r="EC47" s="57"/>
      <c r="ED47" s="57"/>
      <c r="EE47" s="57"/>
      <c r="EF47" s="57"/>
      <c r="EG47" s="57"/>
      <c r="EH47" s="57"/>
      <c r="EI47" s="57"/>
      <c r="EJ47" s="57"/>
      <c r="EK47" s="57"/>
      <c r="EL47" s="57"/>
      <c r="EM47" s="57"/>
      <c r="EN47" s="57"/>
      <c r="EO47" s="57"/>
      <c r="EP47" s="57"/>
      <c r="EQ47" s="57"/>
      <c r="ER47" s="57"/>
      <c r="ES47" s="57"/>
      <c r="ET47" s="57"/>
      <c r="EU47" s="57"/>
      <c r="EV47" s="57"/>
      <c r="EW47" s="57"/>
      <c r="EX47" s="57"/>
      <c r="EY47" s="57"/>
      <c r="EZ47" s="57"/>
      <c r="FA47" s="57"/>
      <c r="FB47" s="57"/>
      <c r="FC47" s="57"/>
      <c r="FD47" s="57"/>
      <c r="FE47" s="57"/>
      <c r="FF47" s="57"/>
      <c r="FG47" s="57"/>
      <c r="FH47" s="57"/>
      <c r="FI47" s="57"/>
      <c r="FJ47" s="57"/>
      <c r="FK47" s="57"/>
      <c r="FL47" s="57"/>
      <c r="FM47" s="57"/>
      <c r="FN47" s="57"/>
      <c r="FO47" s="57"/>
      <c r="FP47" s="57"/>
      <c r="FQ47" s="57"/>
      <c r="FR47" s="57"/>
      <c r="FS47" s="57"/>
      <c r="FT47" s="57"/>
      <c r="FU47" s="57"/>
      <c r="FV47" s="57"/>
      <c r="FW47" s="57"/>
      <c r="FX47" s="57"/>
      <c r="FY47" s="57"/>
      <c r="FZ47" s="57"/>
      <c r="GA47" s="57"/>
      <c r="GB47" s="57"/>
      <c r="GC47" s="57"/>
      <c r="GD47" s="57"/>
      <c r="GE47" s="57"/>
      <c r="GF47" s="57"/>
      <c r="GG47" s="57"/>
      <c r="GH47" s="57"/>
      <c r="GI47" s="57"/>
      <c r="GJ47" s="57"/>
      <c r="GK47" s="57"/>
      <c r="GL47" s="57"/>
      <c r="GM47" s="57"/>
      <c r="GN47" s="57"/>
      <c r="GO47" s="57"/>
      <c r="GP47" s="57"/>
      <c r="GQ47" s="57"/>
      <c r="GR47" s="57"/>
      <c r="GS47" s="57"/>
      <c r="GT47" s="57"/>
      <c r="GU47" s="57"/>
      <c r="GV47" s="57"/>
      <c r="GW47" s="57"/>
      <c r="GX47" s="57"/>
      <c r="GY47" s="57"/>
      <c r="GZ47" s="57"/>
      <c r="HA47" s="57"/>
      <c r="HB47" s="57"/>
      <c r="HC47" s="57"/>
      <c r="HD47" s="57"/>
      <c r="HE47" s="57"/>
      <c r="HF47" s="57"/>
      <c r="HG47" s="57"/>
      <c r="HH47" s="57"/>
      <c r="HI47" s="57"/>
      <c r="HJ47" s="57"/>
      <c r="HK47" s="57"/>
      <c r="HL47" s="57"/>
      <c r="HM47" s="57"/>
      <c r="HN47" s="57"/>
      <c r="HO47" s="57"/>
      <c r="HP47" s="57"/>
      <c r="HQ47" s="57"/>
      <c r="HR47" s="57"/>
      <c r="HS47" s="57"/>
      <c r="HT47" s="57"/>
      <c r="HU47" s="57"/>
      <c r="HV47" s="57"/>
      <c r="HW47" s="57"/>
      <c r="HX47" s="57"/>
      <c r="HY47" s="57"/>
      <c r="HZ47" s="57"/>
      <c r="IA47" s="57"/>
      <c r="IB47" s="57"/>
      <c r="IC47" s="57"/>
      <c r="ID47" s="57"/>
      <c r="IE47" s="57"/>
      <c r="IF47" s="57"/>
      <c r="IG47" s="57"/>
      <c r="IH47" s="57"/>
      <c r="II47" s="57"/>
      <c r="IJ47" s="57"/>
      <c r="IK47" s="57"/>
      <c r="IL47" s="57"/>
    </row>
    <row r="48" spans="1:246" s="58" customFormat="1" ht="15" customHeight="1">
      <c r="A48" s="52" t="s">
        <v>590</v>
      </c>
      <c r="B48" s="52" t="s">
        <v>591</v>
      </c>
      <c r="C48" s="52" t="s">
        <v>95</v>
      </c>
      <c r="D48" s="53">
        <v>779</v>
      </c>
      <c r="E48" s="53">
        <v>1000</v>
      </c>
      <c r="F48" s="53">
        <v>1</v>
      </c>
      <c r="G48" s="53">
        <v>0</v>
      </c>
      <c r="H48" s="52">
        <f t="shared" si="3"/>
        <v>1</v>
      </c>
      <c r="I48" s="52">
        <f>IF(D48&lt;&gt;"",D48,IFERROR(E48/(IFERROR(SUM(Sales!C:C),0))*(IFERROR(SUM(Purchases!C:C),0)),0))</f>
        <v>779</v>
      </c>
      <c r="J48" s="52">
        <f t="shared" si="1"/>
        <v>779</v>
      </c>
      <c r="K48" s="52">
        <f t="shared" si="2"/>
        <v>0</v>
      </c>
      <c r="L48" s="52" t="s">
        <v>179</v>
      </c>
      <c r="M48" s="52" t="s">
        <v>49</v>
      </c>
      <c r="N48" s="52" t="s">
        <v>504</v>
      </c>
      <c r="O48" s="52"/>
      <c r="P48" s="52"/>
      <c r="Q48" s="52"/>
      <c r="R48" s="52"/>
      <c r="S48" s="52"/>
      <c r="T48" s="52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/>
      <c r="EM48" s="57"/>
      <c r="EN48" s="57"/>
      <c r="EO48" s="57"/>
      <c r="EP48" s="57"/>
      <c r="EQ48" s="57"/>
      <c r="ER48" s="57"/>
      <c r="ES48" s="57"/>
      <c r="ET48" s="57"/>
      <c r="EU48" s="57"/>
      <c r="EV48" s="57"/>
      <c r="EW48" s="57"/>
      <c r="EX48" s="57"/>
      <c r="EY48" s="57"/>
      <c r="EZ48" s="57"/>
      <c r="FA48" s="57"/>
      <c r="FB48" s="57"/>
      <c r="FC48" s="57"/>
      <c r="FD48" s="57"/>
      <c r="FE48" s="57"/>
      <c r="FF48" s="57"/>
      <c r="FG48" s="57"/>
      <c r="FH48" s="57"/>
      <c r="FI48" s="57"/>
      <c r="FJ48" s="57"/>
      <c r="FK48" s="57"/>
      <c r="FL48" s="57"/>
      <c r="FM48" s="57"/>
      <c r="FN48" s="57"/>
      <c r="FO48" s="57"/>
      <c r="FP48" s="57"/>
      <c r="FQ48" s="57"/>
      <c r="FR48" s="57"/>
      <c r="FS48" s="57"/>
      <c r="FT48" s="57"/>
      <c r="FU48" s="57"/>
      <c r="FV48" s="57"/>
      <c r="FW48" s="57"/>
      <c r="FX48" s="57"/>
      <c r="FY48" s="57"/>
      <c r="FZ48" s="57"/>
      <c r="GA48" s="57"/>
      <c r="GB48" s="57"/>
      <c r="GC48" s="57"/>
      <c r="GD48" s="57"/>
      <c r="GE48" s="57"/>
      <c r="GF48" s="57"/>
      <c r="GG48" s="57"/>
      <c r="GH48" s="57"/>
      <c r="GI48" s="57"/>
      <c r="GJ48" s="57"/>
      <c r="GK48" s="57"/>
      <c r="GL48" s="57"/>
      <c r="GM48" s="57"/>
      <c r="GN48" s="57"/>
      <c r="GO48" s="57"/>
      <c r="GP48" s="57"/>
      <c r="GQ48" s="57"/>
      <c r="GR48" s="57"/>
      <c r="GS48" s="57"/>
      <c r="GT48" s="57"/>
      <c r="GU48" s="57"/>
      <c r="GV48" s="57"/>
      <c r="GW48" s="57"/>
      <c r="GX48" s="57"/>
      <c r="GY48" s="57"/>
      <c r="GZ48" s="57"/>
      <c r="HA48" s="57"/>
      <c r="HB48" s="57"/>
      <c r="HC48" s="57"/>
      <c r="HD48" s="57"/>
      <c r="HE48" s="57"/>
      <c r="HF48" s="57"/>
      <c r="HG48" s="57"/>
      <c r="HH48" s="57"/>
      <c r="HI48" s="57"/>
      <c r="HJ48" s="57"/>
      <c r="HK48" s="57"/>
      <c r="HL48" s="57"/>
      <c r="HM48" s="57"/>
      <c r="HN48" s="57"/>
      <c r="HO48" s="57"/>
      <c r="HP48" s="57"/>
      <c r="HQ48" s="57"/>
      <c r="HR48" s="57"/>
      <c r="HS48" s="57"/>
      <c r="HT48" s="57"/>
      <c r="HU48" s="57"/>
      <c r="HV48" s="57"/>
      <c r="HW48" s="57"/>
      <c r="HX48" s="57"/>
      <c r="HY48" s="57"/>
      <c r="HZ48" s="57"/>
      <c r="IA48" s="57"/>
      <c r="IB48" s="57"/>
      <c r="IC48" s="57"/>
      <c r="ID48" s="57"/>
      <c r="IE48" s="57"/>
      <c r="IF48" s="57"/>
      <c r="IG48" s="57"/>
      <c r="IH48" s="57"/>
      <c r="II48" s="57"/>
      <c r="IJ48" s="57"/>
      <c r="IK48" s="57"/>
      <c r="IL48" s="57"/>
    </row>
    <row r="49" spans="1:246" s="58" customFormat="1" ht="15" customHeight="1">
      <c r="A49" s="55" t="s">
        <v>592</v>
      </c>
      <c r="B49" s="55" t="s">
        <v>593</v>
      </c>
      <c r="C49" s="55" t="s">
        <v>95</v>
      </c>
      <c r="D49" s="56">
        <v>895</v>
      </c>
      <c r="E49" s="56">
        <v>1400</v>
      </c>
      <c r="F49" s="56">
        <v>1</v>
      </c>
      <c r="G49" s="56">
        <v>0</v>
      </c>
      <c r="H49" s="55">
        <f t="shared" si="3"/>
        <v>1</v>
      </c>
      <c r="I49" s="55">
        <f>IF(D49&lt;&gt;"",D49,IFERROR(E49/(IFERROR(SUM(Sales!C:C),0))*(IFERROR(SUM(Purchases!C:C),0)),0))</f>
        <v>895</v>
      </c>
      <c r="J49" s="55">
        <f t="shared" si="1"/>
        <v>895</v>
      </c>
      <c r="K49" s="55">
        <f t="shared" si="2"/>
        <v>0</v>
      </c>
      <c r="L49" s="55" t="s">
        <v>179</v>
      </c>
      <c r="M49" s="55" t="s">
        <v>49</v>
      </c>
      <c r="N49" s="55" t="s">
        <v>504</v>
      </c>
      <c r="O49" s="55"/>
      <c r="P49" s="55" t="s">
        <v>594</v>
      </c>
      <c r="Q49" s="55"/>
      <c r="R49" s="55"/>
      <c r="S49" s="55"/>
      <c r="T49" s="55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  <c r="FH49" s="57"/>
      <c r="FI49" s="57"/>
      <c r="FJ49" s="57"/>
      <c r="FK49" s="57"/>
      <c r="FL49" s="57"/>
      <c r="FM49" s="57"/>
      <c r="FN49" s="57"/>
      <c r="FO49" s="57"/>
      <c r="FP49" s="57"/>
      <c r="FQ49" s="57"/>
      <c r="FR49" s="57"/>
      <c r="FS49" s="57"/>
      <c r="FT49" s="57"/>
      <c r="FU49" s="57"/>
      <c r="FV49" s="57"/>
      <c r="FW49" s="57"/>
      <c r="FX49" s="57"/>
      <c r="FY49" s="57"/>
      <c r="FZ49" s="57"/>
      <c r="GA49" s="57"/>
      <c r="GB49" s="57"/>
      <c r="GC49" s="57"/>
      <c r="GD49" s="57"/>
      <c r="GE49" s="57"/>
      <c r="GF49" s="57"/>
      <c r="GG49" s="57"/>
      <c r="GH49" s="57"/>
      <c r="GI49" s="57"/>
      <c r="GJ49" s="57"/>
      <c r="GK49" s="57"/>
      <c r="GL49" s="57"/>
      <c r="GM49" s="57"/>
      <c r="GN49" s="57"/>
      <c r="GO49" s="57"/>
      <c r="GP49" s="57"/>
      <c r="GQ49" s="57"/>
      <c r="GR49" s="57"/>
      <c r="GS49" s="57"/>
      <c r="GT49" s="57"/>
      <c r="GU49" s="57"/>
      <c r="GV49" s="57"/>
      <c r="GW49" s="57"/>
      <c r="GX49" s="57"/>
      <c r="GY49" s="57"/>
      <c r="GZ49" s="57"/>
      <c r="HA49" s="57"/>
      <c r="HB49" s="57"/>
      <c r="HC49" s="57"/>
      <c r="HD49" s="57"/>
      <c r="HE49" s="57"/>
      <c r="HF49" s="57"/>
      <c r="HG49" s="57"/>
      <c r="HH49" s="57"/>
      <c r="HI49" s="57"/>
      <c r="HJ49" s="57"/>
      <c r="HK49" s="57"/>
      <c r="HL49" s="57"/>
      <c r="HM49" s="57"/>
      <c r="HN49" s="57"/>
      <c r="HO49" s="57"/>
      <c r="HP49" s="57"/>
      <c r="HQ49" s="57"/>
      <c r="HR49" s="57"/>
      <c r="HS49" s="57"/>
      <c r="HT49" s="57"/>
      <c r="HU49" s="57"/>
      <c r="HV49" s="57"/>
      <c r="HW49" s="57"/>
      <c r="HX49" s="57"/>
      <c r="HY49" s="57"/>
      <c r="HZ49" s="57"/>
      <c r="IA49" s="57"/>
      <c r="IB49" s="57"/>
      <c r="IC49" s="57"/>
      <c r="ID49" s="57"/>
      <c r="IE49" s="57"/>
      <c r="IF49" s="57"/>
      <c r="IG49" s="57"/>
      <c r="IH49" s="57"/>
      <c r="II49" s="57"/>
      <c r="IJ49" s="57"/>
      <c r="IK49" s="57"/>
      <c r="IL49" s="57"/>
    </row>
    <row r="50" spans="1:246" ht="15" customHeight="1">
      <c r="A50" s="52" t="s">
        <v>595</v>
      </c>
      <c r="B50" s="52" t="s">
        <v>596</v>
      </c>
      <c r="C50" s="52" t="s">
        <v>96</v>
      </c>
      <c r="D50" s="53">
        <v>1145</v>
      </c>
      <c r="E50" s="53">
        <v>1400</v>
      </c>
      <c r="F50" s="53">
        <v>1</v>
      </c>
      <c r="G50" s="53">
        <v>0</v>
      </c>
      <c r="H50" s="52">
        <f t="shared" si="3"/>
        <v>1</v>
      </c>
      <c r="I50" s="52">
        <f>IF(D50&lt;&gt;"",D50,IFERROR(E50/(IFERROR(SUM(Sales!C:C),0))*(IFERROR(SUM(Purchases!C:C),0)),0))</f>
        <v>1145</v>
      </c>
      <c r="J50" s="52">
        <f t="shared" si="1"/>
        <v>1145</v>
      </c>
      <c r="K50" s="52">
        <f t="shared" si="2"/>
        <v>0</v>
      </c>
      <c r="L50" s="52" t="s">
        <v>51</v>
      </c>
      <c r="M50" s="52" t="s">
        <v>49</v>
      </c>
      <c r="N50" s="52" t="s">
        <v>504</v>
      </c>
      <c r="O50" s="52"/>
      <c r="P50" s="52"/>
      <c r="Q50" s="52"/>
      <c r="R50" s="52"/>
      <c r="S50" s="52"/>
      <c r="T50" s="52"/>
    </row>
    <row r="51" spans="1:246" ht="15" customHeight="1">
      <c r="A51" s="55" t="s">
        <v>597</v>
      </c>
      <c r="B51" s="55" t="s">
        <v>563</v>
      </c>
      <c r="C51" s="55" t="s">
        <v>96</v>
      </c>
      <c r="D51" s="56">
        <v>1165</v>
      </c>
      <c r="E51" s="56">
        <v>1400</v>
      </c>
      <c r="F51" s="56">
        <v>1</v>
      </c>
      <c r="G51" s="56">
        <v>0</v>
      </c>
      <c r="H51" s="55">
        <f t="shared" si="3"/>
        <v>1</v>
      </c>
      <c r="I51" s="55">
        <f>IF(D51&lt;&gt;"",D51,IFERROR(E51/(IFERROR(SUM(Sales!C:C),0))*(IFERROR(SUM(Purchases!C:C),0)),0))</f>
        <v>1165</v>
      </c>
      <c r="J51" s="55">
        <f t="shared" si="1"/>
        <v>1165</v>
      </c>
      <c r="K51" s="55">
        <f t="shared" si="2"/>
        <v>0</v>
      </c>
      <c r="L51" s="55" t="s">
        <v>51</v>
      </c>
      <c r="M51" s="55" t="s">
        <v>49</v>
      </c>
      <c r="N51" s="55" t="s">
        <v>504</v>
      </c>
      <c r="O51" s="55"/>
      <c r="P51" s="55"/>
      <c r="Q51" s="55"/>
      <c r="R51" s="55"/>
      <c r="S51" s="55"/>
      <c r="T51" s="55"/>
    </row>
    <row r="52" spans="1:246" ht="15" customHeight="1">
      <c r="A52" s="52" t="s">
        <v>598</v>
      </c>
      <c r="B52" s="52" t="s">
        <v>298</v>
      </c>
      <c r="C52" s="52" t="s">
        <v>96</v>
      </c>
      <c r="D52" s="53">
        <v>1200</v>
      </c>
      <c r="E52" s="53">
        <v>799</v>
      </c>
      <c r="F52" s="53">
        <v>2</v>
      </c>
      <c r="G52" s="53">
        <v>2</v>
      </c>
      <c r="H52" s="52">
        <f t="shared" si="3"/>
        <v>4</v>
      </c>
      <c r="I52" s="52">
        <f>IF(D52&lt;&gt;"",D52,IFERROR(E52/(IFERROR(SUM(Sales!C:C),0))*(IFERROR(SUM(Purchases!C:C),0)),0))</f>
        <v>1200</v>
      </c>
      <c r="J52" s="52">
        <f t="shared" si="1"/>
        <v>2400</v>
      </c>
      <c r="K52" s="52">
        <f t="shared" si="2"/>
        <v>2400</v>
      </c>
      <c r="L52" s="52" t="s">
        <v>599</v>
      </c>
      <c r="M52" s="52"/>
      <c r="N52" s="52" t="s">
        <v>589</v>
      </c>
      <c r="O52" s="52" t="s">
        <v>600</v>
      </c>
      <c r="P52" s="52" t="s">
        <v>601</v>
      </c>
      <c r="Q52" s="52"/>
      <c r="R52" s="52"/>
      <c r="S52" s="52"/>
      <c r="T52" s="52"/>
    </row>
    <row r="53" spans="1:246" ht="15" customHeight="1">
      <c r="A53" s="55" t="s">
        <v>602</v>
      </c>
      <c r="B53" s="55" t="s">
        <v>296</v>
      </c>
      <c r="C53" s="55" t="s">
        <v>96</v>
      </c>
      <c r="D53" s="56">
        <v>1941</v>
      </c>
      <c r="E53" s="56">
        <v>1250</v>
      </c>
      <c r="F53" s="56">
        <v>2</v>
      </c>
      <c r="G53" s="56">
        <v>1</v>
      </c>
      <c r="H53" s="55">
        <f t="shared" si="3"/>
        <v>3</v>
      </c>
      <c r="I53" s="55">
        <f>IF(D53&lt;&gt;"",D53,IFERROR(E53/(IFERROR(SUM(Sales!C:C),0))*(IFERROR(SUM(Purchases!C:C),0)),0))</f>
        <v>1941</v>
      </c>
      <c r="J53" s="55">
        <f t="shared" si="1"/>
        <v>3882</v>
      </c>
      <c r="K53" s="55">
        <f t="shared" si="2"/>
        <v>1941</v>
      </c>
      <c r="L53" s="55" t="s">
        <v>603</v>
      </c>
      <c r="M53" s="55"/>
      <c r="N53" s="55" t="s">
        <v>356</v>
      </c>
      <c r="O53" s="55" t="s">
        <v>229</v>
      </c>
      <c r="P53" s="55" t="s">
        <v>604</v>
      </c>
      <c r="Q53" s="55"/>
      <c r="R53" s="55"/>
      <c r="S53" s="55"/>
      <c r="T53" s="55"/>
    </row>
    <row r="54" spans="1:246" s="62" customFormat="1" ht="15" customHeight="1">
      <c r="A54" s="52" t="s">
        <v>605</v>
      </c>
      <c r="B54" s="59" t="s">
        <v>606</v>
      </c>
      <c r="C54" s="59" t="s">
        <v>96</v>
      </c>
      <c r="D54" s="60">
        <v>1476</v>
      </c>
      <c r="E54" s="60">
        <v>1600</v>
      </c>
      <c r="F54" s="60">
        <v>0</v>
      </c>
      <c r="G54" s="60">
        <v>2</v>
      </c>
      <c r="H54" s="59">
        <f t="shared" si="3"/>
        <v>2</v>
      </c>
      <c r="I54" s="59">
        <f>IF(D54&lt;&gt;"",D54,IFERROR(E54/(IFERROR(SUM(Sales!C:C),0))*(IFERROR(SUM(Purchases!C:C),0)),0))</f>
        <v>1476</v>
      </c>
      <c r="J54" s="59">
        <f t="shared" si="1"/>
        <v>0</v>
      </c>
      <c r="K54" s="59">
        <f t="shared" si="2"/>
        <v>2952</v>
      </c>
      <c r="L54" s="59"/>
      <c r="M54" s="59"/>
      <c r="N54" s="59" t="s">
        <v>356</v>
      </c>
      <c r="O54" s="59" t="s">
        <v>207</v>
      </c>
      <c r="P54" s="59" t="s">
        <v>607</v>
      </c>
      <c r="Q54" s="52" t="s">
        <v>608</v>
      </c>
      <c r="R54" s="59"/>
      <c r="S54" s="59"/>
      <c r="T54" s="59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1"/>
      <c r="GQ54" s="61"/>
      <c r="GR54" s="61"/>
      <c r="GS54" s="61"/>
      <c r="GT54" s="61"/>
      <c r="GU54" s="61"/>
      <c r="GV54" s="61"/>
      <c r="GW54" s="61"/>
      <c r="GX54" s="61"/>
      <c r="GY54" s="61"/>
      <c r="GZ54" s="61"/>
      <c r="HA54" s="61"/>
      <c r="HB54" s="61"/>
      <c r="HC54" s="61"/>
      <c r="HD54" s="61"/>
      <c r="HE54" s="61"/>
      <c r="HF54" s="61"/>
      <c r="HG54" s="61"/>
      <c r="HH54" s="61"/>
      <c r="HI54" s="61"/>
      <c r="HJ54" s="61"/>
      <c r="HK54" s="61"/>
      <c r="HL54" s="61"/>
      <c r="HM54" s="61"/>
      <c r="HN54" s="61"/>
      <c r="HO54" s="61"/>
      <c r="HP54" s="61"/>
      <c r="HQ54" s="61"/>
      <c r="HR54" s="61"/>
      <c r="HS54" s="61"/>
      <c r="HT54" s="61"/>
      <c r="HU54" s="61"/>
      <c r="HV54" s="61"/>
      <c r="HW54" s="61"/>
      <c r="HX54" s="61"/>
      <c r="HY54" s="61"/>
      <c r="HZ54" s="61"/>
      <c r="IA54" s="61"/>
      <c r="IB54" s="61"/>
      <c r="IC54" s="61"/>
      <c r="ID54" s="61"/>
      <c r="IE54" s="61"/>
      <c r="IF54" s="61"/>
      <c r="IG54" s="61"/>
      <c r="IH54" s="61"/>
      <c r="II54" s="61"/>
      <c r="IJ54" s="61"/>
      <c r="IK54" s="61"/>
      <c r="IL54" s="61"/>
    </row>
    <row r="55" spans="1:246" ht="15" customHeight="1">
      <c r="A55" s="55" t="s">
        <v>609</v>
      </c>
      <c r="B55" s="55" t="s">
        <v>610</v>
      </c>
      <c r="C55" s="55" t="s">
        <v>96</v>
      </c>
      <c r="D55" s="56">
        <v>995</v>
      </c>
      <c r="E55" s="56">
        <v>1000</v>
      </c>
      <c r="F55" s="56">
        <v>1</v>
      </c>
      <c r="G55" s="56">
        <v>1</v>
      </c>
      <c r="H55" s="55">
        <f t="shared" si="3"/>
        <v>2</v>
      </c>
      <c r="I55" s="55">
        <f>IF(D55&lt;&gt;"",D55,IFERROR(E55/(IFERROR(SUM(Sales!C:C),0))*(IFERROR(SUM(Purchases!C:C),0)),0))</f>
        <v>995</v>
      </c>
      <c r="J55" s="55">
        <f t="shared" si="1"/>
        <v>995</v>
      </c>
      <c r="K55" s="55">
        <f t="shared" si="2"/>
        <v>995</v>
      </c>
      <c r="L55" s="55" t="s">
        <v>611</v>
      </c>
      <c r="M55" s="55" t="s">
        <v>49</v>
      </c>
      <c r="N55" s="55" t="s">
        <v>589</v>
      </c>
      <c r="O55" s="55" t="s">
        <v>207</v>
      </c>
      <c r="P55" s="55"/>
      <c r="Q55" s="55"/>
      <c r="R55" s="55"/>
      <c r="S55" s="55"/>
      <c r="T55" s="55"/>
    </row>
    <row r="56" spans="1:246" ht="15" customHeight="1">
      <c r="A56" s="52" t="s">
        <v>612</v>
      </c>
      <c r="B56" s="52" t="s">
        <v>519</v>
      </c>
      <c r="C56" s="52" t="s">
        <v>96</v>
      </c>
      <c r="D56" s="53">
        <v>839</v>
      </c>
      <c r="E56" s="53">
        <v>1000</v>
      </c>
      <c r="F56" s="53">
        <v>1</v>
      </c>
      <c r="G56" s="53">
        <v>0</v>
      </c>
      <c r="H56" s="52">
        <f t="shared" si="3"/>
        <v>1</v>
      </c>
      <c r="I56" s="52">
        <f>IF(D56&lt;&gt;"",D56,IFERROR(E56/(IFERROR(SUM(Sales!C:C),0))*(IFERROR(SUM(Purchases!C:C),0)),0))</f>
        <v>839</v>
      </c>
      <c r="J56" s="52">
        <f t="shared" si="1"/>
        <v>839</v>
      </c>
      <c r="K56" s="52">
        <f t="shared" si="2"/>
        <v>0</v>
      </c>
      <c r="L56" s="52" t="s">
        <v>51</v>
      </c>
      <c r="M56" s="52" t="s">
        <v>49</v>
      </c>
      <c r="N56" s="52" t="s">
        <v>504</v>
      </c>
      <c r="O56" s="52" t="s">
        <v>613</v>
      </c>
      <c r="P56" s="52"/>
      <c r="Q56" s="52"/>
      <c r="R56" s="52"/>
      <c r="S56" s="52"/>
      <c r="T56" s="52"/>
    </row>
    <row r="57" spans="1:246" ht="15" customHeight="1">
      <c r="A57" s="55" t="s">
        <v>614</v>
      </c>
      <c r="B57" s="55" t="s">
        <v>615</v>
      </c>
      <c r="C57" s="55" t="s">
        <v>96</v>
      </c>
      <c r="D57" s="56">
        <v>1095</v>
      </c>
      <c r="E57" s="56">
        <v>1400</v>
      </c>
      <c r="F57" s="56">
        <v>0</v>
      </c>
      <c r="G57" s="56">
        <v>3</v>
      </c>
      <c r="H57" s="55">
        <f t="shared" si="3"/>
        <v>3</v>
      </c>
      <c r="I57" s="55">
        <f>IF(D57&lt;&gt;"",D57,IFERROR(E57/(IFERROR(SUM(Sales!C:C),0))*(IFERROR(SUM(Purchases!C:C),0)),0))</f>
        <v>1095</v>
      </c>
      <c r="J57" s="55">
        <f t="shared" si="1"/>
        <v>0</v>
      </c>
      <c r="K57" s="55">
        <f t="shared" si="2"/>
        <v>3285</v>
      </c>
      <c r="L57" s="55"/>
      <c r="M57" s="55"/>
      <c r="N57" s="55" t="s">
        <v>356</v>
      </c>
      <c r="O57" s="55" t="s">
        <v>616</v>
      </c>
      <c r="P57" s="55"/>
      <c r="Q57" s="55"/>
      <c r="R57" s="55"/>
      <c r="S57" s="55"/>
      <c r="T57" s="55"/>
    </row>
    <row r="58" spans="1:246" ht="15" customHeight="1">
      <c r="A58" s="52" t="s">
        <v>617</v>
      </c>
      <c r="B58" s="52" t="s">
        <v>618</v>
      </c>
      <c r="C58" s="52" t="s">
        <v>96</v>
      </c>
      <c r="D58" s="53">
        <v>839</v>
      </c>
      <c r="E58" s="53">
        <v>1000</v>
      </c>
      <c r="F58" s="53">
        <v>0</v>
      </c>
      <c r="G58" s="53">
        <v>2</v>
      </c>
      <c r="H58" s="52">
        <f t="shared" si="3"/>
        <v>2</v>
      </c>
      <c r="I58" s="52">
        <f>IF(D58&lt;&gt;"",D58,IFERROR(E58/(IFERROR(SUM(Sales!C:C),0))*(IFERROR(SUM(Purchases!C:C),0)),0))</f>
        <v>839</v>
      </c>
      <c r="J58" s="52">
        <f t="shared" si="1"/>
        <v>0</v>
      </c>
      <c r="K58" s="52">
        <f t="shared" si="2"/>
        <v>1678</v>
      </c>
      <c r="L58" s="52"/>
      <c r="M58" s="52"/>
      <c r="N58" s="52" t="s">
        <v>356</v>
      </c>
      <c r="O58" s="52" t="s">
        <v>619</v>
      </c>
      <c r="P58" s="52"/>
      <c r="Q58" s="52"/>
      <c r="R58" s="52"/>
      <c r="S58" s="52"/>
      <c r="T58" s="52"/>
    </row>
    <row r="59" spans="1:246" ht="15" customHeight="1">
      <c r="A59" s="55" t="s">
        <v>620</v>
      </c>
      <c r="B59" s="55" t="s">
        <v>596</v>
      </c>
      <c r="C59" s="55" t="s">
        <v>96</v>
      </c>
      <c r="D59" s="56">
        <v>1145</v>
      </c>
      <c r="E59" s="56">
        <v>1500</v>
      </c>
      <c r="F59" s="56">
        <v>2</v>
      </c>
      <c r="G59" s="56">
        <v>1</v>
      </c>
      <c r="H59" s="55">
        <f t="shared" si="3"/>
        <v>3</v>
      </c>
      <c r="I59" s="55">
        <f>IF(D59&lt;&gt;"",D59,IFERROR(E59/(IFERROR(SUM(Sales!C:C),0))*(IFERROR(SUM(Purchases!C:C),0)),0))</f>
        <v>1145</v>
      </c>
      <c r="J59" s="55">
        <f t="shared" si="1"/>
        <v>2290</v>
      </c>
      <c r="K59" s="55">
        <f t="shared" si="2"/>
        <v>1145</v>
      </c>
      <c r="L59" s="55" t="s">
        <v>1127</v>
      </c>
      <c r="M59" s="55"/>
      <c r="N59" s="55" t="s">
        <v>589</v>
      </c>
      <c r="O59" s="55" t="s">
        <v>229</v>
      </c>
      <c r="P59" s="55" t="s">
        <v>622</v>
      </c>
      <c r="Q59" s="55"/>
      <c r="R59" s="55"/>
      <c r="S59" s="55"/>
      <c r="T59" s="55"/>
    </row>
    <row r="60" spans="1:246" ht="15" customHeight="1">
      <c r="A60" s="52" t="s">
        <v>623</v>
      </c>
      <c r="B60" s="52" t="s">
        <v>624</v>
      </c>
      <c r="C60" s="52" t="s">
        <v>96</v>
      </c>
      <c r="D60" s="53">
        <v>1080</v>
      </c>
      <c r="E60" s="53">
        <v>1400</v>
      </c>
      <c r="F60" s="53">
        <v>1</v>
      </c>
      <c r="G60" s="53">
        <v>1</v>
      </c>
      <c r="H60" s="52">
        <f t="shared" si="3"/>
        <v>2</v>
      </c>
      <c r="I60" s="52">
        <f>IF(D60&lt;&gt;"",D60,IFERROR(E60/(IFERROR(SUM(Sales!C:C),0))*(IFERROR(SUM(Purchases!C:C),0)),0))</f>
        <v>1080</v>
      </c>
      <c r="J60" s="52">
        <f t="shared" si="1"/>
        <v>1080</v>
      </c>
      <c r="K60" s="52">
        <f t="shared" si="2"/>
        <v>1080</v>
      </c>
      <c r="L60" s="52" t="s">
        <v>625</v>
      </c>
      <c r="M60" s="52" t="s">
        <v>49</v>
      </c>
      <c r="N60" s="52" t="s">
        <v>504</v>
      </c>
      <c r="O60" s="52"/>
      <c r="P60" s="52" t="s">
        <v>626</v>
      </c>
      <c r="Q60" s="52"/>
      <c r="R60" s="52"/>
      <c r="S60" s="52"/>
      <c r="T60" s="52"/>
    </row>
    <row r="61" spans="1:246" ht="45" customHeight="1">
      <c r="A61" s="55" t="s">
        <v>627</v>
      </c>
      <c r="B61" s="55" t="s">
        <v>575</v>
      </c>
      <c r="C61" s="55" t="s">
        <v>96</v>
      </c>
      <c r="D61" s="56">
        <v>1096</v>
      </c>
      <c r="E61" s="56">
        <v>1600</v>
      </c>
      <c r="F61" s="56">
        <v>2</v>
      </c>
      <c r="G61" s="56">
        <v>4</v>
      </c>
      <c r="H61" s="55">
        <f t="shared" si="3"/>
        <v>6</v>
      </c>
      <c r="I61" s="55">
        <f>IF(D61&lt;&gt;"",D61,IFERROR(E61/(IFERROR(SUM(Sales!C:C),0))*(IFERROR(SUM(Purchases!C:C),0)),0))</f>
        <v>1096</v>
      </c>
      <c r="J61" s="55">
        <f t="shared" si="1"/>
        <v>2192</v>
      </c>
      <c r="K61" s="55">
        <f t="shared" si="2"/>
        <v>4384</v>
      </c>
      <c r="L61" s="55" t="s">
        <v>628</v>
      </c>
      <c r="M61" s="55"/>
      <c r="N61" s="55" t="s">
        <v>589</v>
      </c>
      <c r="O61" s="55" t="s">
        <v>629</v>
      </c>
      <c r="P61" s="55" t="s">
        <v>630</v>
      </c>
      <c r="Q61" s="55" t="s">
        <v>631</v>
      </c>
      <c r="R61" s="55"/>
      <c r="S61" s="55"/>
      <c r="T61" s="55"/>
    </row>
    <row r="62" spans="1:246" ht="15" customHeight="1">
      <c r="A62" s="52" t="s">
        <v>632</v>
      </c>
      <c r="B62" s="52" t="s">
        <v>109</v>
      </c>
      <c r="C62" s="52" t="s">
        <v>95</v>
      </c>
      <c r="D62" s="53">
        <v>562</v>
      </c>
      <c r="E62" s="53">
        <v>750</v>
      </c>
      <c r="F62" s="53">
        <v>2</v>
      </c>
      <c r="G62" s="53">
        <v>0</v>
      </c>
      <c r="H62" s="52">
        <f t="shared" si="3"/>
        <v>2</v>
      </c>
      <c r="I62" s="52">
        <f>IF(D62&lt;&gt;"",D62,IFERROR(E62/(IFERROR(SUM(Sales!C:C),0))*(IFERROR(SUM(Purchases!C:C),0)),0))</f>
        <v>562</v>
      </c>
      <c r="J62" s="52">
        <f t="shared" si="1"/>
        <v>1124</v>
      </c>
      <c r="K62" s="52">
        <f t="shared" si="2"/>
        <v>0</v>
      </c>
      <c r="L62" s="52" t="s">
        <v>633</v>
      </c>
      <c r="M62" s="52"/>
      <c r="N62" s="52" t="s">
        <v>504</v>
      </c>
      <c r="O62" s="52"/>
      <c r="P62" s="52"/>
      <c r="Q62" s="52"/>
      <c r="R62" s="52"/>
      <c r="S62" s="52"/>
      <c r="T62" s="52"/>
    </row>
    <row r="63" spans="1:246" ht="15" customHeight="1">
      <c r="A63" s="55" t="s">
        <v>634</v>
      </c>
      <c r="B63" s="55" t="s">
        <v>510</v>
      </c>
      <c r="C63" s="55" t="s">
        <v>95</v>
      </c>
      <c r="D63" s="56">
        <v>525</v>
      </c>
      <c r="E63" s="56">
        <v>700</v>
      </c>
      <c r="F63" s="56">
        <v>1</v>
      </c>
      <c r="G63" s="56">
        <v>0</v>
      </c>
      <c r="H63" s="55">
        <f t="shared" si="3"/>
        <v>1</v>
      </c>
      <c r="I63" s="55">
        <f>IF(D63&lt;&gt;"",D63,IFERROR(E63/(IFERROR(SUM(Sales!C:C),0))*(IFERROR(SUM(Purchases!C:C),0)),0))</f>
        <v>525</v>
      </c>
      <c r="J63" s="55">
        <f t="shared" si="1"/>
        <v>525</v>
      </c>
      <c r="K63" s="55">
        <f t="shared" si="2"/>
        <v>0</v>
      </c>
      <c r="L63" s="55" t="s">
        <v>177</v>
      </c>
      <c r="M63" s="55"/>
      <c r="N63" s="55" t="s">
        <v>504</v>
      </c>
      <c r="O63" s="55"/>
      <c r="P63" s="55"/>
      <c r="Q63" s="55"/>
      <c r="R63" s="55"/>
      <c r="S63" s="55"/>
      <c r="T63" s="55"/>
    </row>
    <row r="64" spans="1:246" ht="15" customHeight="1">
      <c r="A64" s="52" t="s">
        <v>635</v>
      </c>
      <c r="B64" s="52" t="s">
        <v>510</v>
      </c>
      <c r="C64" s="52" t="s">
        <v>95</v>
      </c>
      <c r="D64" s="53">
        <v>972</v>
      </c>
      <c r="E64" s="53">
        <v>1600</v>
      </c>
      <c r="F64" s="53">
        <v>1</v>
      </c>
      <c r="G64" s="53">
        <v>0</v>
      </c>
      <c r="H64" s="52">
        <f t="shared" si="3"/>
        <v>1</v>
      </c>
      <c r="I64" s="52">
        <f>IF(D64&lt;&gt;"",D64,IFERROR(E64/(IFERROR(SUM(Sales!C:C),0))*(IFERROR(SUM(Purchases!C:C),0)),0))</f>
        <v>972</v>
      </c>
      <c r="J64" s="52">
        <f t="shared" si="1"/>
        <v>972</v>
      </c>
      <c r="K64" s="52">
        <f t="shared" si="2"/>
        <v>0</v>
      </c>
      <c r="L64" s="52" t="s">
        <v>201</v>
      </c>
      <c r="M64" s="52"/>
      <c r="N64" s="52" t="s">
        <v>504</v>
      </c>
      <c r="O64" s="52"/>
      <c r="P64" s="52"/>
      <c r="Q64" s="52"/>
      <c r="R64" s="52"/>
      <c r="S64" s="52"/>
      <c r="T64" s="52"/>
    </row>
    <row r="65" spans="1:20" ht="15" customHeight="1">
      <c r="A65" s="55" t="s">
        <v>636</v>
      </c>
      <c r="B65" s="55" t="s">
        <v>637</v>
      </c>
      <c r="C65" s="55" t="s">
        <v>95</v>
      </c>
      <c r="D65" s="56">
        <v>1602</v>
      </c>
      <c r="E65" s="56">
        <v>1800</v>
      </c>
      <c r="F65" s="56">
        <v>1</v>
      </c>
      <c r="G65" s="56">
        <v>0</v>
      </c>
      <c r="H65" s="55">
        <f t="shared" si="3"/>
        <v>1</v>
      </c>
      <c r="I65" s="55">
        <f>IF(D65&lt;&gt;"",D65,IFERROR(E65/(IFERROR(SUM(Sales!C:C),0))*(IFERROR(SUM(Purchases!C:C),0)),0))</f>
        <v>1602</v>
      </c>
      <c r="J65" s="55">
        <f t="shared" si="1"/>
        <v>1602</v>
      </c>
      <c r="K65" s="55">
        <f t="shared" si="2"/>
        <v>0</v>
      </c>
      <c r="L65" s="55" t="s">
        <v>638</v>
      </c>
      <c r="M65" s="55"/>
      <c r="N65" s="55" t="s">
        <v>504</v>
      </c>
      <c r="O65" s="55"/>
      <c r="P65" s="55"/>
      <c r="Q65" s="55"/>
      <c r="R65" s="55"/>
      <c r="S65" s="55"/>
      <c r="T65" s="55"/>
    </row>
    <row r="66" spans="1:20" ht="15" customHeight="1">
      <c r="A66" s="52" t="s">
        <v>639</v>
      </c>
      <c r="B66" s="52" t="s">
        <v>640</v>
      </c>
      <c r="C66" s="52" t="s">
        <v>95</v>
      </c>
      <c r="D66" s="53">
        <v>779</v>
      </c>
      <c r="E66" s="53">
        <v>900</v>
      </c>
      <c r="F66" s="53">
        <v>2</v>
      </c>
      <c r="G66" s="53">
        <v>2</v>
      </c>
      <c r="H66" s="52">
        <f t="shared" ref="H66:H97" si="4">F66+IF(LEN(G66)=0,0,G66)</f>
        <v>4</v>
      </c>
      <c r="I66" s="52">
        <f>IF(D66&lt;&gt;"",D66,IFERROR(E66/(IFERROR(SUM(Sales!C:C),0))*(IFERROR(SUM(Purchases!C:C),0)),0))</f>
        <v>779</v>
      </c>
      <c r="J66" s="52">
        <f t="shared" ref="J66:J129" si="5">F66*I66</f>
        <v>1558</v>
      </c>
      <c r="K66" s="52">
        <f t="shared" ref="K66:K129" si="6">IF(LEN(G66)=0,0,G66)*I66</f>
        <v>1558</v>
      </c>
      <c r="L66" s="52" t="s">
        <v>641</v>
      </c>
      <c r="M66" s="52"/>
      <c r="N66" s="52" t="s">
        <v>589</v>
      </c>
      <c r="O66" s="52"/>
      <c r="P66" s="52"/>
      <c r="Q66" s="52"/>
      <c r="R66" s="52"/>
      <c r="S66" s="52"/>
      <c r="T66" s="52"/>
    </row>
    <row r="67" spans="1:20" ht="15" customHeight="1">
      <c r="A67" s="55" t="s">
        <v>642</v>
      </c>
      <c r="B67" s="55" t="s">
        <v>643</v>
      </c>
      <c r="C67" s="55" t="s">
        <v>95</v>
      </c>
      <c r="D67" s="56">
        <v>633</v>
      </c>
      <c r="E67" s="56">
        <v>1400</v>
      </c>
      <c r="F67" s="56">
        <v>0</v>
      </c>
      <c r="G67" s="56">
        <v>0</v>
      </c>
      <c r="H67" s="55">
        <f t="shared" si="4"/>
        <v>0</v>
      </c>
      <c r="I67" s="55">
        <f>IF(D67&lt;&gt;"",D67,IFERROR(E67/(IFERROR(SUM(Sales!C:C),0))*(IFERROR(SUM(Purchases!C:C),0)),0))</f>
        <v>633</v>
      </c>
      <c r="J67" s="55">
        <f t="shared" si="5"/>
        <v>0</v>
      </c>
      <c r="K67" s="55">
        <f t="shared" si="6"/>
        <v>0</v>
      </c>
      <c r="L67" s="55"/>
      <c r="M67" s="55"/>
      <c r="N67" s="55" t="s">
        <v>504</v>
      </c>
      <c r="O67" s="55"/>
      <c r="P67" s="55"/>
      <c r="Q67" s="55"/>
      <c r="R67" s="55"/>
      <c r="S67" s="55"/>
      <c r="T67" s="55"/>
    </row>
    <row r="68" spans="1:20" ht="15" customHeight="1">
      <c r="A68" s="52" t="s">
        <v>644</v>
      </c>
      <c r="B68" s="52" t="s">
        <v>645</v>
      </c>
      <c r="C68" s="52" t="s">
        <v>95</v>
      </c>
      <c r="D68" s="53">
        <v>685</v>
      </c>
      <c r="E68" s="53">
        <v>1200</v>
      </c>
      <c r="F68" s="53">
        <v>1</v>
      </c>
      <c r="G68" s="53">
        <v>1</v>
      </c>
      <c r="H68" s="52">
        <f t="shared" si="4"/>
        <v>2</v>
      </c>
      <c r="I68" s="52">
        <f>IF(D68&lt;&gt;"",D68,IFERROR(E68/(IFERROR(SUM(Sales!C:C),0))*(IFERROR(SUM(Purchases!C:C),0)),0))</f>
        <v>685</v>
      </c>
      <c r="J68" s="52">
        <f t="shared" si="5"/>
        <v>685</v>
      </c>
      <c r="K68" s="52">
        <f t="shared" si="6"/>
        <v>685</v>
      </c>
      <c r="L68" s="52" t="s">
        <v>646</v>
      </c>
      <c r="M68" s="52"/>
      <c r="N68" s="52" t="s">
        <v>589</v>
      </c>
      <c r="O68" s="52"/>
      <c r="P68" s="52" t="s">
        <v>647</v>
      </c>
      <c r="Q68" s="52"/>
      <c r="R68" s="52"/>
      <c r="S68" s="52"/>
      <c r="T68" s="52"/>
    </row>
    <row r="69" spans="1:20" ht="15" customHeight="1">
      <c r="A69" s="55" t="s">
        <v>648</v>
      </c>
      <c r="B69" s="55" t="s">
        <v>649</v>
      </c>
      <c r="C69" s="55" t="s">
        <v>96</v>
      </c>
      <c r="D69" s="56">
        <v>1700</v>
      </c>
      <c r="E69" s="56">
        <v>1700</v>
      </c>
      <c r="F69" s="56">
        <v>0</v>
      </c>
      <c r="G69" s="56">
        <v>4</v>
      </c>
      <c r="H69" s="55">
        <f t="shared" si="4"/>
        <v>4</v>
      </c>
      <c r="I69" s="55">
        <f>IF(D69&lt;&gt;"",D69,IFERROR(E69/(IFERROR(SUM(Sales!C:C),0))*(IFERROR(SUM(Purchases!C:C),0)),0))</f>
        <v>1700</v>
      </c>
      <c r="J69" s="55">
        <f t="shared" si="5"/>
        <v>0</v>
      </c>
      <c r="K69" s="55">
        <f t="shared" si="6"/>
        <v>6800</v>
      </c>
      <c r="L69" s="55"/>
      <c r="M69" s="55"/>
      <c r="N69" s="55" t="s">
        <v>356</v>
      </c>
      <c r="O69" s="55" t="s">
        <v>650</v>
      </c>
      <c r="P69" s="55"/>
      <c r="Q69" s="55"/>
      <c r="R69" s="55"/>
      <c r="S69" s="55"/>
      <c r="T69" s="55"/>
    </row>
    <row r="70" spans="1:20" ht="15" customHeight="1">
      <c r="A70" s="52" t="s">
        <v>651</v>
      </c>
      <c r="B70" s="52" t="s">
        <v>652</v>
      </c>
      <c r="C70" s="52" t="s">
        <v>95</v>
      </c>
      <c r="D70" s="53">
        <v>1148</v>
      </c>
      <c r="E70" s="53">
        <v>1399</v>
      </c>
      <c r="F70" s="53">
        <v>2</v>
      </c>
      <c r="G70" s="53">
        <v>0</v>
      </c>
      <c r="H70" s="52">
        <f t="shared" si="4"/>
        <v>2</v>
      </c>
      <c r="I70" s="52">
        <f>IF(D70&lt;&gt;"",D70,IFERROR(E70/(IFERROR(SUM(Sales!C:C),0))*(IFERROR(SUM(Purchases!C:C),0)),0))</f>
        <v>1148</v>
      </c>
      <c r="J70" s="52">
        <f t="shared" si="5"/>
        <v>2296</v>
      </c>
      <c r="K70" s="52">
        <f t="shared" si="6"/>
        <v>0</v>
      </c>
      <c r="L70" s="52" t="s">
        <v>653</v>
      </c>
      <c r="M70" s="52"/>
      <c r="N70" s="52" t="s">
        <v>504</v>
      </c>
      <c r="O70" s="52"/>
      <c r="P70" s="52"/>
      <c r="Q70" s="52"/>
      <c r="R70" s="52"/>
      <c r="S70" s="52"/>
      <c r="T70" s="52"/>
    </row>
    <row r="71" spans="1:20" ht="15" customHeight="1">
      <c r="A71" s="55" t="s">
        <v>654</v>
      </c>
      <c r="B71" s="55" t="s">
        <v>655</v>
      </c>
      <c r="C71" s="55" t="s">
        <v>95</v>
      </c>
      <c r="D71" s="56">
        <v>857</v>
      </c>
      <c r="E71" s="56">
        <v>900</v>
      </c>
      <c r="F71" s="56">
        <v>3</v>
      </c>
      <c r="G71" s="56">
        <v>0</v>
      </c>
      <c r="H71" s="55">
        <f t="shared" si="4"/>
        <v>3</v>
      </c>
      <c r="I71" s="55">
        <f>IF(D71&lt;&gt;"",D71,IFERROR(E71/(IFERROR(SUM(Sales!C:C),0))*(IFERROR(SUM(Purchases!C:C),0)),0))</f>
        <v>857</v>
      </c>
      <c r="J71" s="55">
        <f t="shared" si="5"/>
        <v>2571</v>
      </c>
      <c r="K71" s="55">
        <f t="shared" si="6"/>
        <v>0</v>
      </c>
      <c r="L71" s="55" t="s">
        <v>656</v>
      </c>
      <c r="M71" s="55" t="s">
        <v>49</v>
      </c>
      <c r="N71" s="55" t="s">
        <v>504</v>
      </c>
      <c r="O71" s="55"/>
      <c r="P71" s="55" t="s">
        <v>657</v>
      </c>
      <c r="Q71" s="55"/>
      <c r="R71" s="55"/>
      <c r="S71" s="55"/>
      <c r="T71" s="55"/>
    </row>
    <row r="72" spans="1:20" ht="15" customHeight="1">
      <c r="A72" s="52" t="s">
        <v>658</v>
      </c>
      <c r="B72" s="52" t="s">
        <v>659</v>
      </c>
      <c r="C72" s="52" t="s">
        <v>95</v>
      </c>
      <c r="D72" s="53">
        <v>1198</v>
      </c>
      <c r="E72" s="53">
        <v>1900</v>
      </c>
      <c r="F72" s="53">
        <v>1</v>
      </c>
      <c r="G72" s="53">
        <v>0</v>
      </c>
      <c r="H72" s="52">
        <f t="shared" si="4"/>
        <v>1</v>
      </c>
      <c r="I72" s="52">
        <f>IF(D72&lt;&gt;"",D72,IFERROR(E72/(IFERROR(SUM(Sales!C:C),0))*(IFERROR(SUM(Purchases!C:C),0)),0))</f>
        <v>1198</v>
      </c>
      <c r="J72" s="52">
        <f t="shared" si="5"/>
        <v>1198</v>
      </c>
      <c r="K72" s="52">
        <f t="shared" si="6"/>
        <v>0</v>
      </c>
      <c r="L72" s="52" t="s">
        <v>226</v>
      </c>
      <c r="M72" s="52"/>
      <c r="N72" s="52" t="s">
        <v>504</v>
      </c>
      <c r="O72" s="52"/>
      <c r="P72" s="52"/>
      <c r="Q72" s="52"/>
      <c r="R72" s="52"/>
      <c r="S72" s="52"/>
      <c r="T72" s="52"/>
    </row>
    <row r="73" spans="1:20" ht="15" customHeight="1">
      <c r="A73" s="55" t="s">
        <v>660</v>
      </c>
      <c r="B73" s="55" t="s">
        <v>661</v>
      </c>
      <c r="C73" s="55" t="s">
        <v>96</v>
      </c>
      <c r="D73" s="56">
        <v>525</v>
      </c>
      <c r="E73" s="56">
        <v>800</v>
      </c>
      <c r="F73" s="56">
        <v>1</v>
      </c>
      <c r="G73" s="56">
        <v>0</v>
      </c>
      <c r="H73" s="55">
        <f t="shared" si="4"/>
        <v>1</v>
      </c>
      <c r="I73" s="55">
        <f>IF(D73&lt;&gt;"",D73,IFERROR(E73/(IFERROR(SUM(Sales!C:C),0))*(IFERROR(SUM(Purchases!C:C),0)),0))</f>
        <v>525</v>
      </c>
      <c r="J73" s="55">
        <f t="shared" si="5"/>
        <v>525</v>
      </c>
      <c r="K73" s="55">
        <f t="shared" si="6"/>
        <v>0</v>
      </c>
      <c r="L73" s="55" t="s">
        <v>181</v>
      </c>
      <c r="M73" s="55"/>
      <c r="N73" s="55" t="s">
        <v>504</v>
      </c>
      <c r="O73" s="55"/>
      <c r="P73" s="55"/>
      <c r="Q73" s="55"/>
      <c r="R73" s="55"/>
      <c r="S73" s="55"/>
      <c r="T73" s="55"/>
    </row>
    <row r="74" spans="1:20" ht="15" customHeight="1">
      <c r="A74" s="52" t="s">
        <v>662</v>
      </c>
      <c r="B74" s="52" t="s">
        <v>663</v>
      </c>
      <c r="C74" s="52" t="s">
        <v>95</v>
      </c>
      <c r="D74" s="53">
        <v>450</v>
      </c>
      <c r="E74" s="53">
        <v>600</v>
      </c>
      <c r="F74" s="53">
        <v>1</v>
      </c>
      <c r="G74" s="53">
        <v>0</v>
      </c>
      <c r="H74" s="52">
        <f t="shared" si="4"/>
        <v>1</v>
      </c>
      <c r="I74" s="52">
        <f>IF(D74&lt;&gt;"",D74,IFERROR(E74/(IFERROR(SUM(Sales!C:C),0))*(IFERROR(SUM(Purchases!C:C),0)),0))</f>
        <v>450</v>
      </c>
      <c r="J74" s="52">
        <f t="shared" si="5"/>
        <v>450</v>
      </c>
      <c r="K74" s="52">
        <f t="shared" si="6"/>
        <v>0</v>
      </c>
      <c r="L74" s="52" t="s">
        <v>182</v>
      </c>
      <c r="M74" s="52" t="s">
        <v>49</v>
      </c>
      <c r="N74" s="52" t="s">
        <v>504</v>
      </c>
      <c r="O74" s="52"/>
      <c r="P74" s="52"/>
      <c r="Q74" s="52"/>
      <c r="R74" s="52"/>
      <c r="S74" s="52"/>
      <c r="T74" s="52"/>
    </row>
    <row r="75" spans="1:20" ht="15" customHeight="1">
      <c r="A75" s="55" t="s">
        <v>664</v>
      </c>
      <c r="B75" s="55" t="s">
        <v>553</v>
      </c>
      <c r="C75" s="55" t="s">
        <v>96</v>
      </c>
      <c r="D75" s="56">
        <v>1000</v>
      </c>
      <c r="E75" s="56">
        <v>1000</v>
      </c>
      <c r="F75" s="56">
        <v>1</v>
      </c>
      <c r="G75" s="56">
        <v>0</v>
      </c>
      <c r="H75" s="55">
        <f t="shared" si="4"/>
        <v>1</v>
      </c>
      <c r="I75" s="55">
        <f>IF(D75&lt;&gt;"",D75,IFERROR(E75/(IFERROR(SUM(Sales!C:C),0))*(IFERROR(SUM(Purchases!C:C),0)),0))</f>
        <v>1000</v>
      </c>
      <c r="J75" s="55">
        <f t="shared" si="5"/>
        <v>1000</v>
      </c>
      <c r="K75" s="55">
        <f t="shared" si="6"/>
        <v>0</v>
      </c>
      <c r="L75" s="55" t="s">
        <v>182</v>
      </c>
      <c r="M75" s="55" t="s">
        <v>49</v>
      </c>
      <c r="N75" s="55" t="s">
        <v>504</v>
      </c>
      <c r="O75" s="55"/>
      <c r="P75" s="55"/>
      <c r="Q75" s="55"/>
      <c r="R75" s="55"/>
      <c r="S75" s="55"/>
      <c r="T75" s="55"/>
    </row>
    <row r="76" spans="1:20" ht="15" customHeight="1">
      <c r="A76" s="52" t="s">
        <v>665</v>
      </c>
      <c r="B76" s="52" t="s">
        <v>666</v>
      </c>
      <c r="C76" s="52" t="s">
        <v>95</v>
      </c>
      <c r="D76" s="53">
        <v>1900</v>
      </c>
      <c r="E76" s="53">
        <v>1900</v>
      </c>
      <c r="F76" s="53">
        <v>1</v>
      </c>
      <c r="G76" s="53">
        <v>0</v>
      </c>
      <c r="H76" s="52">
        <f t="shared" si="4"/>
        <v>1</v>
      </c>
      <c r="I76" s="52">
        <f>IF(D76&lt;&gt;"",D76,IFERROR(E76/(IFERROR(SUM(Sales!C:C),0))*(IFERROR(SUM(Purchases!C:C),0)),0))</f>
        <v>1900</v>
      </c>
      <c r="J76" s="52">
        <f t="shared" si="5"/>
        <v>1900</v>
      </c>
      <c r="K76" s="52">
        <f t="shared" si="6"/>
        <v>0</v>
      </c>
      <c r="L76" s="52" t="s">
        <v>183</v>
      </c>
      <c r="M76" s="52" t="s">
        <v>49</v>
      </c>
      <c r="N76" s="52" t="s">
        <v>504</v>
      </c>
      <c r="O76" s="52"/>
      <c r="P76" s="52"/>
      <c r="Q76" s="52"/>
      <c r="R76" s="52"/>
      <c r="S76" s="52"/>
      <c r="T76" s="52"/>
    </row>
    <row r="77" spans="1:20" ht="15" customHeight="1">
      <c r="A77" s="55" t="s">
        <v>667</v>
      </c>
      <c r="B77" s="55" t="s">
        <v>668</v>
      </c>
      <c r="C77" s="55" t="s">
        <v>96</v>
      </c>
      <c r="D77" s="56">
        <v>995</v>
      </c>
      <c r="E77" s="56">
        <v>1500</v>
      </c>
      <c r="F77" s="56">
        <v>1</v>
      </c>
      <c r="G77" s="56">
        <v>2</v>
      </c>
      <c r="H77" s="55">
        <f t="shared" si="4"/>
        <v>3</v>
      </c>
      <c r="I77" s="55">
        <f>IF(D77&lt;&gt;"",D77,IFERROR(E77/(IFERROR(SUM(Sales!C:C),0))*(IFERROR(SUM(Purchases!C:C),0)),0))</f>
        <v>995</v>
      </c>
      <c r="J77" s="55">
        <f t="shared" si="5"/>
        <v>995</v>
      </c>
      <c r="K77" s="55">
        <f t="shared" si="6"/>
        <v>1990</v>
      </c>
      <c r="L77" s="55" t="s">
        <v>669</v>
      </c>
      <c r="M77" s="55"/>
      <c r="N77" s="55" t="s">
        <v>589</v>
      </c>
      <c r="O77" s="55" t="s">
        <v>670</v>
      </c>
      <c r="P77" s="55"/>
      <c r="Q77" s="55"/>
      <c r="R77" s="55"/>
      <c r="S77" s="55"/>
      <c r="T77" s="55"/>
    </row>
    <row r="78" spans="1:20" ht="15" customHeight="1">
      <c r="A78" s="52" t="s">
        <v>671</v>
      </c>
      <c r="B78" s="52" t="s">
        <v>672</v>
      </c>
      <c r="C78" s="52" t="s">
        <v>96</v>
      </c>
      <c r="D78" s="53">
        <v>1075</v>
      </c>
      <c r="E78" s="53">
        <v>1560</v>
      </c>
      <c r="F78" s="53">
        <v>3</v>
      </c>
      <c r="G78" s="53">
        <v>1</v>
      </c>
      <c r="H78" s="52">
        <f t="shared" si="4"/>
        <v>4</v>
      </c>
      <c r="I78" s="52">
        <f>IF(D78&lt;&gt;"",D78,IFERROR(E78/(IFERROR(SUM(Sales!C:C),0))*(IFERROR(SUM(Purchases!C:C),0)),0))</f>
        <v>1075</v>
      </c>
      <c r="J78" s="52">
        <f t="shared" si="5"/>
        <v>3225</v>
      </c>
      <c r="K78" s="52">
        <f t="shared" si="6"/>
        <v>1075</v>
      </c>
      <c r="L78" s="52" t="s">
        <v>673</v>
      </c>
      <c r="M78" s="52"/>
      <c r="N78" s="52" t="s">
        <v>589</v>
      </c>
      <c r="O78" s="52" t="s">
        <v>674</v>
      </c>
      <c r="P78" s="52"/>
      <c r="Q78" s="52"/>
      <c r="R78" s="52"/>
      <c r="S78" s="52"/>
      <c r="T78" s="52"/>
    </row>
    <row r="79" spans="1:20" ht="15" customHeight="1">
      <c r="A79" s="55" t="s">
        <v>675</v>
      </c>
      <c r="B79" s="55" t="s">
        <v>676</v>
      </c>
      <c r="C79" s="55" t="s">
        <v>96</v>
      </c>
      <c r="D79" s="56">
        <v>1045</v>
      </c>
      <c r="E79" s="56">
        <v>1495</v>
      </c>
      <c r="F79" s="56">
        <v>1</v>
      </c>
      <c r="G79" s="56">
        <v>0</v>
      </c>
      <c r="H79" s="55">
        <f t="shared" si="4"/>
        <v>1</v>
      </c>
      <c r="I79" s="55">
        <f>IF(D79&lt;&gt;"",D79,IFERROR(E79/(IFERROR(SUM(Sales!C:C),0))*(IFERROR(SUM(Purchases!C:C),0)),0))</f>
        <v>1045</v>
      </c>
      <c r="J79" s="55">
        <f t="shared" si="5"/>
        <v>1045</v>
      </c>
      <c r="K79" s="55">
        <f t="shared" si="6"/>
        <v>0</v>
      </c>
      <c r="L79" s="55" t="s">
        <v>677</v>
      </c>
      <c r="M79" s="55"/>
      <c r="N79" s="55" t="s">
        <v>678</v>
      </c>
      <c r="O79" s="55" t="s">
        <v>674</v>
      </c>
      <c r="P79" s="55"/>
      <c r="Q79" s="55"/>
      <c r="R79" s="55"/>
      <c r="S79" s="55"/>
      <c r="T79" s="55"/>
    </row>
    <row r="80" spans="1:20" ht="15" customHeight="1">
      <c r="A80" s="52" t="s">
        <v>679</v>
      </c>
      <c r="B80" s="52" t="s">
        <v>680</v>
      </c>
      <c r="C80" s="52" t="s">
        <v>96</v>
      </c>
      <c r="D80" s="53">
        <v>1230</v>
      </c>
      <c r="E80" s="53">
        <v>1700</v>
      </c>
      <c r="F80" s="53">
        <v>3</v>
      </c>
      <c r="G80" s="53">
        <v>1</v>
      </c>
      <c r="H80" s="52">
        <f t="shared" si="4"/>
        <v>4</v>
      </c>
      <c r="I80" s="52">
        <f>IF(D80&lt;&gt;"",D80,IFERROR(E80/(IFERROR(SUM(Sales!C:C),0))*(IFERROR(SUM(Purchases!C:C),0)),0))</f>
        <v>1230</v>
      </c>
      <c r="J80" s="52">
        <f t="shared" si="5"/>
        <v>3690</v>
      </c>
      <c r="K80" s="52">
        <f t="shared" si="6"/>
        <v>1230</v>
      </c>
      <c r="L80" s="52" t="s">
        <v>681</v>
      </c>
      <c r="M80" s="52"/>
      <c r="N80" s="52" t="s">
        <v>589</v>
      </c>
      <c r="O80" s="52" t="s">
        <v>682</v>
      </c>
      <c r="P80" s="52"/>
      <c r="Q80" s="52"/>
      <c r="R80" s="52"/>
      <c r="S80" s="52"/>
      <c r="T80" s="52"/>
    </row>
    <row r="81" spans="1:20" ht="30" customHeight="1">
      <c r="A81" s="55" t="s">
        <v>683</v>
      </c>
      <c r="B81" s="55" t="s">
        <v>684</v>
      </c>
      <c r="C81" s="55" t="s">
        <v>96</v>
      </c>
      <c r="D81" s="56">
        <v>595</v>
      </c>
      <c r="E81" s="56">
        <v>890</v>
      </c>
      <c r="F81" s="56">
        <v>3</v>
      </c>
      <c r="G81" s="56">
        <v>0</v>
      </c>
      <c r="H81" s="55">
        <f t="shared" si="4"/>
        <v>3</v>
      </c>
      <c r="I81" s="55">
        <f>IF(D81&lt;&gt;"",D81,IFERROR(E81/(IFERROR(SUM(Sales!C:C),0))*(IFERROR(SUM(Purchases!C:C),0)),0))</f>
        <v>595</v>
      </c>
      <c r="J81" s="55">
        <f t="shared" si="5"/>
        <v>1785</v>
      </c>
      <c r="K81" s="55">
        <f t="shared" si="6"/>
        <v>0</v>
      </c>
      <c r="L81" s="55" t="s">
        <v>685</v>
      </c>
      <c r="M81" s="55"/>
      <c r="N81" s="55" t="s">
        <v>504</v>
      </c>
      <c r="O81" s="55"/>
      <c r="P81" s="55"/>
      <c r="Q81" s="55"/>
      <c r="R81" s="55"/>
      <c r="S81" s="55"/>
      <c r="T81" s="55"/>
    </row>
    <row r="82" spans="1:20" ht="15" customHeight="1">
      <c r="A82" s="52" t="s">
        <v>686</v>
      </c>
      <c r="B82" s="52" t="s">
        <v>687</v>
      </c>
      <c r="C82" s="52" t="s">
        <v>96</v>
      </c>
      <c r="D82" s="53">
        <v>1075</v>
      </c>
      <c r="E82" s="53">
        <v>1545</v>
      </c>
      <c r="F82" s="53">
        <v>3</v>
      </c>
      <c r="G82" s="53">
        <v>0</v>
      </c>
      <c r="H82" s="52">
        <f t="shared" si="4"/>
        <v>3</v>
      </c>
      <c r="I82" s="52">
        <f>IF(D82&lt;&gt;"",D82,IFERROR(E82/(IFERROR(SUM(Sales!C:C),0))*(IFERROR(SUM(Purchases!C:C),0)),0))</f>
        <v>1075</v>
      </c>
      <c r="J82" s="52">
        <f t="shared" si="5"/>
        <v>3225</v>
      </c>
      <c r="K82" s="52">
        <f t="shared" si="6"/>
        <v>0</v>
      </c>
      <c r="L82" s="52" t="s">
        <v>688</v>
      </c>
      <c r="M82" s="52"/>
      <c r="N82" s="52" t="s">
        <v>504</v>
      </c>
      <c r="O82" s="52"/>
      <c r="P82" s="52"/>
      <c r="Q82" s="52"/>
      <c r="R82" s="52"/>
      <c r="S82" s="52"/>
      <c r="T82" s="52"/>
    </row>
    <row r="83" spans="1:20" ht="30" customHeight="1">
      <c r="A83" s="55" t="s">
        <v>689</v>
      </c>
      <c r="B83" s="55" t="s">
        <v>690</v>
      </c>
      <c r="C83" s="55" t="s">
        <v>96</v>
      </c>
      <c r="D83" s="56">
        <v>1004</v>
      </c>
      <c r="E83" s="56">
        <v>1495</v>
      </c>
      <c r="F83" s="56">
        <v>3</v>
      </c>
      <c r="G83" s="56">
        <v>0</v>
      </c>
      <c r="H83" s="55">
        <f t="shared" si="4"/>
        <v>3</v>
      </c>
      <c r="I83" s="55">
        <f>IF(D83&lt;&gt;"",D83,IFERROR(E83/(IFERROR(SUM(Sales!C:C),0))*(IFERROR(SUM(Purchases!C:C),0)),0))</f>
        <v>1004</v>
      </c>
      <c r="J83" s="55">
        <f t="shared" si="5"/>
        <v>3012</v>
      </c>
      <c r="K83" s="55">
        <f t="shared" si="6"/>
        <v>0</v>
      </c>
      <c r="L83" s="55" t="s">
        <v>691</v>
      </c>
      <c r="M83" s="55"/>
      <c r="N83" s="55" t="s">
        <v>504</v>
      </c>
      <c r="O83" s="55" t="s">
        <v>692</v>
      </c>
      <c r="P83" s="55"/>
      <c r="Q83" s="55"/>
      <c r="R83" s="55"/>
      <c r="S83" s="55"/>
      <c r="T83" s="55"/>
    </row>
    <row r="84" spans="1:20" ht="15" customHeight="1">
      <c r="A84" s="52" t="s">
        <v>693</v>
      </c>
      <c r="B84" s="52" t="s">
        <v>694</v>
      </c>
      <c r="C84" s="52" t="s">
        <v>96</v>
      </c>
      <c r="D84" s="53">
        <v>450</v>
      </c>
      <c r="E84" s="53">
        <v>650</v>
      </c>
      <c r="F84" s="53">
        <v>1</v>
      </c>
      <c r="G84" s="53">
        <v>2</v>
      </c>
      <c r="H84" s="52">
        <f t="shared" si="4"/>
        <v>3</v>
      </c>
      <c r="I84" s="52">
        <f>IF(D84&lt;&gt;"",D84,IFERROR(E84/(IFERROR(SUM(Sales!C:C),0))*(IFERROR(SUM(Purchases!C:C),0)),0))</f>
        <v>450</v>
      </c>
      <c r="J84" s="52">
        <f t="shared" si="5"/>
        <v>450</v>
      </c>
      <c r="K84" s="52">
        <f t="shared" si="6"/>
        <v>900</v>
      </c>
      <c r="L84" s="52" t="s">
        <v>695</v>
      </c>
      <c r="M84" s="52"/>
      <c r="N84" s="52" t="s">
        <v>589</v>
      </c>
      <c r="O84" s="52" t="s">
        <v>696</v>
      </c>
      <c r="P84" s="52"/>
      <c r="Q84" s="52"/>
      <c r="R84" s="52"/>
      <c r="S84" s="52"/>
      <c r="T84" s="52"/>
    </row>
    <row r="85" spans="1:20" ht="15" customHeight="1">
      <c r="A85" s="55" t="s">
        <v>697</v>
      </c>
      <c r="B85" s="55" t="s">
        <v>698</v>
      </c>
      <c r="C85" s="55" t="s">
        <v>96</v>
      </c>
      <c r="D85" s="56">
        <v>895</v>
      </c>
      <c r="E85" s="56">
        <v>1350</v>
      </c>
      <c r="F85" s="56">
        <v>3</v>
      </c>
      <c r="G85" s="56">
        <v>0</v>
      </c>
      <c r="H85" s="55">
        <f t="shared" si="4"/>
        <v>3</v>
      </c>
      <c r="I85" s="55">
        <f>IF(D85&lt;&gt;"",D85,IFERROR(E85/(IFERROR(SUM(Sales!C:C),0))*(IFERROR(SUM(Purchases!C:C),0)),0))</f>
        <v>895</v>
      </c>
      <c r="J85" s="55">
        <f t="shared" si="5"/>
        <v>2685</v>
      </c>
      <c r="K85" s="55">
        <f t="shared" si="6"/>
        <v>0</v>
      </c>
      <c r="L85" s="55" t="s">
        <v>699</v>
      </c>
      <c r="M85" s="55"/>
      <c r="N85" s="55" t="s">
        <v>504</v>
      </c>
      <c r="O85" s="55"/>
      <c r="P85" s="55"/>
      <c r="Q85" s="55"/>
      <c r="R85" s="55"/>
      <c r="S85" s="55"/>
      <c r="T85" s="55"/>
    </row>
    <row r="86" spans="1:20" ht="15" customHeight="1">
      <c r="A86" s="52" t="s">
        <v>700</v>
      </c>
      <c r="B86" s="52" t="s">
        <v>701</v>
      </c>
      <c r="C86" s="52" t="s">
        <v>96</v>
      </c>
      <c r="D86" s="53">
        <v>1045</v>
      </c>
      <c r="E86" s="53">
        <v>1495</v>
      </c>
      <c r="F86" s="53">
        <v>2</v>
      </c>
      <c r="G86" s="53">
        <v>2</v>
      </c>
      <c r="H86" s="52">
        <f t="shared" si="4"/>
        <v>4</v>
      </c>
      <c r="I86" s="52">
        <f>IF(D86&lt;&gt;"",D86,IFERROR(E86/(IFERROR(SUM(Sales!C:C),0))*(IFERROR(SUM(Purchases!C:C),0)),0))</f>
        <v>1045</v>
      </c>
      <c r="J86" s="52">
        <f t="shared" si="5"/>
        <v>2090</v>
      </c>
      <c r="K86" s="52">
        <f t="shared" si="6"/>
        <v>2090</v>
      </c>
      <c r="L86" s="52" t="s">
        <v>702</v>
      </c>
      <c r="M86" s="52"/>
      <c r="N86" s="52" t="s">
        <v>589</v>
      </c>
      <c r="O86" s="52" t="s">
        <v>703</v>
      </c>
      <c r="P86" s="52"/>
      <c r="Q86" s="52"/>
      <c r="R86" s="52"/>
      <c r="S86" s="52"/>
      <c r="T86" s="52"/>
    </row>
    <row r="87" spans="1:20" ht="15" customHeight="1">
      <c r="A87" s="55" t="s">
        <v>704</v>
      </c>
      <c r="B87" s="55" t="s">
        <v>705</v>
      </c>
      <c r="C87" s="55" t="s">
        <v>96</v>
      </c>
      <c r="D87" s="56">
        <v>1195</v>
      </c>
      <c r="E87" s="56">
        <v>1670</v>
      </c>
      <c r="F87" s="56">
        <v>1</v>
      </c>
      <c r="G87" s="56">
        <v>2</v>
      </c>
      <c r="H87" s="55">
        <f t="shared" si="4"/>
        <v>3</v>
      </c>
      <c r="I87" s="55">
        <f>IF(D87&lt;&gt;"",D87,IFERROR(E87/(IFERROR(SUM(Sales!C:C),0))*(IFERROR(SUM(Purchases!C:C),0)),0))</f>
        <v>1195</v>
      </c>
      <c r="J87" s="55">
        <f t="shared" si="5"/>
        <v>1195</v>
      </c>
      <c r="K87" s="55">
        <f t="shared" si="6"/>
        <v>2390</v>
      </c>
      <c r="L87" s="55"/>
      <c r="M87" s="55"/>
      <c r="N87" s="55" t="s">
        <v>678</v>
      </c>
      <c r="O87" s="55" t="s">
        <v>706</v>
      </c>
      <c r="P87" s="55"/>
      <c r="Q87" s="55"/>
      <c r="R87" s="55"/>
      <c r="S87" s="55"/>
      <c r="T87" s="55"/>
    </row>
    <row r="88" spans="1:20" ht="30" customHeight="1">
      <c r="A88" s="52" t="s">
        <v>707</v>
      </c>
      <c r="B88" s="52" t="s">
        <v>708</v>
      </c>
      <c r="C88" s="52" t="s">
        <v>96</v>
      </c>
      <c r="D88" s="53">
        <v>795</v>
      </c>
      <c r="E88" s="53">
        <v>1200</v>
      </c>
      <c r="F88" s="53">
        <v>4</v>
      </c>
      <c r="G88" s="53">
        <v>0</v>
      </c>
      <c r="H88" s="52">
        <f t="shared" si="4"/>
        <v>4</v>
      </c>
      <c r="I88" s="52">
        <f>IF(D88&lt;&gt;"",D88,IFERROR(E88/(IFERROR(SUM(Sales!C:C),0))*(IFERROR(SUM(Purchases!C:C),0)),0))</f>
        <v>795</v>
      </c>
      <c r="J88" s="52">
        <f t="shared" si="5"/>
        <v>3180</v>
      </c>
      <c r="K88" s="52">
        <f t="shared" si="6"/>
        <v>0</v>
      </c>
      <c r="L88" s="52" t="s">
        <v>1128</v>
      </c>
      <c r="M88" s="52"/>
      <c r="N88" s="52" t="s">
        <v>504</v>
      </c>
      <c r="O88" s="52"/>
      <c r="P88" s="52"/>
      <c r="Q88" s="52"/>
      <c r="R88" s="52"/>
      <c r="S88" s="52"/>
      <c r="T88" s="52"/>
    </row>
    <row r="89" spans="1:20" ht="15" customHeight="1">
      <c r="A89" s="55" t="s">
        <v>709</v>
      </c>
      <c r="B89" s="55" t="s">
        <v>710</v>
      </c>
      <c r="C89" s="55" t="s">
        <v>95</v>
      </c>
      <c r="D89" s="56">
        <v>1048</v>
      </c>
      <c r="E89" s="56">
        <v>1200</v>
      </c>
      <c r="F89" s="56">
        <v>2</v>
      </c>
      <c r="G89" s="56">
        <v>0</v>
      </c>
      <c r="H89" s="55">
        <f t="shared" si="4"/>
        <v>2</v>
      </c>
      <c r="I89" s="55">
        <f>IF(D89&lt;&gt;"",D89,IFERROR(E89/(IFERROR(SUM(Sales!C:C),0))*(IFERROR(SUM(Purchases!C:C),0)),0))</f>
        <v>1048</v>
      </c>
      <c r="J89" s="55">
        <f t="shared" si="5"/>
        <v>2096</v>
      </c>
      <c r="K89" s="55">
        <f t="shared" si="6"/>
        <v>0</v>
      </c>
      <c r="L89" s="55" t="s">
        <v>711</v>
      </c>
      <c r="M89" s="55"/>
      <c r="N89" s="55" t="s">
        <v>504</v>
      </c>
      <c r="O89" s="55"/>
      <c r="P89" s="55"/>
      <c r="Q89" s="55"/>
      <c r="R89" s="55"/>
      <c r="S89" s="55"/>
      <c r="T89" s="55"/>
    </row>
    <row r="90" spans="1:20" ht="15" customHeight="1">
      <c r="A90" s="52" t="s">
        <v>712</v>
      </c>
      <c r="B90" s="52" t="s">
        <v>713</v>
      </c>
      <c r="C90" s="52" t="s">
        <v>95</v>
      </c>
      <c r="D90" s="53">
        <v>1195</v>
      </c>
      <c r="E90" s="53">
        <v>1450</v>
      </c>
      <c r="F90" s="53">
        <v>1</v>
      </c>
      <c r="G90" s="53">
        <v>0</v>
      </c>
      <c r="H90" s="52">
        <f t="shared" si="4"/>
        <v>1</v>
      </c>
      <c r="I90" s="52">
        <f>IF(D90&lt;&gt;"",D90,IFERROR(E90/(IFERROR(SUM(Sales!C:C),0))*(IFERROR(SUM(Purchases!C:C),0)),0))</f>
        <v>1195</v>
      </c>
      <c r="J90" s="52">
        <f t="shared" si="5"/>
        <v>1195</v>
      </c>
      <c r="K90" s="52">
        <f t="shared" si="6"/>
        <v>0</v>
      </c>
      <c r="L90" s="52" t="s">
        <v>264</v>
      </c>
      <c r="M90" s="52"/>
      <c r="N90" s="52" t="s">
        <v>504</v>
      </c>
      <c r="O90" s="52"/>
      <c r="P90" s="52"/>
      <c r="Q90" s="52"/>
      <c r="R90" s="52"/>
      <c r="S90" s="52"/>
      <c r="T90" s="52"/>
    </row>
    <row r="91" spans="1:20" ht="15" customHeight="1">
      <c r="A91" s="55" t="s">
        <v>714</v>
      </c>
      <c r="B91" s="55" t="s">
        <v>715</v>
      </c>
      <c r="C91" s="55" t="s">
        <v>716</v>
      </c>
      <c r="D91" s="56">
        <v>389</v>
      </c>
      <c r="E91" s="56">
        <v>689</v>
      </c>
      <c r="F91" s="56">
        <v>2</v>
      </c>
      <c r="G91" s="56">
        <v>0</v>
      </c>
      <c r="H91" s="55">
        <f t="shared" si="4"/>
        <v>2</v>
      </c>
      <c r="I91" s="55">
        <f>IF(D91&lt;&gt;"",D91,IFERROR(E91/(IFERROR(SUM(Sales!C:C),0))*(IFERROR(SUM(Purchases!C:C),0)),0))</f>
        <v>389</v>
      </c>
      <c r="J91" s="55">
        <f t="shared" si="5"/>
        <v>778</v>
      </c>
      <c r="K91" s="55">
        <f t="shared" si="6"/>
        <v>0</v>
      </c>
      <c r="L91" s="55" t="s">
        <v>717</v>
      </c>
      <c r="M91" s="55"/>
      <c r="N91" s="55" t="s">
        <v>504</v>
      </c>
      <c r="O91" s="55"/>
      <c r="P91" s="55"/>
      <c r="Q91" s="55"/>
      <c r="R91" s="55"/>
      <c r="S91" s="55"/>
      <c r="T91" s="55"/>
    </row>
    <row r="92" spans="1:20" ht="15" customHeight="1">
      <c r="A92" s="52" t="s">
        <v>718</v>
      </c>
      <c r="B92" s="52" t="s">
        <v>719</v>
      </c>
      <c r="C92" s="52" t="s">
        <v>716</v>
      </c>
      <c r="D92" s="53">
        <v>489</v>
      </c>
      <c r="E92" s="53">
        <v>789</v>
      </c>
      <c r="F92" s="53">
        <v>3</v>
      </c>
      <c r="G92" s="53">
        <v>0</v>
      </c>
      <c r="H92" s="52">
        <f t="shared" si="4"/>
        <v>3</v>
      </c>
      <c r="I92" s="52">
        <f>IF(D92&lt;&gt;"",D92,IFERROR(E92/(IFERROR(SUM(Sales!C:C),0))*(IFERROR(SUM(Purchases!C:C),0)),0))</f>
        <v>489</v>
      </c>
      <c r="J92" s="52">
        <f t="shared" si="5"/>
        <v>1467</v>
      </c>
      <c r="K92" s="52">
        <f t="shared" si="6"/>
        <v>0</v>
      </c>
      <c r="L92" s="52" t="s">
        <v>720</v>
      </c>
      <c r="M92" s="52"/>
      <c r="N92" s="52" t="s">
        <v>504</v>
      </c>
      <c r="O92" s="52"/>
      <c r="P92" s="52"/>
      <c r="Q92" s="52"/>
      <c r="R92" s="52"/>
      <c r="S92" s="52"/>
      <c r="T92" s="52"/>
    </row>
    <row r="93" spans="1:20" ht="15" customHeight="1">
      <c r="A93" s="55" t="s">
        <v>721</v>
      </c>
      <c r="B93" s="55" t="s">
        <v>722</v>
      </c>
      <c r="C93" s="55" t="s">
        <v>97</v>
      </c>
      <c r="D93" s="56">
        <v>472</v>
      </c>
      <c r="E93" s="56">
        <v>650</v>
      </c>
      <c r="F93" s="56">
        <v>3</v>
      </c>
      <c r="G93" s="56">
        <v>1</v>
      </c>
      <c r="H93" s="55">
        <f t="shared" si="4"/>
        <v>4</v>
      </c>
      <c r="I93" s="55">
        <f>IF(D93&lt;&gt;"",D93,IFERROR(E93/(IFERROR(SUM(Sales!C:C),0))*(IFERROR(SUM(Purchases!C:C),0)),0))</f>
        <v>472</v>
      </c>
      <c r="J93" s="55">
        <f t="shared" si="5"/>
        <v>1416</v>
      </c>
      <c r="K93" s="55">
        <f t="shared" si="6"/>
        <v>472</v>
      </c>
      <c r="L93" s="55" t="s">
        <v>1186</v>
      </c>
      <c r="M93" s="55"/>
      <c r="N93" s="52" t="s">
        <v>589</v>
      </c>
      <c r="O93" s="55" t="s">
        <v>216</v>
      </c>
      <c r="P93" s="55"/>
      <c r="Q93" s="55"/>
      <c r="R93" s="55"/>
      <c r="S93" s="55"/>
      <c r="T93" s="55"/>
    </row>
    <row r="94" spans="1:20" ht="15" customHeight="1">
      <c r="A94" s="52" t="s">
        <v>723</v>
      </c>
      <c r="B94" s="52" t="s">
        <v>724</v>
      </c>
      <c r="C94" s="52" t="s">
        <v>95</v>
      </c>
      <c r="D94" s="53">
        <v>892</v>
      </c>
      <c r="E94" s="53">
        <v>1400</v>
      </c>
      <c r="F94" s="53">
        <v>1</v>
      </c>
      <c r="G94" s="53">
        <v>0</v>
      </c>
      <c r="H94" s="52">
        <f t="shared" si="4"/>
        <v>1</v>
      </c>
      <c r="I94" s="52">
        <f>IF(D94&lt;&gt;"",D94,IFERROR(E94/(IFERROR(SUM(Sales!C:C),0))*(IFERROR(SUM(Purchases!C:C),0)),0))</f>
        <v>892</v>
      </c>
      <c r="J94" s="52">
        <f t="shared" si="5"/>
        <v>892</v>
      </c>
      <c r="K94" s="52">
        <f t="shared" si="6"/>
        <v>0</v>
      </c>
      <c r="L94" s="52" t="s">
        <v>192</v>
      </c>
      <c r="M94" s="52"/>
      <c r="N94" s="52" t="s">
        <v>504</v>
      </c>
      <c r="O94" s="52"/>
      <c r="P94" s="52"/>
      <c r="Q94" s="52"/>
      <c r="R94" s="52"/>
      <c r="S94" s="52"/>
      <c r="T94" s="52"/>
    </row>
    <row r="95" spans="1:20" ht="15" customHeight="1">
      <c r="A95" s="55" t="s">
        <v>725</v>
      </c>
      <c r="B95" s="55" t="s">
        <v>726</v>
      </c>
      <c r="C95" s="55" t="s">
        <v>95</v>
      </c>
      <c r="D95" s="56">
        <v>340</v>
      </c>
      <c r="E95" s="56">
        <v>600</v>
      </c>
      <c r="F95" s="56">
        <v>3</v>
      </c>
      <c r="G95" s="56">
        <v>0</v>
      </c>
      <c r="H95" s="55">
        <f t="shared" si="4"/>
        <v>3</v>
      </c>
      <c r="I95" s="55">
        <f>IF(D95&lt;&gt;"",D95,IFERROR(E95/(IFERROR(SUM(Sales!C:C),0))*(IFERROR(SUM(Purchases!C:C),0)),0))</f>
        <v>340</v>
      </c>
      <c r="J95" s="55">
        <f t="shared" si="5"/>
        <v>1020</v>
      </c>
      <c r="K95" s="55">
        <f t="shared" si="6"/>
        <v>0</v>
      </c>
      <c r="L95" s="55" t="s">
        <v>727</v>
      </c>
      <c r="M95" s="55"/>
      <c r="N95" s="55" t="s">
        <v>504</v>
      </c>
      <c r="O95" s="55"/>
      <c r="P95" s="55"/>
      <c r="Q95" s="55"/>
      <c r="R95" s="55"/>
      <c r="S95" s="55"/>
      <c r="T95" s="55"/>
    </row>
    <row r="96" spans="1:20" ht="15" customHeight="1">
      <c r="A96" s="52" t="s">
        <v>728</v>
      </c>
      <c r="B96" s="52" t="s">
        <v>729</v>
      </c>
      <c r="C96" s="52" t="s">
        <v>95</v>
      </c>
      <c r="D96" s="53">
        <v>1250</v>
      </c>
      <c r="E96" s="53">
        <v>1450</v>
      </c>
      <c r="F96" s="53">
        <v>1</v>
      </c>
      <c r="G96" s="53">
        <v>0</v>
      </c>
      <c r="H96" s="52">
        <f t="shared" si="4"/>
        <v>1</v>
      </c>
      <c r="I96" s="52">
        <f>IF(D96&lt;&gt;"",D96,IFERROR(E96/(IFERROR(SUM(Sales!C:C),0))*(IFERROR(SUM(Purchases!C:C),0)),0))</f>
        <v>1250</v>
      </c>
      <c r="J96" s="52">
        <f t="shared" si="5"/>
        <v>1250</v>
      </c>
      <c r="K96" s="52">
        <f t="shared" si="6"/>
        <v>0</v>
      </c>
      <c r="L96" s="52" t="s">
        <v>1109</v>
      </c>
      <c r="M96" s="52"/>
      <c r="N96" s="52" t="s">
        <v>504</v>
      </c>
      <c r="O96" s="52"/>
      <c r="P96" s="52"/>
      <c r="Q96" s="52"/>
      <c r="R96" s="52"/>
      <c r="S96" s="52"/>
      <c r="T96" s="52"/>
    </row>
    <row r="97" spans="1:20" ht="15" customHeight="1">
      <c r="A97" s="55" t="s">
        <v>730</v>
      </c>
      <c r="B97" s="55" t="s">
        <v>731</v>
      </c>
      <c r="C97" s="55" t="s">
        <v>95</v>
      </c>
      <c r="D97" s="56">
        <v>1250</v>
      </c>
      <c r="E97" s="56">
        <v>1450</v>
      </c>
      <c r="F97" s="56">
        <v>1</v>
      </c>
      <c r="G97" s="56">
        <v>0</v>
      </c>
      <c r="H97" s="55">
        <f t="shared" si="4"/>
        <v>1</v>
      </c>
      <c r="I97" s="55">
        <f>IF(D97&lt;&gt;"",D97,IFERROR(E97/(IFERROR(SUM(Sales!C:C),0))*(IFERROR(SUM(Purchases!C:C),0)),0))</f>
        <v>1250</v>
      </c>
      <c r="J97" s="55">
        <f t="shared" si="5"/>
        <v>1250</v>
      </c>
      <c r="K97" s="55">
        <f t="shared" si="6"/>
        <v>0</v>
      </c>
      <c r="L97" s="55" t="s">
        <v>201</v>
      </c>
      <c r="M97" s="55"/>
      <c r="N97" s="55" t="s">
        <v>504</v>
      </c>
      <c r="O97" s="55"/>
      <c r="P97" s="55"/>
      <c r="Q97" s="55"/>
      <c r="R97" s="55"/>
      <c r="S97" s="55"/>
      <c r="T97" s="55"/>
    </row>
    <row r="98" spans="1:20" ht="15" customHeight="1">
      <c r="A98" s="52" t="s">
        <v>732</v>
      </c>
      <c r="B98" s="52" t="s">
        <v>733</v>
      </c>
      <c r="C98" s="52" t="s">
        <v>96</v>
      </c>
      <c r="D98" s="53">
        <v>1300</v>
      </c>
      <c r="E98" s="53">
        <v>1500</v>
      </c>
      <c r="F98" s="53">
        <v>1</v>
      </c>
      <c r="G98" s="53">
        <v>0</v>
      </c>
      <c r="H98" s="52">
        <f t="shared" ref="H98:H129" si="7">F98+IF(LEN(G98)=0,0,G98)</f>
        <v>1</v>
      </c>
      <c r="I98" s="52">
        <f>IF(D98&lt;&gt;"",D98,IFERROR(E98/(IFERROR(SUM(Sales!C:C),0))*(IFERROR(SUM(Purchases!C:C),0)),0))</f>
        <v>1300</v>
      </c>
      <c r="J98" s="52">
        <f t="shared" si="5"/>
        <v>1300</v>
      </c>
      <c r="K98" s="52">
        <f t="shared" si="6"/>
        <v>0</v>
      </c>
      <c r="L98" s="52" t="s">
        <v>178</v>
      </c>
      <c r="M98" s="52"/>
      <c r="N98" s="52" t="s">
        <v>504</v>
      </c>
      <c r="O98" s="52" t="s">
        <v>207</v>
      </c>
      <c r="P98" s="52"/>
      <c r="Q98" s="52"/>
      <c r="R98" s="52"/>
      <c r="S98" s="52"/>
      <c r="T98" s="52"/>
    </row>
    <row r="99" spans="1:20" ht="15" customHeight="1">
      <c r="A99" s="55" t="s">
        <v>734</v>
      </c>
      <c r="B99" s="55" t="s">
        <v>735</v>
      </c>
      <c r="C99" s="55" t="s">
        <v>96</v>
      </c>
      <c r="D99" s="56">
        <v>1160</v>
      </c>
      <c r="E99" s="56">
        <v>1500</v>
      </c>
      <c r="F99" s="56">
        <v>1</v>
      </c>
      <c r="G99" s="56">
        <v>0</v>
      </c>
      <c r="H99" s="55">
        <f t="shared" si="7"/>
        <v>1</v>
      </c>
      <c r="I99" s="55">
        <f>IF(D99&lt;&gt;"",D99,IFERROR(E99/(IFERROR(SUM(Sales!C:C),0))*(IFERROR(SUM(Purchases!C:C),0)),0))</f>
        <v>1160</v>
      </c>
      <c r="J99" s="55">
        <f t="shared" si="5"/>
        <v>1160</v>
      </c>
      <c r="K99" s="55">
        <f t="shared" si="6"/>
        <v>0</v>
      </c>
      <c r="L99" s="55" t="s">
        <v>178</v>
      </c>
      <c r="M99" s="55"/>
      <c r="N99" s="55" t="s">
        <v>504</v>
      </c>
      <c r="O99" s="55" t="s">
        <v>207</v>
      </c>
      <c r="P99" s="55"/>
      <c r="Q99" s="55"/>
      <c r="R99" s="55"/>
      <c r="S99" s="55"/>
      <c r="T99" s="55"/>
    </row>
    <row r="100" spans="1:20" ht="15" customHeight="1">
      <c r="A100" s="52" t="s">
        <v>736</v>
      </c>
      <c r="B100" s="52" t="s">
        <v>737</v>
      </c>
      <c r="C100" s="52" t="s">
        <v>96</v>
      </c>
      <c r="D100" s="53">
        <v>1300</v>
      </c>
      <c r="E100" s="53">
        <v>1500</v>
      </c>
      <c r="F100" s="53">
        <v>1</v>
      </c>
      <c r="G100" s="53">
        <v>0</v>
      </c>
      <c r="H100" s="52">
        <f t="shared" si="7"/>
        <v>1</v>
      </c>
      <c r="I100" s="52">
        <f>IF(D100&lt;&gt;"",D100,IFERROR(E100/(IFERROR(SUM(Sales!C:C),0))*(IFERROR(SUM(Purchases!C:C),0)),0))</f>
        <v>1300</v>
      </c>
      <c r="J100" s="52">
        <f t="shared" si="5"/>
        <v>1300</v>
      </c>
      <c r="K100" s="52">
        <f t="shared" si="6"/>
        <v>0</v>
      </c>
      <c r="L100" s="52" t="s">
        <v>178</v>
      </c>
      <c r="M100" s="52"/>
      <c r="N100" s="52" t="s">
        <v>504</v>
      </c>
      <c r="O100" s="52" t="s">
        <v>207</v>
      </c>
      <c r="P100" s="52"/>
      <c r="Q100" s="52"/>
      <c r="R100" s="52"/>
      <c r="S100" s="52"/>
      <c r="T100" s="52"/>
    </row>
    <row r="101" spans="1:20" ht="15" customHeight="1">
      <c r="A101" s="55" t="s">
        <v>738</v>
      </c>
      <c r="B101" s="55" t="s">
        <v>739</v>
      </c>
      <c r="C101" s="55" t="s">
        <v>96</v>
      </c>
      <c r="D101" s="56">
        <v>1622</v>
      </c>
      <c r="E101" s="56">
        <v>1900</v>
      </c>
      <c r="F101" s="56">
        <v>1</v>
      </c>
      <c r="G101" s="56">
        <v>0</v>
      </c>
      <c r="H101" s="55">
        <f t="shared" si="7"/>
        <v>1</v>
      </c>
      <c r="I101" s="55">
        <f>IF(D101&lt;&gt;"",D101,IFERROR(E101/(IFERROR(SUM(Sales!C:C),0))*(IFERROR(SUM(Purchases!C:C),0)),0))</f>
        <v>1622</v>
      </c>
      <c r="J101" s="55">
        <f t="shared" si="5"/>
        <v>1622</v>
      </c>
      <c r="K101" s="55">
        <f t="shared" si="6"/>
        <v>0</v>
      </c>
      <c r="L101" s="55" t="s">
        <v>194</v>
      </c>
      <c r="M101" s="55"/>
      <c r="N101" s="55" t="s">
        <v>504</v>
      </c>
      <c r="O101" s="55" t="s">
        <v>207</v>
      </c>
      <c r="P101" s="55"/>
      <c r="Q101" s="55"/>
      <c r="R101" s="55"/>
      <c r="S101" s="55"/>
      <c r="T101" s="55"/>
    </row>
    <row r="102" spans="1:20" ht="15" customHeight="1">
      <c r="A102" s="52" t="s">
        <v>740</v>
      </c>
      <c r="B102" s="52" t="s">
        <v>741</v>
      </c>
      <c r="C102" s="52" t="s">
        <v>96</v>
      </c>
      <c r="D102" s="53">
        <v>1092</v>
      </c>
      <c r="E102" s="53">
        <v>1500</v>
      </c>
      <c r="F102" s="53">
        <v>1</v>
      </c>
      <c r="G102" s="53">
        <v>0</v>
      </c>
      <c r="H102" s="52">
        <f t="shared" si="7"/>
        <v>1</v>
      </c>
      <c r="I102" s="52">
        <f>IF(D102&lt;&gt;"",D102,IFERROR(E102/(IFERROR(SUM(Sales!C:C),0))*(IFERROR(SUM(Purchases!C:C),0)),0))</f>
        <v>1092</v>
      </c>
      <c r="J102" s="52">
        <f t="shared" si="5"/>
        <v>1092</v>
      </c>
      <c r="K102" s="52">
        <f t="shared" si="6"/>
        <v>0</v>
      </c>
      <c r="L102" s="52" t="s">
        <v>194</v>
      </c>
      <c r="M102" s="52"/>
      <c r="N102" s="52" t="s">
        <v>504</v>
      </c>
      <c r="O102" s="52" t="s">
        <v>207</v>
      </c>
      <c r="P102" s="52"/>
      <c r="Q102" s="52"/>
      <c r="R102" s="52"/>
      <c r="S102" s="52"/>
      <c r="T102" s="52"/>
    </row>
    <row r="103" spans="1:20" ht="15" customHeight="1">
      <c r="A103" s="55" t="s">
        <v>742</v>
      </c>
      <c r="B103" s="55" t="s">
        <v>743</v>
      </c>
      <c r="C103" s="55" t="s">
        <v>96</v>
      </c>
      <c r="D103" s="56">
        <v>976</v>
      </c>
      <c r="E103" s="56">
        <v>1399</v>
      </c>
      <c r="F103" s="56">
        <v>1</v>
      </c>
      <c r="G103" s="56">
        <v>0</v>
      </c>
      <c r="H103" s="55">
        <f t="shared" si="7"/>
        <v>1</v>
      </c>
      <c r="I103" s="55">
        <f>IF(D103&lt;&gt;"",D103,IFERROR(E103/(IFERROR(SUM(Sales!C:C),0))*(IFERROR(SUM(Purchases!C:C),0)),0))</f>
        <v>976</v>
      </c>
      <c r="J103" s="55">
        <f t="shared" si="5"/>
        <v>976</v>
      </c>
      <c r="K103" s="55">
        <f t="shared" si="6"/>
        <v>0</v>
      </c>
      <c r="L103" s="55" t="s">
        <v>218</v>
      </c>
      <c r="M103" s="55"/>
      <c r="N103" s="55" t="s">
        <v>504</v>
      </c>
      <c r="O103" s="55" t="s">
        <v>207</v>
      </c>
      <c r="P103" s="55"/>
      <c r="Q103" s="55"/>
      <c r="R103" s="55"/>
      <c r="S103" s="55"/>
      <c r="T103" s="55"/>
    </row>
    <row r="104" spans="1:20" ht="15" customHeight="1">
      <c r="A104" s="52" t="s">
        <v>744</v>
      </c>
      <c r="B104" s="52" t="s">
        <v>745</v>
      </c>
      <c r="C104" s="52" t="s">
        <v>96</v>
      </c>
      <c r="D104" s="53">
        <v>976</v>
      </c>
      <c r="E104" s="53">
        <v>1600</v>
      </c>
      <c r="F104" s="53">
        <v>1</v>
      </c>
      <c r="G104" s="53">
        <v>0</v>
      </c>
      <c r="H104" s="52">
        <f t="shared" si="7"/>
        <v>1</v>
      </c>
      <c r="I104" s="52">
        <f>IF(D104&lt;&gt;"",D104,IFERROR(E104/(IFERROR(SUM(Sales!C:C),0))*(IFERROR(SUM(Purchases!C:C),0)),0))</f>
        <v>976</v>
      </c>
      <c r="J104" s="52">
        <f t="shared" si="5"/>
        <v>976</v>
      </c>
      <c r="K104" s="52">
        <f t="shared" si="6"/>
        <v>0</v>
      </c>
      <c r="L104" s="52" t="s">
        <v>161</v>
      </c>
      <c r="M104" s="52"/>
      <c r="N104" s="52" t="s">
        <v>504</v>
      </c>
      <c r="O104" s="52" t="s">
        <v>207</v>
      </c>
      <c r="P104" s="52"/>
      <c r="Q104" s="52"/>
      <c r="R104" s="52"/>
      <c r="S104" s="52"/>
      <c r="T104" s="52"/>
    </row>
    <row r="105" spans="1:20" ht="15" customHeight="1">
      <c r="A105" s="55" t="s">
        <v>746</v>
      </c>
      <c r="B105" s="55" t="s">
        <v>747</v>
      </c>
      <c r="C105" s="55" t="s">
        <v>96</v>
      </c>
      <c r="D105" s="56">
        <v>976</v>
      </c>
      <c r="E105" s="56">
        <v>1600</v>
      </c>
      <c r="F105" s="56">
        <v>1</v>
      </c>
      <c r="G105" s="56">
        <v>0</v>
      </c>
      <c r="H105" s="55">
        <f t="shared" si="7"/>
        <v>1</v>
      </c>
      <c r="I105" s="55">
        <f>IF(D105&lt;&gt;"",D105,IFERROR(E105/(IFERROR(SUM(Sales!C:C),0))*(IFERROR(SUM(Purchases!C:C),0)),0))</f>
        <v>976</v>
      </c>
      <c r="J105" s="55">
        <f t="shared" si="5"/>
        <v>976</v>
      </c>
      <c r="K105" s="55">
        <f t="shared" si="6"/>
        <v>0</v>
      </c>
      <c r="L105" s="55" t="s">
        <v>161</v>
      </c>
      <c r="M105" s="55"/>
      <c r="N105" s="55" t="s">
        <v>504</v>
      </c>
      <c r="O105" s="55" t="s">
        <v>207</v>
      </c>
      <c r="P105" s="55"/>
      <c r="Q105" s="55"/>
      <c r="R105" s="55"/>
      <c r="S105" s="55"/>
      <c r="T105" s="55"/>
    </row>
    <row r="106" spans="1:20" ht="15" customHeight="1">
      <c r="A106" s="52" t="s">
        <v>748</v>
      </c>
      <c r="B106" s="52" t="s">
        <v>749</v>
      </c>
      <c r="C106" s="52" t="s">
        <v>96</v>
      </c>
      <c r="D106" s="53">
        <v>976</v>
      </c>
      <c r="E106" s="53">
        <v>1600</v>
      </c>
      <c r="F106" s="53">
        <v>1</v>
      </c>
      <c r="G106" s="53">
        <v>0</v>
      </c>
      <c r="H106" s="52">
        <f t="shared" si="7"/>
        <v>1</v>
      </c>
      <c r="I106" s="52">
        <f>IF(D106&lt;&gt;"",D106,IFERROR(E106/(IFERROR(SUM(Sales!C:C),0))*(IFERROR(SUM(Purchases!C:C),0)),0))</f>
        <v>976</v>
      </c>
      <c r="J106" s="52">
        <f t="shared" si="5"/>
        <v>976</v>
      </c>
      <c r="K106" s="52">
        <f t="shared" si="6"/>
        <v>0</v>
      </c>
      <c r="L106" s="52" t="s">
        <v>418</v>
      </c>
      <c r="M106" s="52"/>
      <c r="N106" s="52" t="s">
        <v>504</v>
      </c>
      <c r="O106" s="52" t="s">
        <v>207</v>
      </c>
      <c r="P106" s="52"/>
      <c r="Q106" s="52"/>
      <c r="R106" s="52"/>
      <c r="S106" s="52"/>
      <c r="T106" s="52"/>
    </row>
    <row r="107" spans="1:20" ht="15" customHeight="1">
      <c r="A107" s="55" t="s">
        <v>750</v>
      </c>
      <c r="B107" s="55" t="s">
        <v>751</v>
      </c>
      <c r="C107" s="55" t="s">
        <v>96</v>
      </c>
      <c r="D107" s="56">
        <v>976</v>
      </c>
      <c r="E107" s="56">
        <v>1400</v>
      </c>
      <c r="F107" s="56">
        <v>1</v>
      </c>
      <c r="G107" s="56">
        <v>0</v>
      </c>
      <c r="H107" s="55">
        <f t="shared" si="7"/>
        <v>1</v>
      </c>
      <c r="I107" s="55">
        <f>IF(D107&lt;&gt;"",D107,IFERROR(E107/(IFERROR(SUM(Sales!C:C),0))*(IFERROR(SUM(Purchases!C:C),0)),0))</f>
        <v>976</v>
      </c>
      <c r="J107" s="55">
        <f t="shared" si="5"/>
        <v>976</v>
      </c>
      <c r="K107" s="55">
        <f t="shared" si="6"/>
        <v>0</v>
      </c>
      <c r="L107" s="55" t="s">
        <v>177</v>
      </c>
      <c r="M107" s="55"/>
      <c r="N107" s="55" t="s">
        <v>504</v>
      </c>
      <c r="O107" s="55" t="s">
        <v>207</v>
      </c>
      <c r="P107" s="55"/>
      <c r="Q107" s="55"/>
      <c r="R107" s="55"/>
      <c r="S107" s="55"/>
      <c r="T107" s="55"/>
    </row>
    <row r="108" spans="1:20" ht="15" customHeight="1">
      <c r="A108" s="52" t="s">
        <v>752</v>
      </c>
      <c r="B108" s="52" t="s">
        <v>753</v>
      </c>
      <c r="C108" s="52" t="s">
        <v>96</v>
      </c>
      <c r="D108" s="53">
        <v>976</v>
      </c>
      <c r="E108" s="53">
        <v>1600</v>
      </c>
      <c r="F108" s="53">
        <v>1</v>
      </c>
      <c r="G108" s="53">
        <v>0</v>
      </c>
      <c r="H108" s="52">
        <f t="shared" si="7"/>
        <v>1</v>
      </c>
      <c r="I108" s="52">
        <f>IF(D108&lt;&gt;"",D108,IFERROR(E108/(IFERROR(SUM(Sales!C:C),0))*(IFERROR(SUM(Purchases!C:C),0)),0))</f>
        <v>976</v>
      </c>
      <c r="J108" s="52">
        <f t="shared" si="5"/>
        <v>976</v>
      </c>
      <c r="K108" s="52">
        <f t="shared" si="6"/>
        <v>0</v>
      </c>
      <c r="L108" s="52" t="s">
        <v>191</v>
      </c>
      <c r="M108" s="52"/>
      <c r="N108" s="52" t="s">
        <v>504</v>
      </c>
      <c r="O108" s="52" t="s">
        <v>207</v>
      </c>
      <c r="P108" s="52"/>
      <c r="Q108" s="52"/>
      <c r="R108" s="52"/>
      <c r="S108" s="52"/>
      <c r="T108" s="52"/>
    </row>
    <row r="109" spans="1:20" ht="15" customHeight="1">
      <c r="A109" s="55" t="s">
        <v>754</v>
      </c>
      <c r="B109" s="55" t="s">
        <v>755</v>
      </c>
      <c r="C109" s="55" t="s">
        <v>96</v>
      </c>
      <c r="D109" s="56">
        <v>976</v>
      </c>
      <c r="E109" s="56">
        <v>1500</v>
      </c>
      <c r="F109" s="56">
        <v>1</v>
      </c>
      <c r="G109" s="56">
        <v>0</v>
      </c>
      <c r="H109" s="55">
        <f t="shared" si="7"/>
        <v>1</v>
      </c>
      <c r="I109" s="55">
        <f>IF(D109&lt;&gt;"",D109,IFERROR(E109/(IFERROR(SUM(Sales!C:C),0))*(IFERROR(SUM(Purchases!C:C),0)),0))</f>
        <v>976</v>
      </c>
      <c r="J109" s="55">
        <f t="shared" si="5"/>
        <v>976</v>
      </c>
      <c r="K109" s="55">
        <f t="shared" si="6"/>
        <v>0</v>
      </c>
      <c r="L109" s="55" t="s">
        <v>194</v>
      </c>
      <c r="M109" s="55"/>
      <c r="N109" s="55" t="s">
        <v>504</v>
      </c>
      <c r="O109" s="55" t="s">
        <v>207</v>
      </c>
      <c r="P109" s="55"/>
      <c r="Q109" s="55"/>
      <c r="R109" s="55"/>
      <c r="S109" s="55"/>
      <c r="T109" s="55"/>
    </row>
    <row r="110" spans="1:20" ht="15" customHeight="1">
      <c r="A110" s="52" t="s">
        <v>756</v>
      </c>
      <c r="B110" s="52" t="s">
        <v>757</v>
      </c>
      <c r="C110" s="52" t="s">
        <v>96</v>
      </c>
      <c r="D110" s="53">
        <v>976</v>
      </c>
      <c r="E110" s="53">
        <v>1600</v>
      </c>
      <c r="F110" s="53">
        <v>1</v>
      </c>
      <c r="G110" s="53">
        <v>0</v>
      </c>
      <c r="H110" s="52">
        <f t="shared" si="7"/>
        <v>1</v>
      </c>
      <c r="I110" s="52">
        <f>IF(D110&lt;&gt;"",D110,IFERROR(E110/(IFERROR(SUM(Sales!C:C),0))*(IFERROR(SUM(Purchases!C:C),0)),0))</f>
        <v>976</v>
      </c>
      <c r="J110" s="52">
        <f t="shared" si="5"/>
        <v>976</v>
      </c>
      <c r="K110" s="52">
        <f t="shared" si="6"/>
        <v>0</v>
      </c>
      <c r="L110" s="52" t="s">
        <v>193</v>
      </c>
      <c r="M110" s="52"/>
      <c r="N110" s="52" t="s">
        <v>504</v>
      </c>
      <c r="O110" s="52" t="s">
        <v>207</v>
      </c>
      <c r="P110" s="52"/>
      <c r="Q110" s="52"/>
      <c r="R110" s="52"/>
      <c r="S110" s="52"/>
      <c r="T110" s="52"/>
    </row>
    <row r="111" spans="1:20" ht="15" customHeight="1">
      <c r="A111" s="55" t="s">
        <v>758</v>
      </c>
      <c r="B111" s="55" t="s">
        <v>759</v>
      </c>
      <c r="C111" s="55" t="s">
        <v>96</v>
      </c>
      <c r="D111" s="56">
        <v>976</v>
      </c>
      <c r="E111" s="56">
        <v>1600</v>
      </c>
      <c r="F111" s="56">
        <v>1</v>
      </c>
      <c r="G111" s="56">
        <v>0</v>
      </c>
      <c r="H111" s="55">
        <f t="shared" si="7"/>
        <v>1</v>
      </c>
      <c r="I111" s="55">
        <f>IF(D111&lt;&gt;"",D111,IFERROR(E111/(IFERROR(SUM(Sales!C:C),0))*(IFERROR(SUM(Purchases!C:C),0)),0))</f>
        <v>976</v>
      </c>
      <c r="J111" s="55">
        <f t="shared" si="5"/>
        <v>976</v>
      </c>
      <c r="K111" s="55">
        <f t="shared" si="6"/>
        <v>0</v>
      </c>
      <c r="L111" s="55" t="s">
        <v>191</v>
      </c>
      <c r="M111" s="55"/>
      <c r="N111" s="55" t="s">
        <v>504</v>
      </c>
      <c r="O111" s="55" t="s">
        <v>207</v>
      </c>
      <c r="P111" s="55"/>
      <c r="Q111" s="55"/>
      <c r="R111" s="55"/>
      <c r="S111" s="55"/>
      <c r="T111" s="55"/>
    </row>
    <row r="112" spans="1:20" ht="15" customHeight="1">
      <c r="A112" s="52" t="s">
        <v>760</v>
      </c>
      <c r="B112" s="52" t="s">
        <v>761</v>
      </c>
      <c r="C112" s="52" t="s">
        <v>96</v>
      </c>
      <c r="D112" s="53">
        <v>976</v>
      </c>
      <c r="E112" s="53">
        <v>1600</v>
      </c>
      <c r="F112" s="53">
        <v>1</v>
      </c>
      <c r="G112" s="53">
        <v>0</v>
      </c>
      <c r="H112" s="52">
        <f t="shared" si="7"/>
        <v>1</v>
      </c>
      <c r="I112" s="52">
        <f>IF(D112&lt;&gt;"",D112,IFERROR(E112/(IFERROR(SUM(Sales!C:C),0))*(IFERROR(SUM(Purchases!C:C),0)),0))</f>
        <v>976</v>
      </c>
      <c r="J112" s="52">
        <f t="shared" si="5"/>
        <v>976</v>
      </c>
      <c r="K112" s="52">
        <f t="shared" si="6"/>
        <v>0</v>
      </c>
      <c r="L112" s="52" t="s">
        <v>1109</v>
      </c>
      <c r="M112" s="52"/>
      <c r="N112" s="52" t="s">
        <v>504</v>
      </c>
      <c r="O112" s="52" t="s">
        <v>207</v>
      </c>
      <c r="P112" s="52"/>
      <c r="Q112" s="52"/>
      <c r="R112" s="52"/>
      <c r="S112" s="52"/>
      <c r="T112" s="52"/>
    </row>
    <row r="113" spans="1:246" ht="15" customHeight="1">
      <c r="A113" s="55" t="s">
        <v>762</v>
      </c>
      <c r="B113" s="55" t="s">
        <v>763</v>
      </c>
      <c r="C113" s="55" t="s">
        <v>96</v>
      </c>
      <c r="D113" s="56">
        <v>976</v>
      </c>
      <c r="E113" s="56">
        <v>1300</v>
      </c>
      <c r="F113" s="56">
        <v>1</v>
      </c>
      <c r="G113" s="56">
        <v>0</v>
      </c>
      <c r="H113" s="55">
        <f t="shared" si="7"/>
        <v>1</v>
      </c>
      <c r="I113" s="55">
        <f>IF(D113&lt;&gt;"",D113,IFERROR(E113/(IFERROR(SUM(Sales!C:C),0))*(IFERROR(SUM(Purchases!C:C),0)),0))</f>
        <v>976</v>
      </c>
      <c r="J113" s="55">
        <f t="shared" si="5"/>
        <v>976</v>
      </c>
      <c r="K113" s="55">
        <f t="shared" si="6"/>
        <v>0</v>
      </c>
      <c r="L113" s="55" t="s">
        <v>218</v>
      </c>
      <c r="M113" s="55"/>
      <c r="N113" s="55" t="s">
        <v>504</v>
      </c>
      <c r="O113" s="55" t="s">
        <v>207</v>
      </c>
      <c r="P113" s="55"/>
      <c r="Q113" s="55"/>
      <c r="R113" s="55"/>
      <c r="S113" s="55"/>
      <c r="T113" s="55"/>
    </row>
    <row r="114" spans="1:246" ht="15" customHeight="1">
      <c r="A114" s="52" t="s">
        <v>764</v>
      </c>
      <c r="B114" s="52" t="s">
        <v>765</v>
      </c>
      <c r="C114" s="52" t="s">
        <v>95</v>
      </c>
      <c r="D114" s="53">
        <v>1118.26</v>
      </c>
      <c r="E114" s="53">
        <v>1500</v>
      </c>
      <c r="F114" s="53">
        <v>1</v>
      </c>
      <c r="G114" s="53">
        <v>0</v>
      </c>
      <c r="H114" s="52">
        <f t="shared" si="7"/>
        <v>1</v>
      </c>
      <c r="I114" s="52">
        <f>IF(D114&lt;&gt;"",D114,IFERROR(E114/(IFERROR(SUM(Sales!C:C),0))*(IFERROR(SUM(Purchases!C:C),0)),0))</f>
        <v>1118.26</v>
      </c>
      <c r="J114" s="52">
        <f t="shared" si="5"/>
        <v>1118.26</v>
      </c>
      <c r="K114" s="52">
        <f t="shared" si="6"/>
        <v>0</v>
      </c>
      <c r="L114" s="52" t="s">
        <v>224</v>
      </c>
      <c r="M114" s="52"/>
      <c r="N114" s="52" t="s">
        <v>504</v>
      </c>
      <c r="O114" s="52"/>
      <c r="P114" s="52"/>
      <c r="Q114" s="52"/>
      <c r="R114" s="52"/>
      <c r="S114" s="52"/>
      <c r="T114" s="52"/>
    </row>
    <row r="115" spans="1:246" ht="30" customHeight="1">
      <c r="A115" s="55" t="s">
        <v>766</v>
      </c>
      <c r="B115" s="55" t="s">
        <v>767</v>
      </c>
      <c r="C115" s="55" t="s">
        <v>95</v>
      </c>
      <c r="D115" s="56">
        <v>1254.76</v>
      </c>
      <c r="E115" s="56">
        <v>1599</v>
      </c>
      <c r="F115" s="56">
        <v>5</v>
      </c>
      <c r="G115" s="56">
        <v>0</v>
      </c>
      <c r="H115" s="55">
        <f t="shared" si="7"/>
        <v>5</v>
      </c>
      <c r="I115" s="55">
        <f>IF(D115&lt;&gt;"",D115,IFERROR(E115/(IFERROR(SUM(Sales!C:C),0))*(IFERROR(SUM(Purchases!C:C),0)),0))</f>
        <v>1254.76</v>
      </c>
      <c r="J115" s="55">
        <f t="shared" si="5"/>
        <v>6273.8</v>
      </c>
      <c r="K115" s="55">
        <f t="shared" si="6"/>
        <v>0</v>
      </c>
      <c r="L115" s="55" t="s">
        <v>768</v>
      </c>
      <c r="M115" s="55"/>
      <c r="N115" s="55" t="s">
        <v>504</v>
      </c>
      <c r="O115" s="55"/>
      <c r="P115" s="79"/>
      <c r="Q115" s="55"/>
      <c r="R115" s="55"/>
      <c r="S115" s="55"/>
      <c r="T115" s="55"/>
    </row>
    <row r="116" spans="1:246" ht="150" customHeight="1">
      <c r="A116" s="52" t="s">
        <v>769</v>
      </c>
      <c r="B116" s="52" t="s">
        <v>770</v>
      </c>
      <c r="C116" s="52" t="s">
        <v>95</v>
      </c>
      <c r="D116" s="53">
        <v>891.5</v>
      </c>
      <c r="E116" s="53">
        <v>1400</v>
      </c>
      <c r="F116" s="53">
        <v>21</v>
      </c>
      <c r="G116" s="53">
        <v>0</v>
      </c>
      <c r="H116" s="52">
        <f t="shared" si="7"/>
        <v>21</v>
      </c>
      <c r="I116" s="52">
        <f>IF(D116&lt;&gt;"",D116,IFERROR(E116/(IFERROR(SUM(Sales!C:C),0))*(IFERROR(SUM(Purchases!C:C),0)),0))</f>
        <v>891.5</v>
      </c>
      <c r="J116" s="52">
        <f t="shared" si="5"/>
        <v>18721.5</v>
      </c>
      <c r="K116" s="52">
        <f t="shared" si="6"/>
        <v>0</v>
      </c>
      <c r="L116" s="52" t="s">
        <v>771</v>
      </c>
      <c r="M116" s="52"/>
      <c r="N116" s="52" t="s">
        <v>504</v>
      </c>
      <c r="O116" s="52"/>
      <c r="P116" s="52"/>
      <c r="Q116" s="52"/>
      <c r="R116" s="52"/>
      <c r="S116" s="52"/>
      <c r="T116" s="52"/>
    </row>
    <row r="117" spans="1:246" ht="15" customHeight="1">
      <c r="A117" s="55" t="s">
        <v>772</v>
      </c>
      <c r="B117" s="55" t="s">
        <v>773</v>
      </c>
      <c r="C117" s="55" t="s">
        <v>95</v>
      </c>
      <c r="D117" s="56">
        <v>891.46</v>
      </c>
      <c r="E117" s="56">
        <v>1400</v>
      </c>
      <c r="F117" s="56">
        <v>1</v>
      </c>
      <c r="G117" s="56">
        <v>0</v>
      </c>
      <c r="H117" s="55">
        <f t="shared" si="7"/>
        <v>1</v>
      </c>
      <c r="I117" s="55">
        <f>IF(D117&lt;&gt;"",D117,IFERROR(E117/(IFERROR(SUM(Sales!C:C),0))*(IFERROR(SUM(Purchases!C:C),0)),0))</f>
        <v>891.46</v>
      </c>
      <c r="J117" s="55">
        <f t="shared" si="5"/>
        <v>891.46</v>
      </c>
      <c r="K117" s="55">
        <f t="shared" si="6"/>
        <v>0</v>
      </c>
      <c r="L117" s="55" t="s">
        <v>209</v>
      </c>
      <c r="M117" s="55"/>
      <c r="N117" s="55" t="s">
        <v>504</v>
      </c>
      <c r="O117" s="55"/>
      <c r="P117" s="55"/>
      <c r="Q117" s="55"/>
      <c r="R117" s="55"/>
      <c r="S117" s="55"/>
      <c r="T117" s="55"/>
    </row>
    <row r="118" spans="1:246" ht="15" customHeight="1">
      <c r="A118" s="52" t="s">
        <v>774</v>
      </c>
      <c r="B118" s="52" t="s">
        <v>775</v>
      </c>
      <c r="C118" s="52" t="s">
        <v>95</v>
      </c>
      <c r="D118" s="53">
        <v>1047.9000000000001</v>
      </c>
      <c r="E118" s="53">
        <v>1500</v>
      </c>
      <c r="F118" s="53">
        <v>0</v>
      </c>
      <c r="G118" s="53">
        <v>2</v>
      </c>
      <c r="H118" s="52">
        <f t="shared" si="7"/>
        <v>2</v>
      </c>
      <c r="I118" s="52">
        <f>IF(D118&lt;&gt;"",D118,IFERROR(E118/(IFERROR(SUM(Sales!C:C),0))*(IFERROR(SUM(Purchases!C:C),0)),0))</f>
        <v>1047.9000000000001</v>
      </c>
      <c r="J118" s="52">
        <f t="shared" si="5"/>
        <v>0</v>
      </c>
      <c r="K118" s="52">
        <f t="shared" si="6"/>
        <v>2095.8000000000002</v>
      </c>
      <c r="L118" s="52" t="s">
        <v>776</v>
      </c>
      <c r="M118" s="52"/>
      <c r="N118" s="52" t="s">
        <v>504</v>
      </c>
      <c r="O118" s="52"/>
      <c r="P118" s="52" t="s">
        <v>777</v>
      </c>
      <c r="Q118" s="52"/>
      <c r="R118" s="52"/>
      <c r="S118" s="52"/>
      <c r="T118" s="52"/>
    </row>
    <row r="119" spans="1:246" ht="15" customHeight="1">
      <c r="A119" s="55" t="s">
        <v>778</v>
      </c>
      <c r="B119" s="55" t="s">
        <v>779</v>
      </c>
      <c r="C119" s="55" t="s">
        <v>95</v>
      </c>
      <c r="D119" s="56">
        <v>870.46</v>
      </c>
      <c r="E119" s="56">
        <v>1200</v>
      </c>
      <c r="F119" s="56">
        <v>1</v>
      </c>
      <c r="G119" s="56">
        <v>0</v>
      </c>
      <c r="H119" s="55">
        <f t="shared" si="7"/>
        <v>1</v>
      </c>
      <c r="I119" s="55">
        <f>IF(D119&lt;&gt;"",D119,IFERROR(E119/(IFERROR(SUM(Sales!C:C),0))*(IFERROR(SUM(Purchases!C:C),0)),0))</f>
        <v>870.46</v>
      </c>
      <c r="J119" s="55">
        <f t="shared" si="5"/>
        <v>870.46</v>
      </c>
      <c r="K119" s="55">
        <f t="shared" si="6"/>
        <v>0</v>
      </c>
      <c r="L119" s="55" t="s">
        <v>51</v>
      </c>
      <c r="M119" s="55"/>
      <c r="N119" s="55" t="s">
        <v>504</v>
      </c>
      <c r="O119" s="55"/>
      <c r="P119" s="55"/>
      <c r="Q119" s="55"/>
      <c r="R119" s="55"/>
      <c r="S119" s="55"/>
      <c r="T119" s="55"/>
    </row>
    <row r="120" spans="1:246" ht="181.5" customHeight="1">
      <c r="A120" s="52" t="s">
        <v>780</v>
      </c>
      <c r="B120" s="52" t="s">
        <v>781</v>
      </c>
      <c r="C120" s="52" t="s">
        <v>95</v>
      </c>
      <c r="D120" s="53">
        <v>418.95333333333298</v>
      </c>
      <c r="E120" s="53">
        <v>699</v>
      </c>
      <c r="F120" s="53">
        <v>43</v>
      </c>
      <c r="G120" s="53">
        <v>8</v>
      </c>
      <c r="H120" s="52">
        <f t="shared" si="7"/>
        <v>51</v>
      </c>
      <c r="I120" s="52">
        <f>IF(D120&lt;&gt;"",D120,IFERROR(E120/(IFERROR(SUM(Sales!C:C),0))*(IFERROR(SUM(Purchases!C:C),0)),0))</f>
        <v>418.95333333333298</v>
      </c>
      <c r="J120" s="52">
        <f t="shared" si="5"/>
        <v>18014.993333333317</v>
      </c>
      <c r="K120" s="52">
        <f t="shared" si="6"/>
        <v>3351.6266666666638</v>
      </c>
      <c r="L120" s="52" t="s">
        <v>1180</v>
      </c>
      <c r="M120" s="52" t="s">
        <v>49</v>
      </c>
      <c r="N120" s="52" t="s">
        <v>589</v>
      </c>
      <c r="O120" s="52"/>
      <c r="P120" s="52" t="s">
        <v>1181</v>
      </c>
      <c r="Q120" s="52"/>
      <c r="R120" s="52"/>
      <c r="S120" s="52"/>
      <c r="T120" s="52"/>
    </row>
    <row r="121" spans="1:246" ht="15" customHeight="1">
      <c r="A121" s="55" t="s">
        <v>782</v>
      </c>
      <c r="B121" s="55" t="s">
        <v>783</v>
      </c>
      <c r="C121" s="55" t="s">
        <v>95</v>
      </c>
      <c r="D121" s="56">
        <v>817.95</v>
      </c>
      <c r="E121" s="56">
        <v>1249</v>
      </c>
      <c r="F121" s="56">
        <v>2</v>
      </c>
      <c r="G121" s="56">
        <v>0</v>
      </c>
      <c r="H121" s="55">
        <f t="shared" si="7"/>
        <v>2</v>
      </c>
      <c r="I121" s="55">
        <f>IF(D121&lt;&gt;"",D121,IFERROR(E121/(IFERROR(SUM(Sales!C:C),0))*(IFERROR(SUM(Purchases!C:C),0)),0))</f>
        <v>817.95</v>
      </c>
      <c r="J121" s="55">
        <f t="shared" si="5"/>
        <v>1635.9</v>
      </c>
      <c r="K121" s="55">
        <f t="shared" si="6"/>
        <v>0</v>
      </c>
      <c r="L121" s="55" t="s">
        <v>784</v>
      </c>
      <c r="M121" s="55"/>
      <c r="N121" s="55" t="s">
        <v>504</v>
      </c>
      <c r="O121" s="55"/>
      <c r="P121" s="55" t="s">
        <v>785</v>
      </c>
      <c r="Q121" s="55"/>
      <c r="R121" s="55"/>
      <c r="S121" s="55"/>
      <c r="T121" s="55"/>
    </row>
    <row r="122" spans="1:246" ht="15" customHeight="1">
      <c r="A122" s="52" t="s">
        <v>786</v>
      </c>
      <c r="B122" s="52" t="s">
        <v>787</v>
      </c>
      <c r="C122" s="52" t="s">
        <v>96</v>
      </c>
      <c r="D122" s="53">
        <v>1175</v>
      </c>
      <c r="E122" s="53">
        <v>1600</v>
      </c>
      <c r="F122" s="53">
        <v>0</v>
      </c>
      <c r="G122" s="53">
        <v>4</v>
      </c>
      <c r="H122" s="52">
        <f t="shared" si="7"/>
        <v>4</v>
      </c>
      <c r="I122" s="52">
        <f>IF(D122&lt;&gt;"",D122,IFERROR(E122/(IFERROR(SUM(Sales!C:C),0))*(IFERROR(SUM(Purchases!C:C),0)),0))</f>
        <v>1175</v>
      </c>
      <c r="J122" s="52">
        <f t="shared" si="5"/>
        <v>0</v>
      </c>
      <c r="K122" s="52">
        <f t="shared" si="6"/>
        <v>4700</v>
      </c>
      <c r="L122" s="52" t="s">
        <v>788</v>
      </c>
      <c r="M122" s="52"/>
      <c r="N122" s="52" t="s">
        <v>504</v>
      </c>
      <c r="O122" s="52"/>
      <c r="P122" s="52"/>
      <c r="Q122" s="52"/>
      <c r="R122" s="52"/>
      <c r="S122" s="52"/>
      <c r="T122" s="52"/>
    </row>
    <row r="123" spans="1:246" s="58" customFormat="1" ht="75" customHeight="1">
      <c r="A123" s="63" t="s">
        <v>789</v>
      </c>
      <c r="B123" s="63" t="s">
        <v>790</v>
      </c>
      <c r="C123" s="63" t="s">
        <v>95</v>
      </c>
      <c r="D123" s="64">
        <v>891.44</v>
      </c>
      <c r="E123" s="64">
        <v>1380</v>
      </c>
      <c r="F123" s="64">
        <v>6</v>
      </c>
      <c r="G123" s="64">
        <v>0</v>
      </c>
      <c r="H123" s="63">
        <f t="shared" si="7"/>
        <v>6</v>
      </c>
      <c r="I123" s="63">
        <f>IF(D123&lt;&gt;"",D123,IFERROR(E123/(IFERROR(SUM(Sales!C:C),0))*(IFERROR(SUM(Purchases!C:C),0)),0))</f>
        <v>891.44</v>
      </c>
      <c r="J123" s="63">
        <f t="shared" si="5"/>
        <v>5348.64</v>
      </c>
      <c r="K123" s="63">
        <f t="shared" si="6"/>
        <v>0</v>
      </c>
      <c r="L123" s="63" t="s">
        <v>791</v>
      </c>
      <c r="M123" s="63"/>
      <c r="N123" s="63" t="s">
        <v>589</v>
      </c>
      <c r="O123" s="63"/>
      <c r="P123" s="63"/>
      <c r="Q123" s="63"/>
      <c r="R123" s="63"/>
      <c r="S123" s="63"/>
      <c r="T123" s="63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  <c r="BU123" s="57"/>
      <c r="BV123" s="57"/>
      <c r="BW123" s="57"/>
      <c r="BX123" s="57"/>
      <c r="BY123" s="57"/>
      <c r="BZ123" s="57"/>
      <c r="CA123" s="57"/>
      <c r="CB123" s="57"/>
      <c r="CC123" s="57"/>
      <c r="CD123" s="57"/>
      <c r="CE123" s="57"/>
      <c r="CF123" s="57"/>
      <c r="CG123" s="57"/>
      <c r="CH123" s="57"/>
      <c r="CI123" s="57"/>
      <c r="CJ123" s="57"/>
      <c r="CK123" s="57"/>
      <c r="CL123" s="57"/>
      <c r="CM123" s="57"/>
      <c r="CN123" s="57"/>
      <c r="CO123" s="57"/>
      <c r="CP123" s="57"/>
      <c r="CQ123" s="57"/>
      <c r="CR123" s="57"/>
      <c r="CS123" s="57"/>
      <c r="CT123" s="57"/>
      <c r="CU123" s="57"/>
      <c r="CV123" s="57"/>
      <c r="CW123" s="57"/>
      <c r="CX123" s="57"/>
      <c r="CY123" s="57"/>
      <c r="CZ123" s="57"/>
      <c r="DA123" s="57"/>
      <c r="DB123" s="57"/>
      <c r="DC123" s="57"/>
      <c r="DD123" s="57"/>
      <c r="DE123" s="57"/>
      <c r="DF123" s="57"/>
      <c r="DG123" s="57"/>
      <c r="DH123" s="57"/>
      <c r="DI123" s="57"/>
      <c r="DJ123" s="57"/>
      <c r="DK123" s="57"/>
      <c r="DL123" s="57"/>
      <c r="DM123" s="57"/>
      <c r="DN123" s="57"/>
      <c r="DO123" s="57"/>
      <c r="DP123" s="57"/>
      <c r="DQ123" s="57"/>
      <c r="DR123" s="57"/>
      <c r="DS123" s="57"/>
      <c r="DT123" s="57"/>
      <c r="DU123" s="57"/>
      <c r="DV123" s="57"/>
      <c r="DW123" s="57"/>
      <c r="DX123" s="57"/>
      <c r="DY123" s="57"/>
      <c r="DZ123" s="57"/>
      <c r="EA123" s="57"/>
      <c r="EB123" s="57"/>
      <c r="EC123" s="57"/>
      <c r="ED123" s="57"/>
      <c r="EE123" s="57"/>
      <c r="EF123" s="57"/>
      <c r="EG123" s="57"/>
      <c r="EH123" s="57"/>
      <c r="EI123" s="57"/>
      <c r="EJ123" s="57"/>
      <c r="EK123" s="57"/>
      <c r="EL123" s="57"/>
      <c r="EM123" s="57"/>
      <c r="EN123" s="57"/>
      <c r="EO123" s="57"/>
      <c r="EP123" s="57"/>
      <c r="EQ123" s="57"/>
      <c r="ER123" s="57"/>
      <c r="ES123" s="57"/>
      <c r="ET123" s="57"/>
      <c r="EU123" s="57"/>
      <c r="EV123" s="57"/>
      <c r="EW123" s="57"/>
      <c r="EX123" s="57"/>
      <c r="EY123" s="57"/>
      <c r="EZ123" s="57"/>
      <c r="FA123" s="57"/>
      <c r="FB123" s="57"/>
      <c r="FC123" s="57"/>
      <c r="FD123" s="57"/>
      <c r="FE123" s="57"/>
      <c r="FF123" s="57"/>
      <c r="FG123" s="57"/>
      <c r="FH123" s="57"/>
      <c r="FI123" s="57"/>
      <c r="FJ123" s="57"/>
      <c r="FK123" s="57"/>
      <c r="FL123" s="57"/>
      <c r="FM123" s="57"/>
      <c r="FN123" s="57"/>
      <c r="FO123" s="57"/>
      <c r="FP123" s="57"/>
      <c r="FQ123" s="57"/>
      <c r="FR123" s="57"/>
      <c r="FS123" s="57"/>
      <c r="FT123" s="57"/>
      <c r="FU123" s="57"/>
      <c r="FV123" s="57"/>
      <c r="FW123" s="57"/>
      <c r="FX123" s="57"/>
      <c r="FY123" s="57"/>
      <c r="FZ123" s="57"/>
      <c r="GA123" s="57"/>
      <c r="GB123" s="57"/>
      <c r="GC123" s="57"/>
      <c r="GD123" s="57"/>
      <c r="GE123" s="57"/>
      <c r="GF123" s="57"/>
      <c r="GG123" s="57"/>
      <c r="GH123" s="57"/>
      <c r="GI123" s="57"/>
      <c r="GJ123" s="57"/>
      <c r="GK123" s="57"/>
      <c r="GL123" s="57"/>
      <c r="GM123" s="57"/>
      <c r="GN123" s="57"/>
      <c r="GO123" s="57"/>
      <c r="GP123" s="57"/>
      <c r="GQ123" s="57"/>
      <c r="GR123" s="57"/>
      <c r="GS123" s="57"/>
      <c r="GT123" s="57"/>
      <c r="GU123" s="57"/>
      <c r="GV123" s="57"/>
      <c r="GW123" s="57"/>
      <c r="GX123" s="57"/>
      <c r="GY123" s="57"/>
      <c r="GZ123" s="57"/>
      <c r="HA123" s="57"/>
      <c r="HB123" s="57"/>
      <c r="HC123" s="57"/>
      <c r="HD123" s="57"/>
      <c r="HE123" s="57"/>
      <c r="HF123" s="57"/>
      <c r="HG123" s="57"/>
      <c r="HH123" s="57"/>
      <c r="HI123" s="57"/>
      <c r="HJ123" s="57"/>
      <c r="HK123" s="57"/>
      <c r="HL123" s="57"/>
      <c r="HM123" s="57"/>
      <c r="HN123" s="57"/>
      <c r="HO123" s="57"/>
      <c r="HP123" s="57"/>
      <c r="HQ123" s="57"/>
      <c r="HR123" s="57"/>
      <c r="HS123" s="57"/>
      <c r="HT123" s="57"/>
      <c r="HU123" s="57"/>
      <c r="HV123" s="57"/>
      <c r="HW123" s="57"/>
      <c r="HX123" s="57"/>
      <c r="HY123" s="57"/>
      <c r="HZ123" s="57"/>
      <c r="IA123" s="57"/>
      <c r="IB123" s="57"/>
      <c r="IC123" s="57"/>
      <c r="ID123" s="57"/>
      <c r="IE123" s="57"/>
      <c r="IF123" s="57"/>
      <c r="IG123" s="57"/>
      <c r="IH123" s="57"/>
      <c r="II123" s="57"/>
      <c r="IJ123" s="57"/>
      <c r="IK123" s="57"/>
      <c r="IL123" s="57"/>
    </row>
    <row r="124" spans="1:246" s="68" customFormat="1" ht="30" customHeight="1">
      <c r="A124" s="65" t="s">
        <v>792</v>
      </c>
      <c r="B124" s="65" t="s">
        <v>793</v>
      </c>
      <c r="C124" s="65" t="s">
        <v>95</v>
      </c>
      <c r="D124" s="66">
        <v>807.452</v>
      </c>
      <c r="E124" s="66">
        <v>1249</v>
      </c>
      <c r="F124" s="66">
        <v>5</v>
      </c>
      <c r="G124" s="66">
        <v>0</v>
      </c>
      <c r="H124" s="65">
        <f t="shared" si="7"/>
        <v>5</v>
      </c>
      <c r="I124" s="65">
        <f>IF(D124&lt;&gt;"",D124,IFERROR(E124/(IFERROR(SUM(Sales!C:C),0))*(IFERROR(SUM(Purchases!C:C),0)),0))</f>
        <v>807.452</v>
      </c>
      <c r="J124" s="65">
        <f t="shared" si="5"/>
        <v>4037.26</v>
      </c>
      <c r="K124" s="65">
        <f t="shared" si="6"/>
        <v>0</v>
      </c>
      <c r="L124" s="65" t="s">
        <v>794</v>
      </c>
      <c r="M124" s="65"/>
      <c r="N124" s="65" t="s">
        <v>504</v>
      </c>
      <c r="O124" s="65"/>
      <c r="P124" s="65" t="s">
        <v>601</v>
      </c>
      <c r="Q124" s="65"/>
      <c r="R124" s="65"/>
      <c r="S124" s="65"/>
      <c r="T124" s="65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67"/>
      <c r="CU124" s="67"/>
      <c r="CV124" s="67"/>
      <c r="CW124" s="67"/>
      <c r="CX124" s="67"/>
      <c r="CY124" s="67"/>
      <c r="CZ124" s="67"/>
      <c r="DA124" s="67"/>
      <c r="DB124" s="67"/>
      <c r="DC124" s="67"/>
      <c r="DD124" s="67"/>
      <c r="DE124" s="67"/>
      <c r="DF124" s="67"/>
      <c r="DG124" s="67"/>
      <c r="DH124" s="67"/>
      <c r="DI124" s="67"/>
      <c r="DJ124" s="67"/>
      <c r="DK124" s="67"/>
      <c r="DL124" s="67"/>
      <c r="DM124" s="67"/>
      <c r="DN124" s="67"/>
      <c r="DO124" s="67"/>
      <c r="DP124" s="67"/>
      <c r="DQ124" s="67"/>
      <c r="DR124" s="67"/>
      <c r="DS124" s="67"/>
      <c r="DT124" s="67"/>
      <c r="DU124" s="67"/>
      <c r="DV124" s="67"/>
      <c r="DW124" s="67"/>
      <c r="DX124" s="67"/>
      <c r="DY124" s="67"/>
      <c r="DZ124" s="67"/>
      <c r="EA124" s="67"/>
      <c r="EB124" s="67"/>
      <c r="EC124" s="67"/>
      <c r="ED124" s="67"/>
      <c r="EE124" s="67"/>
      <c r="EF124" s="67"/>
      <c r="EG124" s="67"/>
      <c r="EH124" s="67"/>
      <c r="EI124" s="67"/>
      <c r="EJ124" s="67"/>
      <c r="EK124" s="67"/>
      <c r="EL124" s="67"/>
      <c r="EM124" s="67"/>
      <c r="EN124" s="67"/>
      <c r="EO124" s="67"/>
      <c r="EP124" s="67"/>
      <c r="EQ124" s="67"/>
      <c r="ER124" s="67"/>
      <c r="ES124" s="67"/>
      <c r="ET124" s="67"/>
      <c r="EU124" s="67"/>
      <c r="EV124" s="67"/>
      <c r="EW124" s="67"/>
      <c r="EX124" s="67"/>
      <c r="EY124" s="67"/>
      <c r="EZ124" s="67"/>
      <c r="FA124" s="67"/>
      <c r="FB124" s="67"/>
      <c r="FC124" s="67"/>
      <c r="FD124" s="67"/>
      <c r="FE124" s="67"/>
      <c r="FF124" s="67"/>
      <c r="FG124" s="67"/>
      <c r="FH124" s="67"/>
      <c r="FI124" s="67"/>
      <c r="FJ124" s="67"/>
      <c r="FK124" s="67"/>
      <c r="FL124" s="67"/>
      <c r="FM124" s="67"/>
      <c r="FN124" s="67"/>
      <c r="FO124" s="67"/>
      <c r="FP124" s="67"/>
      <c r="FQ124" s="67"/>
      <c r="FR124" s="67"/>
      <c r="FS124" s="67"/>
      <c r="FT124" s="67"/>
      <c r="FU124" s="67"/>
      <c r="FV124" s="67"/>
      <c r="FW124" s="67"/>
      <c r="FX124" s="67"/>
      <c r="FY124" s="67"/>
      <c r="FZ124" s="67"/>
      <c r="GA124" s="67"/>
      <c r="GB124" s="67"/>
      <c r="GC124" s="67"/>
      <c r="GD124" s="67"/>
      <c r="GE124" s="67"/>
      <c r="GF124" s="67"/>
      <c r="GG124" s="67"/>
      <c r="GH124" s="67"/>
      <c r="GI124" s="67"/>
      <c r="GJ124" s="67"/>
      <c r="GK124" s="67"/>
      <c r="GL124" s="67"/>
      <c r="GM124" s="67"/>
      <c r="GN124" s="67"/>
      <c r="GO124" s="67"/>
      <c r="GP124" s="67"/>
      <c r="GQ124" s="67"/>
      <c r="GR124" s="67"/>
      <c r="GS124" s="67"/>
      <c r="GT124" s="67"/>
      <c r="GU124" s="67"/>
      <c r="GV124" s="67"/>
      <c r="GW124" s="67"/>
      <c r="GX124" s="67"/>
      <c r="GY124" s="67"/>
      <c r="GZ124" s="67"/>
      <c r="HA124" s="67"/>
      <c r="HB124" s="67"/>
      <c r="HC124" s="67"/>
      <c r="HD124" s="67"/>
      <c r="HE124" s="67"/>
      <c r="HF124" s="67"/>
      <c r="HG124" s="67"/>
      <c r="HH124" s="67"/>
      <c r="HI124" s="67"/>
      <c r="HJ124" s="67"/>
      <c r="HK124" s="67"/>
      <c r="HL124" s="67"/>
      <c r="HM124" s="67"/>
      <c r="HN124" s="67"/>
      <c r="HO124" s="67"/>
      <c r="HP124" s="67"/>
      <c r="HQ124" s="67"/>
      <c r="HR124" s="67"/>
      <c r="HS124" s="67"/>
      <c r="HT124" s="67"/>
      <c r="HU124" s="67"/>
      <c r="HV124" s="67"/>
      <c r="HW124" s="67"/>
      <c r="HX124" s="67"/>
      <c r="HY124" s="67"/>
      <c r="HZ124" s="67"/>
      <c r="IA124" s="67"/>
      <c r="IB124" s="67"/>
      <c r="IC124" s="67"/>
      <c r="ID124" s="67"/>
      <c r="IE124" s="67"/>
      <c r="IF124" s="67"/>
      <c r="IG124" s="67"/>
      <c r="IH124" s="67"/>
      <c r="II124" s="67"/>
      <c r="IJ124" s="67"/>
      <c r="IK124" s="67"/>
      <c r="IL124" s="67"/>
    </row>
    <row r="125" spans="1:246" s="58" customFormat="1" ht="15" customHeight="1">
      <c r="A125" s="63" t="s">
        <v>795</v>
      </c>
      <c r="B125" s="63" t="s">
        <v>796</v>
      </c>
      <c r="C125" s="63" t="s">
        <v>95</v>
      </c>
      <c r="D125" s="64">
        <v>908.25</v>
      </c>
      <c r="E125" s="64">
        <v>1450</v>
      </c>
      <c r="F125" s="64">
        <v>2</v>
      </c>
      <c r="G125" s="64">
        <v>0</v>
      </c>
      <c r="H125" s="63">
        <f t="shared" si="7"/>
        <v>2</v>
      </c>
      <c r="I125" s="63">
        <f>IF(D125&lt;&gt;"",D125,IFERROR(E125/(IFERROR(SUM(Sales!C:C),0))*(IFERROR(SUM(Purchases!C:C),0)),0))</f>
        <v>908.25</v>
      </c>
      <c r="J125" s="63">
        <f t="shared" si="5"/>
        <v>1816.5</v>
      </c>
      <c r="K125" s="63">
        <f t="shared" si="6"/>
        <v>0</v>
      </c>
      <c r="L125" s="63" t="s">
        <v>797</v>
      </c>
      <c r="M125" s="63"/>
      <c r="N125" s="63" t="s">
        <v>504</v>
      </c>
      <c r="O125" s="63"/>
      <c r="P125" s="63" t="s">
        <v>798</v>
      </c>
      <c r="Q125" s="63"/>
      <c r="R125" s="63"/>
      <c r="S125" s="63"/>
      <c r="T125" s="63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  <c r="BV125" s="57"/>
      <c r="BW125" s="57"/>
      <c r="BX125" s="57"/>
      <c r="BY125" s="57"/>
      <c r="BZ125" s="57"/>
      <c r="CA125" s="57"/>
      <c r="CB125" s="57"/>
      <c r="CC125" s="57"/>
      <c r="CD125" s="57"/>
      <c r="CE125" s="57"/>
      <c r="CF125" s="57"/>
      <c r="CG125" s="57"/>
      <c r="CH125" s="57"/>
      <c r="CI125" s="57"/>
      <c r="CJ125" s="57"/>
      <c r="CK125" s="57"/>
      <c r="CL125" s="57"/>
      <c r="CM125" s="57"/>
      <c r="CN125" s="57"/>
      <c r="CO125" s="57"/>
      <c r="CP125" s="57"/>
      <c r="CQ125" s="57"/>
      <c r="CR125" s="57"/>
      <c r="CS125" s="57"/>
      <c r="CT125" s="57"/>
      <c r="CU125" s="57"/>
      <c r="CV125" s="57"/>
      <c r="CW125" s="57"/>
      <c r="CX125" s="57"/>
      <c r="CY125" s="57"/>
      <c r="CZ125" s="57"/>
      <c r="DA125" s="57"/>
      <c r="DB125" s="57"/>
      <c r="DC125" s="57"/>
      <c r="DD125" s="57"/>
      <c r="DE125" s="57"/>
      <c r="DF125" s="57"/>
      <c r="DG125" s="57"/>
      <c r="DH125" s="57"/>
      <c r="DI125" s="57"/>
      <c r="DJ125" s="57"/>
      <c r="DK125" s="57"/>
      <c r="DL125" s="57"/>
      <c r="DM125" s="57"/>
      <c r="DN125" s="57"/>
      <c r="DO125" s="57"/>
      <c r="DP125" s="57"/>
      <c r="DQ125" s="57"/>
      <c r="DR125" s="57"/>
      <c r="DS125" s="57"/>
      <c r="DT125" s="57"/>
      <c r="DU125" s="57"/>
      <c r="DV125" s="57"/>
      <c r="DW125" s="57"/>
      <c r="DX125" s="57"/>
      <c r="DY125" s="57"/>
      <c r="DZ125" s="57"/>
      <c r="EA125" s="57"/>
      <c r="EB125" s="57"/>
      <c r="EC125" s="57"/>
      <c r="ED125" s="57"/>
      <c r="EE125" s="57"/>
      <c r="EF125" s="57"/>
      <c r="EG125" s="57"/>
      <c r="EH125" s="57"/>
      <c r="EI125" s="57"/>
      <c r="EJ125" s="57"/>
      <c r="EK125" s="57"/>
      <c r="EL125" s="57"/>
      <c r="EM125" s="57"/>
      <c r="EN125" s="57"/>
      <c r="EO125" s="57"/>
      <c r="EP125" s="57"/>
      <c r="EQ125" s="57"/>
      <c r="ER125" s="57"/>
      <c r="ES125" s="57"/>
      <c r="ET125" s="57"/>
      <c r="EU125" s="57"/>
      <c r="EV125" s="57"/>
      <c r="EW125" s="57"/>
      <c r="EX125" s="57"/>
      <c r="EY125" s="57"/>
      <c r="EZ125" s="57"/>
      <c r="FA125" s="57"/>
      <c r="FB125" s="57"/>
      <c r="FC125" s="57"/>
      <c r="FD125" s="57"/>
      <c r="FE125" s="57"/>
      <c r="FF125" s="57"/>
      <c r="FG125" s="57"/>
      <c r="FH125" s="57"/>
      <c r="FI125" s="57"/>
      <c r="FJ125" s="57"/>
      <c r="FK125" s="57"/>
      <c r="FL125" s="57"/>
      <c r="FM125" s="57"/>
      <c r="FN125" s="57"/>
      <c r="FO125" s="57"/>
      <c r="FP125" s="57"/>
      <c r="FQ125" s="57"/>
      <c r="FR125" s="57"/>
      <c r="FS125" s="57"/>
      <c r="FT125" s="57"/>
      <c r="FU125" s="57"/>
      <c r="FV125" s="57"/>
      <c r="FW125" s="57"/>
      <c r="FX125" s="57"/>
      <c r="FY125" s="57"/>
      <c r="FZ125" s="57"/>
      <c r="GA125" s="57"/>
      <c r="GB125" s="57"/>
      <c r="GC125" s="57"/>
      <c r="GD125" s="57"/>
      <c r="GE125" s="57"/>
      <c r="GF125" s="57"/>
      <c r="GG125" s="57"/>
      <c r="GH125" s="57"/>
      <c r="GI125" s="57"/>
      <c r="GJ125" s="57"/>
      <c r="GK125" s="57"/>
      <c r="GL125" s="57"/>
      <c r="GM125" s="57"/>
      <c r="GN125" s="57"/>
      <c r="GO125" s="57"/>
      <c r="GP125" s="57"/>
      <c r="GQ125" s="57"/>
      <c r="GR125" s="57"/>
      <c r="GS125" s="57"/>
      <c r="GT125" s="57"/>
      <c r="GU125" s="57"/>
      <c r="GV125" s="57"/>
      <c r="GW125" s="57"/>
      <c r="GX125" s="57"/>
      <c r="GY125" s="57"/>
      <c r="GZ125" s="57"/>
      <c r="HA125" s="57"/>
      <c r="HB125" s="57"/>
      <c r="HC125" s="57"/>
      <c r="HD125" s="57"/>
      <c r="HE125" s="57"/>
      <c r="HF125" s="57"/>
      <c r="HG125" s="57"/>
      <c r="HH125" s="57"/>
      <c r="HI125" s="57"/>
      <c r="HJ125" s="57"/>
      <c r="HK125" s="57"/>
      <c r="HL125" s="57"/>
      <c r="HM125" s="57"/>
      <c r="HN125" s="57"/>
      <c r="HO125" s="57"/>
      <c r="HP125" s="57"/>
      <c r="HQ125" s="57"/>
      <c r="HR125" s="57"/>
      <c r="HS125" s="57"/>
      <c r="HT125" s="57"/>
      <c r="HU125" s="57"/>
      <c r="HV125" s="57"/>
      <c r="HW125" s="57"/>
      <c r="HX125" s="57"/>
      <c r="HY125" s="57"/>
      <c r="HZ125" s="57"/>
      <c r="IA125" s="57"/>
      <c r="IB125" s="57"/>
      <c r="IC125" s="57"/>
      <c r="ID125" s="57"/>
      <c r="IE125" s="57"/>
      <c r="IF125" s="57"/>
      <c r="IG125" s="57"/>
      <c r="IH125" s="57"/>
      <c r="II125" s="57"/>
      <c r="IJ125" s="57"/>
      <c r="IK125" s="57"/>
      <c r="IL125" s="57"/>
    </row>
    <row r="126" spans="1:246" ht="15" customHeight="1">
      <c r="A126" s="65" t="s">
        <v>799</v>
      </c>
      <c r="B126" s="52" t="s">
        <v>800</v>
      </c>
      <c r="C126" s="52" t="s">
        <v>96</v>
      </c>
      <c r="D126" s="53">
        <v>1760</v>
      </c>
      <c r="E126" s="53">
        <v>1800</v>
      </c>
      <c r="F126" s="66">
        <v>1</v>
      </c>
      <c r="G126" s="66">
        <v>0</v>
      </c>
      <c r="H126" s="65">
        <f t="shared" si="7"/>
        <v>1</v>
      </c>
      <c r="I126" s="65">
        <f>IF(D126&lt;&gt;"",D126,IFERROR(E126/(IFERROR(SUM(Sales!C:C),0))*(IFERROR(SUM(Purchases!C:C),0)),0))</f>
        <v>1760</v>
      </c>
      <c r="J126" s="65">
        <f t="shared" si="5"/>
        <v>1760</v>
      </c>
      <c r="K126" s="65">
        <f t="shared" si="6"/>
        <v>0</v>
      </c>
      <c r="L126" s="52" t="s">
        <v>801</v>
      </c>
      <c r="M126" s="52"/>
      <c r="N126" s="52" t="s">
        <v>504</v>
      </c>
      <c r="O126" s="52" t="s">
        <v>802</v>
      </c>
      <c r="P126" s="52"/>
      <c r="Q126" s="52"/>
      <c r="R126" s="52"/>
      <c r="S126" s="52"/>
      <c r="T126" s="52"/>
    </row>
    <row r="127" spans="1:246" ht="15" customHeight="1">
      <c r="A127" s="63" t="s">
        <v>803</v>
      </c>
      <c r="B127" s="55" t="s">
        <v>804</v>
      </c>
      <c r="C127" s="55" t="s">
        <v>96</v>
      </c>
      <c r="D127" s="56">
        <v>1330</v>
      </c>
      <c r="E127" s="56">
        <v>1650</v>
      </c>
      <c r="F127" s="64">
        <v>1</v>
      </c>
      <c r="G127" s="64">
        <v>0</v>
      </c>
      <c r="H127" s="63">
        <f t="shared" si="7"/>
        <v>1</v>
      </c>
      <c r="I127" s="63">
        <f>IF(D127&lt;&gt;"",D127,IFERROR(E127/(IFERROR(SUM(Sales!C:C),0))*(IFERROR(SUM(Purchases!C:C),0)),0))</f>
        <v>1330</v>
      </c>
      <c r="J127" s="63">
        <f t="shared" si="5"/>
        <v>1330</v>
      </c>
      <c r="K127" s="63">
        <f t="shared" si="6"/>
        <v>0</v>
      </c>
      <c r="L127" s="55" t="s">
        <v>262</v>
      </c>
      <c r="M127" s="55"/>
      <c r="N127" s="55" t="s">
        <v>504</v>
      </c>
      <c r="O127" s="55" t="s">
        <v>207</v>
      </c>
      <c r="P127" s="55"/>
      <c r="Q127" s="55"/>
      <c r="R127" s="55"/>
      <c r="S127" s="55"/>
      <c r="T127" s="55"/>
    </row>
    <row r="128" spans="1:246" ht="15" customHeight="1">
      <c r="A128" s="65" t="s">
        <v>805</v>
      </c>
      <c r="B128" s="52" t="s">
        <v>806</v>
      </c>
      <c r="C128" s="52" t="s">
        <v>95</v>
      </c>
      <c r="D128" s="53">
        <v>1155</v>
      </c>
      <c r="E128" s="53">
        <v>1650</v>
      </c>
      <c r="F128" s="66">
        <v>1</v>
      </c>
      <c r="G128" s="66">
        <v>0</v>
      </c>
      <c r="H128" s="65">
        <f t="shared" si="7"/>
        <v>1</v>
      </c>
      <c r="I128" s="65">
        <f>IF(D128&lt;&gt;"",D128,IFERROR(E128/(IFERROR(SUM(Sales!C:C),0))*(IFERROR(SUM(Purchases!C:C),0)),0))</f>
        <v>1155</v>
      </c>
      <c r="J128" s="65">
        <f t="shared" si="5"/>
        <v>1155</v>
      </c>
      <c r="K128" s="65">
        <f t="shared" si="6"/>
        <v>0</v>
      </c>
      <c r="L128" s="52" t="s">
        <v>1077</v>
      </c>
      <c r="M128" s="52"/>
      <c r="N128" s="52" t="s">
        <v>504</v>
      </c>
      <c r="O128" s="52"/>
      <c r="P128" s="52"/>
      <c r="Q128" s="52"/>
      <c r="R128" s="52"/>
      <c r="S128" s="52"/>
      <c r="T128" s="52"/>
    </row>
    <row r="129" spans="1:20" ht="15" customHeight="1">
      <c r="A129" s="63" t="s">
        <v>807</v>
      </c>
      <c r="B129" s="55" t="s">
        <v>808</v>
      </c>
      <c r="C129" s="55" t="s">
        <v>95</v>
      </c>
      <c r="D129" s="56">
        <v>1155</v>
      </c>
      <c r="E129" s="56">
        <v>1650</v>
      </c>
      <c r="F129" s="64">
        <v>1</v>
      </c>
      <c r="G129" s="64">
        <v>0</v>
      </c>
      <c r="H129" s="63">
        <f t="shared" si="7"/>
        <v>1</v>
      </c>
      <c r="I129" s="63">
        <f>IF(D129&lt;&gt;"",D129,IFERROR(E129/(IFERROR(SUM(Sales!C:C),0))*(IFERROR(SUM(Purchases!C:C),0)),0))</f>
        <v>1155</v>
      </c>
      <c r="J129" s="63">
        <f t="shared" si="5"/>
        <v>1155</v>
      </c>
      <c r="K129" s="63">
        <f t="shared" si="6"/>
        <v>0</v>
      </c>
      <c r="L129" s="55" t="s">
        <v>809</v>
      </c>
      <c r="M129" s="55"/>
      <c r="N129" s="55" t="s">
        <v>504</v>
      </c>
      <c r="O129" s="55"/>
      <c r="P129" s="55"/>
      <c r="Q129" s="55"/>
      <c r="R129" s="55"/>
      <c r="S129" s="55"/>
      <c r="T129" s="55"/>
    </row>
    <row r="130" spans="1:20" ht="15" customHeight="1">
      <c r="A130" s="65" t="s">
        <v>810</v>
      </c>
      <c r="B130" s="52" t="s">
        <v>811</v>
      </c>
      <c r="C130" s="52" t="s">
        <v>95</v>
      </c>
      <c r="D130" s="53">
        <v>755</v>
      </c>
      <c r="E130" s="53">
        <v>1550</v>
      </c>
      <c r="F130" s="66">
        <v>1</v>
      </c>
      <c r="G130" s="66">
        <v>0</v>
      </c>
      <c r="H130" s="65">
        <f t="shared" ref="H130:H161" si="8">F130+IF(LEN(G130)=0,0,G130)</f>
        <v>1</v>
      </c>
      <c r="I130" s="65">
        <f>IF(D130&lt;&gt;"",D130,IFERROR(E130/(IFERROR(SUM(Sales!C:C),0))*(IFERROR(SUM(Purchases!C:C),0)),0))</f>
        <v>755</v>
      </c>
      <c r="J130" s="65">
        <f t="shared" ref="J130:J193" si="9">F130*I130</f>
        <v>755</v>
      </c>
      <c r="K130" s="65">
        <f t="shared" ref="K130:K193" si="10">IF(LEN(G130)=0,0,G130)*I130</f>
        <v>0</v>
      </c>
      <c r="L130" s="52" t="s">
        <v>812</v>
      </c>
      <c r="M130" s="52"/>
      <c r="N130" s="52" t="s">
        <v>504</v>
      </c>
      <c r="O130" s="52"/>
      <c r="P130" s="52"/>
      <c r="Q130" s="52"/>
      <c r="R130" s="52"/>
      <c r="S130" s="52"/>
      <c r="T130" s="52"/>
    </row>
    <row r="131" spans="1:20" ht="15" customHeight="1">
      <c r="A131" s="63" t="s">
        <v>813</v>
      </c>
      <c r="B131" s="55" t="s">
        <v>814</v>
      </c>
      <c r="C131" s="55" t="s">
        <v>95</v>
      </c>
      <c r="D131" s="56">
        <v>975</v>
      </c>
      <c r="E131" s="56">
        <v>1499</v>
      </c>
      <c r="F131" s="64">
        <v>0</v>
      </c>
      <c r="G131" s="64">
        <v>1</v>
      </c>
      <c r="H131" s="63">
        <f t="shared" si="8"/>
        <v>1</v>
      </c>
      <c r="I131" s="63">
        <f>IF(D131&lt;&gt;"",D131,IFERROR(E131/(IFERROR(SUM(Sales!C:C),0))*(IFERROR(SUM(Purchases!C:C),0)),0))</f>
        <v>975</v>
      </c>
      <c r="J131" s="63">
        <f t="shared" si="9"/>
        <v>0</v>
      </c>
      <c r="K131" s="63">
        <f t="shared" si="10"/>
        <v>975</v>
      </c>
      <c r="L131" s="55"/>
      <c r="M131" s="55"/>
      <c r="N131" s="55" t="s">
        <v>678</v>
      </c>
      <c r="O131" s="55"/>
      <c r="P131" s="55"/>
      <c r="Q131" s="55"/>
      <c r="R131" s="55"/>
      <c r="S131" s="55"/>
      <c r="T131" s="55"/>
    </row>
    <row r="132" spans="1:20" ht="15" customHeight="1">
      <c r="A132" s="65" t="s">
        <v>815</v>
      </c>
      <c r="B132" s="52" t="s">
        <v>816</v>
      </c>
      <c r="C132" s="52" t="s">
        <v>95</v>
      </c>
      <c r="D132" s="53">
        <v>450</v>
      </c>
      <c r="E132" s="53">
        <v>1250</v>
      </c>
      <c r="F132" s="66">
        <v>1</v>
      </c>
      <c r="G132" s="66">
        <v>0</v>
      </c>
      <c r="H132" s="65">
        <f t="shared" si="8"/>
        <v>1</v>
      </c>
      <c r="I132" s="65">
        <f>IF(D132&lt;&gt;"",D132,IFERROR(E132/(IFERROR(SUM(Sales!C:C),0))*(IFERROR(SUM(Purchases!C:C),0)),0))</f>
        <v>450</v>
      </c>
      <c r="J132" s="65">
        <f t="shared" si="9"/>
        <v>450</v>
      </c>
      <c r="K132" s="65">
        <f t="shared" si="10"/>
        <v>0</v>
      </c>
      <c r="L132" s="52" t="s">
        <v>817</v>
      </c>
      <c r="M132" s="52"/>
      <c r="N132" s="52" t="s">
        <v>504</v>
      </c>
      <c r="O132" s="52"/>
      <c r="P132" s="52"/>
      <c r="Q132" s="52"/>
      <c r="R132" s="52"/>
      <c r="S132" s="52"/>
      <c r="T132" s="52"/>
    </row>
    <row r="133" spans="1:20" ht="15" customHeight="1">
      <c r="A133" s="63" t="s">
        <v>818</v>
      </c>
      <c r="B133" s="55" t="s">
        <v>819</v>
      </c>
      <c r="C133" s="55" t="s">
        <v>95</v>
      </c>
      <c r="D133" s="56">
        <v>500</v>
      </c>
      <c r="E133" s="56">
        <v>1000</v>
      </c>
      <c r="F133" s="64">
        <v>0</v>
      </c>
      <c r="G133" s="64">
        <v>1</v>
      </c>
      <c r="H133" s="63">
        <f t="shared" si="8"/>
        <v>1</v>
      </c>
      <c r="I133" s="63">
        <f>IF(D133&lt;&gt;"",D133,IFERROR(E133/(IFERROR(SUM(Sales!C:C),0))*(IFERROR(SUM(Purchases!C:C),0)),0))</f>
        <v>500</v>
      </c>
      <c r="J133" s="63">
        <f t="shared" si="9"/>
        <v>0</v>
      </c>
      <c r="K133" s="63">
        <f t="shared" si="10"/>
        <v>500</v>
      </c>
      <c r="L133" s="55"/>
      <c r="M133" s="55"/>
      <c r="N133" s="55" t="s">
        <v>678</v>
      </c>
      <c r="O133" s="55"/>
      <c r="P133" s="55"/>
      <c r="Q133" s="55"/>
      <c r="R133" s="55"/>
      <c r="S133" s="55"/>
      <c r="T133" s="55"/>
    </row>
    <row r="134" spans="1:20" ht="15" customHeight="1">
      <c r="A134" s="65" t="s">
        <v>820</v>
      </c>
      <c r="B134" s="52" t="s">
        <v>821</v>
      </c>
      <c r="C134" s="52" t="s">
        <v>95</v>
      </c>
      <c r="D134" s="53">
        <v>500</v>
      </c>
      <c r="E134" s="53">
        <v>950</v>
      </c>
      <c r="F134" s="66">
        <v>0</v>
      </c>
      <c r="G134" s="66">
        <v>1</v>
      </c>
      <c r="H134" s="65">
        <f t="shared" si="8"/>
        <v>1</v>
      </c>
      <c r="I134" s="65">
        <f>IF(D134&lt;&gt;"",D134,IFERROR(E134/(IFERROR(SUM(Sales!C:C),0))*(IFERROR(SUM(Purchases!C:C),0)),0))</f>
        <v>500</v>
      </c>
      <c r="J134" s="65">
        <f t="shared" si="9"/>
        <v>0</v>
      </c>
      <c r="K134" s="65">
        <f t="shared" si="10"/>
        <v>500</v>
      </c>
      <c r="L134" s="52"/>
      <c r="M134" s="52"/>
      <c r="N134" s="52" t="s">
        <v>678</v>
      </c>
      <c r="O134" s="52"/>
      <c r="P134" s="52"/>
      <c r="Q134" s="52"/>
      <c r="R134" s="52"/>
      <c r="S134" s="52"/>
      <c r="T134" s="52"/>
    </row>
    <row r="135" spans="1:20" ht="15" customHeight="1">
      <c r="A135" s="63" t="s">
        <v>822</v>
      </c>
      <c r="B135" s="55" t="s">
        <v>823</v>
      </c>
      <c r="C135" s="55" t="s">
        <v>95</v>
      </c>
      <c r="D135" s="56">
        <v>450</v>
      </c>
      <c r="E135" s="56">
        <v>850</v>
      </c>
      <c r="F135" s="64">
        <v>1</v>
      </c>
      <c r="G135" s="64">
        <v>0</v>
      </c>
      <c r="H135" s="63">
        <f t="shared" si="8"/>
        <v>1</v>
      </c>
      <c r="I135" s="63">
        <f>IF(D135&lt;&gt;"",D135,IFERROR(E135/(IFERROR(SUM(Sales!C:C),0))*(IFERROR(SUM(Purchases!C:C),0)),0))</f>
        <v>450</v>
      </c>
      <c r="J135" s="63">
        <f t="shared" si="9"/>
        <v>450</v>
      </c>
      <c r="K135" s="63">
        <f t="shared" si="10"/>
        <v>0</v>
      </c>
      <c r="L135" s="55" t="s">
        <v>824</v>
      </c>
      <c r="M135" s="55"/>
      <c r="N135" s="55" t="s">
        <v>504</v>
      </c>
      <c r="O135" s="55"/>
      <c r="P135" s="55"/>
      <c r="Q135" s="55"/>
      <c r="R135" s="55"/>
      <c r="S135" s="55"/>
      <c r="T135" s="55"/>
    </row>
    <row r="136" spans="1:20" ht="15" customHeight="1">
      <c r="A136" s="65" t="s">
        <v>825</v>
      </c>
      <c r="B136" s="52" t="s">
        <v>826</v>
      </c>
      <c r="C136" s="52" t="s">
        <v>95</v>
      </c>
      <c r="D136" s="53">
        <v>908</v>
      </c>
      <c r="E136" s="53">
        <v>1250</v>
      </c>
      <c r="F136" s="66">
        <v>3</v>
      </c>
      <c r="G136" s="66">
        <v>0</v>
      </c>
      <c r="H136" s="65">
        <f t="shared" si="8"/>
        <v>3</v>
      </c>
      <c r="I136" s="65">
        <f>IF(D136&lt;&gt;"",D136,IFERROR(E136/(IFERROR(SUM(Sales!C:C),0))*(IFERROR(SUM(Purchases!C:C),0)),0))</f>
        <v>908</v>
      </c>
      <c r="J136" s="65">
        <f t="shared" si="9"/>
        <v>2724</v>
      </c>
      <c r="K136" s="65">
        <f t="shared" si="10"/>
        <v>0</v>
      </c>
      <c r="L136" s="52" t="s">
        <v>827</v>
      </c>
      <c r="M136" s="52"/>
      <c r="N136" s="52" t="s">
        <v>504</v>
      </c>
      <c r="O136" s="52"/>
      <c r="P136" s="52" t="s">
        <v>828</v>
      </c>
      <c r="Q136" s="52"/>
      <c r="R136" s="52"/>
      <c r="S136" s="52"/>
      <c r="T136" s="52"/>
    </row>
    <row r="137" spans="1:20" ht="15" customHeight="1">
      <c r="A137" s="63" t="s">
        <v>829</v>
      </c>
      <c r="B137" s="55" t="s">
        <v>830</v>
      </c>
      <c r="C137" s="55" t="s">
        <v>95</v>
      </c>
      <c r="D137" s="56">
        <v>891</v>
      </c>
      <c r="E137" s="56">
        <v>1380</v>
      </c>
      <c r="F137" s="64">
        <v>1</v>
      </c>
      <c r="G137" s="64">
        <v>0</v>
      </c>
      <c r="H137" s="63">
        <f t="shared" si="8"/>
        <v>1</v>
      </c>
      <c r="I137" s="63">
        <f>IF(D137&lt;&gt;"",D137,IFERROR(E137/(IFERROR(SUM(Sales!C:C),0))*(IFERROR(SUM(Purchases!C:C),0)),0))</f>
        <v>891</v>
      </c>
      <c r="J137" s="63">
        <f t="shared" si="9"/>
        <v>891</v>
      </c>
      <c r="K137" s="63">
        <f t="shared" si="10"/>
        <v>0</v>
      </c>
      <c r="L137" s="55" t="s">
        <v>170</v>
      </c>
      <c r="M137" s="55"/>
      <c r="N137" s="55" t="s">
        <v>504</v>
      </c>
      <c r="O137" s="55"/>
      <c r="P137" s="55"/>
      <c r="Q137" s="55"/>
      <c r="R137" s="55"/>
      <c r="S137" s="55"/>
      <c r="T137" s="55"/>
    </row>
    <row r="138" spans="1:20" ht="15" customHeight="1">
      <c r="A138" s="65" t="s">
        <v>831</v>
      </c>
      <c r="B138" s="52" t="s">
        <v>832</v>
      </c>
      <c r="C138" s="52" t="s">
        <v>95</v>
      </c>
      <c r="D138" s="53">
        <v>814</v>
      </c>
      <c r="E138" s="53">
        <v>1100</v>
      </c>
      <c r="F138" s="66">
        <v>1</v>
      </c>
      <c r="G138" s="66">
        <v>0</v>
      </c>
      <c r="H138" s="65">
        <f t="shared" si="8"/>
        <v>1</v>
      </c>
      <c r="I138" s="65">
        <f>IF(D138&lt;&gt;"",D138,IFERROR(E138/(IFERROR(SUM(Sales!C:C),0))*(IFERROR(SUM(Purchases!C:C),0)),0))</f>
        <v>814</v>
      </c>
      <c r="J138" s="65">
        <f t="shared" si="9"/>
        <v>814</v>
      </c>
      <c r="K138" s="65">
        <f t="shared" si="10"/>
        <v>0</v>
      </c>
      <c r="L138" s="52" t="s">
        <v>833</v>
      </c>
      <c r="M138" s="52"/>
      <c r="N138" s="52" t="s">
        <v>504</v>
      </c>
      <c r="O138" s="52"/>
      <c r="P138" s="52"/>
      <c r="Q138" s="52"/>
      <c r="R138" s="52"/>
      <c r="S138" s="52"/>
      <c r="T138" s="52"/>
    </row>
    <row r="139" spans="1:20" ht="15" customHeight="1">
      <c r="A139" s="63" t="s">
        <v>834</v>
      </c>
      <c r="B139" s="55" t="s">
        <v>835</v>
      </c>
      <c r="C139" s="55" t="s">
        <v>95</v>
      </c>
      <c r="D139" s="56">
        <v>754</v>
      </c>
      <c r="E139" s="56">
        <v>1050</v>
      </c>
      <c r="F139" s="64">
        <v>1</v>
      </c>
      <c r="G139" s="64">
        <v>0</v>
      </c>
      <c r="H139" s="63">
        <f t="shared" si="8"/>
        <v>1</v>
      </c>
      <c r="I139" s="63">
        <f>IF(D139&lt;&gt;"",D139,IFERROR(E139/(IFERROR(SUM(Sales!C:C),0))*(IFERROR(SUM(Purchases!C:C),0)),0))</f>
        <v>754</v>
      </c>
      <c r="J139" s="63">
        <f t="shared" si="9"/>
        <v>754</v>
      </c>
      <c r="K139" s="63">
        <f t="shared" si="10"/>
        <v>0</v>
      </c>
      <c r="L139" s="55" t="s">
        <v>293</v>
      </c>
      <c r="M139" s="55"/>
      <c r="N139" s="55" t="s">
        <v>504</v>
      </c>
      <c r="O139" s="55"/>
      <c r="P139" s="55"/>
      <c r="Q139" s="55"/>
      <c r="R139" s="55"/>
      <c r="S139" s="55"/>
      <c r="T139" s="55"/>
    </row>
    <row r="140" spans="1:20" ht="15" customHeight="1">
      <c r="A140" s="65" t="s">
        <v>836</v>
      </c>
      <c r="B140" s="52" t="s">
        <v>837</v>
      </c>
      <c r="C140" s="52" t="s">
        <v>95</v>
      </c>
      <c r="D140" s="53">
        <v>699</v>
      </c>
      <c r="E140" s="53">
        <v>1100</v>
      </c>
      <c r="F140" s="66">
        <v>1</v>
      </c>
      <c r="G140" s="66">
        <v>1</v>
      </c>
      <c r="H140" s="65">
        <f t="shared" si="8"/>
        <v>2</v>
      </c>
      <c r="I140" s="65">
        <f>IF(D140&lt;&gt;"",D140,IFERROR(E140/(IFERROR(SUM(Sales!C:C),0))*(IFERROR(SUM(Purchases!C:C),0)),0))</f>
        <v>699</v>
      </c>
      <c r="J140" s="65">
        <f t="shared" si="9"/>
        <v>699</v>
      </c>
      <c r="K140" s="65">
        <f t="shared" si="10"/>
        <v>699</v>
      </c>
      <c r="L140" s="52" t="s">
        <v>838</v>
      </c>
      <c r="M140" s="52"/>
      <c r="N140" s="52" t="s">
        <v>589</v>
      </c>
      <c r="O140" s="52"/>
      <c r="P140" s="52"/>
      <c r="Q140" s="52"/>
      <c r="R140" s="52"/>
      <c r="S140" s="52"/>
      <c r="T140" s="52"/>
    </row>
    <row r="141" spans="1:20" ht="15" customHeight="1">
      <c r="A141" s="63" t="s">
        <v>839</v>
      </c>
      <c r="B141" s="55" t="s">
        <v>840</v>
      </c>
      <c r="C141" s="55" t="s">
        <v>95</v>
      </c>
      <c r="D141" s="56">
        <v>838</v>
      </c>
      <c r="E141" s="56">
        <v>1100</v>
      </c>
      <c r="F141" s="64">
        <v>1</v>
      </c>
      <c r="G141" s="64">
        <v>0</v>
      </c>
      <c r="H141" s="63">
        <f t="shared" si="8"/>
        <v>1</v>
      </c>
      <c r="I141" s="63">
        <f>IF(D141&lt;&gt;"",D141,IFERROR(E141/(IFERROR(SUM(Sales!C:C),0))*(IFERROR(SUM(Purchases!C:C),0)),0))</f>
        <v>838</v>
      </c>
      <c r="J141" s="63">
        <f t="shared" si="9"/>
        <v>838</v>
      </c>
      <c r="K141" s="63">
        <f t="shared" si="10"/>
        <v>0</v>
      </c>
      <c r="L141" s="55" t="s">
        <v>841</v>
      </c>
      <c r="M141" s="55"/>
      <c r="N141" s="55" t="s">
        <v>504</v>
      </c>
      <c r="O141" s="55"/>
      <c r="P141" s="55"/>
      <c r="Q141" s="55"/>
      <c r="R141" s="55"/>
      <c r="S141" s="55"/>
      <c r="T141" s="55"/>
    </row>
    <row r="142" spans="1:20" ht="15" customHeight="1">
      <c r="A142" s="52" t="s">
        <v>842</v>
      </c>
      <c r="B142" s="52" t="s">
        <v>843</v>
      </c>
      <c r="C142" s="52" t="s">
        <v>95</v>
      </c>
      <c r="D142" s="53">
        <v>600</v>
      </c>
      <c r="E142" s="53">
        <v>1200</v>
      </c>
      <c r="F142" s="66">
        <v>4</v>
      </c>
      <c r="G142" s="66">
        <v>0</v>
      </c>
      <c r="H142" s="65">
        <f t="shared" si="8"/>
        <v>4</v>
      </c>
      <c r="I142" s="65">
        <f>IF(D142&lt;&gt;"",D142,IFERROR(E142/(IFERROR(SUM(Sales!C:C),0))*(IFERROR(SUM(Purchases!C:C),0)),0))</f>
        <v>600</v>
      </c>
      <c r="J142" s="65">
        <f t="shared" si="9"/>
        <v>2400</v>
      </c>
      <c r="K142" s="65">
        <f t="shared" si="10"/>
        <v>0</v>
      </c>
      <c r="L142" s="52" t="s">
        <v>844</v>
      </c>
      <c r="M142" s="52"/>
      <c r="N142" s="52" t="s">
        <v>504</v>
      </c>
      <c r="O142" s="52"/>
      <c r="P142" s="52"/>
      <c r="Q142" s="52"/>
      <c r="R142" s="52"/>
      <c r="S142" s="52"/>
      <c r="T142" s="52"/>
    </row>
    <row r="143" spans="1:20" ht="15" customHeight="1">
      <c r="A143" s="55" t="s">
        <v>845</v>
      </c>
      <c r="B143" s="55" t="s">
        <v>846</v>
      </c>
      <c r="C143" s="55" t="s">
        <v>95</v>
      </c>
      <c r="D143" s="56">
        <v>550</v>
      </c>
      <c r="E143" s="56">
        <v>1100</v>
      </c>
      <c r="F143" s="64">
        <v>0</v>
      </c>
      <c r="G143" s="64">
        <v>1</v>
      </c>
      <c r="H143" s="63">
        <f t="shared" si="8"/>
        <v>1</v>
      </c>
      <c r="I143" s="63">
        <f>IF(D143&lt;&gt;"",D143,IFERROR(E143/(IFERROR(SUM(Sales!C:C),0))*(IFERROR(SUM(Purchases!C:C),0)),0))</f>
        <v>550</v>
      </c>
      <c r="J143" s="63">
        <f t="shared" si="9"/>
        <v>0</v>
      </c>
      <c r="K143" s="63">
        <f t="shared" si="10"/>
        <v>550</v>
      </c>
      <c r="L143" s="55"/>
      <c r="M143" s="55"/>
      <c r="N143" s="55" t="s">
        <v>678</v>
      </c>
      <c r="O143" s="55"/>
      <c r="P143" s="55"/>
      <c r="Q143" s="55"/>
      <c r="R143" s="55"/>
      <c r="S143" s="55"/>
      <c r="T143" s="55"/>
    </row>
    <row r="144" spans="1:20" ht="15" customHeight="1">
      <c r="A144" s="52" t="s">
        <v>847</v>
      </c>
      <c r="B144" s="52" t="s">
        <v>848</v>
      </c>
      <c r="C144" s="52" t="s">
        <v>95</v>
      </c>
      <c r="D144" s="53">
        <v>550</v>
      </c>
      <c r="E144" s="53">
        <v>1100</v>
      </c>
      <c r="F144" s="66">
        <v>0</v>
      </c>
      <c r="G144" s="66">
        <v>1</v>
      </c>
      <c r="H144" s="65">
        <f t="shared" si="8"/>
        <v>1</v>
      </c>
      <c r="I144" s="65">
        <f>IF(D144&lt;&gt;"",D144,IFERROR(E144/(IFERROR(SUM(Sales!C:C),0))*(IFERROR(SUM(Purchases!C:C),0)),0))</f>
        <v>550</v>
      </c>
      <c r="J144" s="65">
        <f t="shared" si="9"/>
        <v>0</v>
      </c>
      <c r="K144" s="65">
        <f t="shared" si="10"/>
        <v>550</v>
      </c>
      <c r="L144" s="52"/>
      <c r="M144" s="52"/>
      <c r="N144" s="52" t="s">
        <v>678</v>
      </c>
      <c r="O144" s="52"/>
      <c r="P144" s="52"/>
      <c r="Q144" s="52"/>
      <c r="R144" s="52"/>
      <c r="S144" s="52"/>
      <c r="T144" s="52"/>
    </row>
    <row r="145" spans="1:20" ht="15" customHeight="1">
      <c r="A145" s="55" t="s">
        <v>849</v>
      </c>
      <c r="B145" s="55" t="s">
        <v>302</v>
      </c>
      <c r="C145" s="55" t="s">
        <v>95</v>
      </c>
      <c r="D145" s="56">
        <v>1100</v>
      </c>
      <c r="E145" s="56">
        <v>1450</v>
      </c>
      <c r="F145" s="64">
        <v>1</v>
      </c>
      <c r="G145" s="64">
        <v>0</v>
      </c>
      <c r="H145" s="63">
        <f t="shared" si="8"/>
        <v>1</v>
      </c>
      <c r="I145" s="63">
        <f>IF(D145&lt;&gt;"",D145,IFERROR(E145/(IFERROR(SUM(Sales!C:C),0))*(IFERROR(SUM(Purchases!C:C),0)),0))</f>
        <v>1100</v>
      </c>
      <c r="J145" s="63">
        <f t="shared" si="9"/>
        <v>1100</v>
      </c>
      <c r="K145" s="63">
        <f t="shared" si="10"/>
        <v>0</v>
      </c>
      <c r="L145" s="55" t="s">
        <v>300</v>
      </c>
      <c r="M145" s="55"/>
      <c r="N145" s="55" t="s">
        <v>504</v>
      </c>
      <c r="O145" s="55"/>
      <c r="P145" s="55"/>
      <c r="Q145" s="55"/>
      <c r="R145" s="55"/>
      <c r="S145" s="55"/>
      <c r="T145" s="55"/>
    </row>
    <row r="146" spans="1:20" ht="15" customHeight="1">
      <c r="A146" s="52" t="s">
        <v>850</v>
      </c>
      <c r="B146" s="52" t="s">
        <v>851</v>
      </c>
      <c r="C146" s="52" t="s">
        <v>95</v>
      </c>
      <c r="D146" s="53">
        <v>761</v>
      </c>
      <c r="E146" s="53">
        <v>1200</v>
      </c>
      <c r="F146" s="66">
        <v>2</v>
      </c>
      <c r="G146" s="66">
        <v>1</v>
      </c>
      <c r="H146" s="65">
        <f t="shared" si="8"/>
        <v>3</v>
      </c>
      <c r="I146" s="65">
        <f>IF(D146&lt;&gt;"",D146,IFERROR(E146/(IFERROR(SUM(Sales!C:C),0))*(IFERROR(SUM(Purchases!C:C),0)),0))</f>
        <v>761</v>
      </c>
      <c r="J146" s="65">
        <f t="shared" si="9"/>
        <v>1522</v>
      </c>
      <c r="K146" s="65">
        <f t="shared" si="10"/>
        <v>761</v>
      </c>
      <c r="L146" s="52" t="s">
        <v>852</v>
      </c>
      <c r="M146" s="52"/>
      <c r="N146" s="52" t="s">
        <v>589</v>
      </c>
      <c r="O146" s="52"/>
      <c r="P146" s="52" t="s">
        <v>853</v>
      </c>
      <c r="Q146" s="52"/>
      <c r="R146" s="52"/>
      <c r="S146" s="52"/>
      <c r="T146" s="52"/>
    </row>
    <row r="147" spans="1:20" ht="63.75" customHeight="1">
      <c r="A147" s="55" t="s">
        <v>854</v>
      </c>
      <c r="B147" s="55" t="s">
        <v>855</v>
      </c>
      <c r="C147" s="55" t="s">
        <v>95</v>
      </c>
      <c r="D147" s="56">
        <v>719</v>
      </c>
      <c r="E147" s="56">
        <v>1200</v>
      </c>
      <c r="F147" s="64">
        <v>10</v>
      </c>
      <c r="G147" s="64">
        <v>0</v>
      </c>
      <c r="H147" s="63">
        <f t="shared" si="8"/>
        <v>10</v>
      </c>
      <c r="I147" s="63">
        <f>IF(D147&lt;&gt;"",D147,IFERROR(E147/(IFERROR(SUM(Sales!C:C),0))*(IFERROR(SUM(Purchases!C:C),0)),0))</f>
        <v>719</v>
      </c>
      <c r="J147" s="63">
        <f t="shared" si="9"/>
        <v>7190</v>
      </c>
      <c r="K147" s="63">
        <f t="shared" si="10"/>
        <v>0</v>
      </c>
      <c r="L147" s="55" t="s">
        <v>1177</v>
      </c>
      <c r="M147" s="55"/>
      <c r="N147" s="55" t="s">
        <v>504</v>
      </c>
      <c r="O147" s="55"/>
      <c r="P147" s="55"/>
      <c r="Q147" s="55"/>
      <c r="R147" s="55"/>
      <c r="S147" s="55"/>
      <c r="T147" s="55"/>
    </row>
    <row r="148" spans="1:20" ht="15" customHeight="1">
      <c r="A148" s="52" t="s">
        <v>856</v>
      </c>
      <c r="B148" s="52" t="s">
        <v>857</v>
      </c>
      <c r="C148" s="52" t="s">
        <v>95</v>
      </c>
      <c r="D148" s="53">
        <v>502</v>
      </c>
      <c r="E148" s="53">
        <v>850</v>
      </c>
      <c r="F148" s="66">
        <v>1</v>
      </c>
      <c r="G148" s="66">
        <v>2</v>
      </c>
      <c r="H148" s="65">
        <f t="shared" si="8"/>
        <v>3</v>
      </c>
      <c r="I148" s="65">
        <f>IF(D148&lt;&gt;"",D148,IFERROR(E148/(IFERROR(SUM(Sales!C:C),0))*(IFERROR(SUM(Purchases!C:C),0)),0))</f>
        <v>502</v>
      </c>
      <c r="J148" s="65">
        <f t="shared" si="9"/>
        <v>502</v>
      </c>
      <c r="K148" s="65">
        <f t="shared" si="10"/>
        <v>1004</v>
      </c>
      <c r="L148" s="52" t="s">
        <v>1150</v>
      </c>
      <c r="M148" s="52"/>
      <c r="N148" s="52" t="s">
        <v>589</v>
      </c>
      <c r="O148" s="52"/>
      <c r="P148" s="52"/>
      <c r="Q148" s="52"/>
      <c r="R148" s="52"/>
      <c r="S148" s="52"/>
      <c r="T148" s="52"/>
    </row>
    <row r="149" spans="1:20" ht="15" customHeight="1">
      <c r="A149" s="55" t="s">
        <v>858</v>
      </c>
      <c r="B149" s="55" t="s">
        <v>859</v>
      </c>
      <c r="C149" s="55" t="s">
        <v>95</v>
      </c>
      <c r="D149" s="56">
        <v>1024</v>
      </c>
      <c r="E149" s="56">
        <v>1450</v>
      </c>
      <c r="F149" s="64">
        <v>3</v>
      </c>
      <c r="G149" s="64">
        <v>0</v>
      </c>
      <c r="H149" s="63">
        <f t="shared" si="8"/>
        <v>3</v>
      </c>
      <c r="I149" s="63">
        <f>IF(D149&lt;&gt;"",D149,IFERROR(E149/(IFERROR(SUM(Sales!C:C),0))*(IFERROR(SUM(Purchases!C:C),0)),0))</f>
        <v>1024</v>
      </c>
      <c r="J149" s="63">
        <f t="shared" si="9"/>
        <v>3072</v>
      </c>
      <c r="K149" s="63">
        <f t="shared" si="10"/>
        <v>0</v>
      </c>
      <c r="L149" s="55" t="s">
        <v>1151</v>
      </c>
      <c r="M149" s="55"/>
      <c r="N149" s="55" t="s">
        <v>504</v>
      </c>
      <c r="O149" s="55"/>
      <c r="P149" s="55"/>
      <c r="Q149" s="55"/>
      <c r="R149" s="55"/>
      <c r="S149" s="55"/>
      <c r="T149" s="55"/>
    </row>
    <row r="150" spans="1:20" ht="15" customHeight="1">
      <c r="A150" s="52" t="s">
        <v>860</v>
      </c>
      <c r="B150" s="52" t="s">
        <v>861</v>
      </c>
      <c r="C150" s="52" t="s">
        <v>95</v>
      </c>
      <c r="D150" s="53">
        <v>688</v>
      </c>
      <c r="E150" s="53">
        <v>960</v>
      </c>
      <c r="F150" s="66">
        <v>0</v>
      </c>
      <c r="G150" s="66">
        <v>3</v>
      </c>
      <c r="H150" s="65">
        <f t="shared" si="8"/>
        <v>3</v>
      </c>
      <c r="I150" s="65">
        <f>IF(D150&lt;&gt;"",D150,IFERROR(E150/(IFERROR(SUM(Sales!C:C),0))*(IFERROR(SUM(Purchases!C:C),0)),0))</f>
        <v>688</v>
      </c>
      <c r="J150" s="65">
        <f t="shared" si="9"/>
        <v>0</v>
      </c>
      <c r="K150" s="65">
        <f t="shared" si="10"/>
        <v>2064</v>
      </c>
      <c r="L150" s="52"/>
      <c r="M150" s="52"/>
      <c r="N150" s="52" t="s">
        <v>678</v>
      </c>
      <c r="O150" s="52"/>
      <c r="P150" s="52"/>
      <c r="Q150" s="52"/>
      <c r="R150" s="52"/>
      <c r="S150" s="52"/>
      <c r="T150" s="52"/>
    </row>
    <row r="151" spans="1:20" ht="15" customHeight="1">
      <c r="A151" s="55" t="s">
        <v>862</v>
      </c>
      <c r="B151" s="55" t="s">
        <v>863</v>
      </c>
      <c r="C151" s="55" t="s">
        <v>96</v>
      </c>
      <c r="D151" s="53">
        <v>645</v>
      </c>
      <c r="E151" s="53">
        <v>1099</v>
      </c>
      <c r="F151" s="66">
        <v>3</v>
      </c>
      <c r="G151" s="66">
        <v>1</v>
      </c>
      <c r="H151" s="65">
        <f t="shared" si="8"/>
        <v>4</v>
      </c>
      <c r="I151" s="65">
        <f>IF(D151&lt;&gt;"",D151,IFERROR(E151/(IFERROR(SUM(Sales!C:C),0))*(IFERROR(SUM(Purchases!C:C),0)),0))</f>
        <v>645</v>
      </c>
      <c r="J151" s="65">
        <f t="shared" si="9"/>
        <v>1935</v>
      </c>
      <c r="K151" s="65">
        <f t="shared" si="10"/>
        <v>645</v>
      </c>
      <c r="L151" s="55" t="s">
        <v>864</v>
      </c>
      <c r="M151" s="55"/>
      <c r="N151" s="55" t="s">
        <v>589</v>
      </c>
      <c r="O151" s="55" t="s">
        <v>216</v>
      </c>
      <c r="P151" s="55" t="s">
        <v>865</v>
      </c>
      <c r="Q151" s="55"/>
      <c r="R151" s="55"/>
      <c r="S151" s="55"/>
      <c r="T151" s="55"/>
    </row>
    <row r="152" spans="1:20" ht="15" customHeight="1">
      <c r="A152" s="52" t="s">
        <v>866</v>
      </c>
      <c r="B152" s="52" t="s">
        <v>867</v>
      </c>
      <c r="C152" s="52" t="s">
        <v>97</v>
      </c>
      <c r="D152" s="53">
        <v>295</v>
      </c>
      <c r="E152" s="53">
        <v>580</v>
      </c>
      <c r="F152" s="66">
        <v>2</v>
      </c>
      <c r="G152" s="66">
        <v>2</v>
      </c>
      <c r="H152" s="65">
        <f t="shared" si="8"/>
        <v>4</v>
      </c>
      <c r="I152" s="65">
        <f>IF(D152&lt;&gt;"",D152,IFERROR(E152/(IFERROR(SUM(Sales!C:C),0))*(IFERROR(SUM(Purchases!C:C),0)),0))</f>
        <v>295</v>
      </c>
      <c r="J152" s="65">
        <f t="shared" si="9"/>
        <v>590</v>
      </c>
      <c r="K152" s="65">
        <f t="shared" si="10"/>
        <v>590</v>
      </c>
      <c r="L152" s="52" t="s">
        <v>868</v>
      </c>
      <c r="M152" s="52"/>
      <c r="N152" s="52" t="s">
        <v>589</v>
      </c>
      <c r="O152" s="52" t="s">
        <v>869</v>
      </c>
      <c r="P152" s="52" t="s">
        <v>870</v>
      </c>
      <c r="Q152" s="52"/>
      <c r="R152" s="52"/>
      <c r="S152" s="52"/>
      <c r="T152" s="52"/>
    </row>
    <row r="153" spans="1:20" ht="15" customHeight="1">
      <c r="A153" s="55" t="s">
        <v>871</v>
      </c>
      <c r="B153" s="55" t="s">
        <v>872</v>
      </c>
      <c r="C153" s="55" t="s">
        <v>95</v>
      </c>
      <c r="D153" s="56">
        <v>891.5</v>
      </c>
      <c r="E153" s="56">
        <v>1380</v>
      </c>
      <c r="F153" s="64">
        <v>2</v>
      </c>
      <c r="G153" s="64">
        <v>0</v>
      </c>
      <c r="H153" s="63">
        <f t="shared" si="8"/>
        <v>2</v>
      </c>
      <c r="I153" s="63">
        <f>IF(D153&lt;&gt;"",D153,IFERROR(E153/(IFERROR(SUM(Sales!C:C),0))*(IFERROR(SUM(Purchases!C:C),0)),0))</f>
        <v>891.5</v>
      </c>
      <c r="J153" s="63">
        <f t="shared" si="9"/>
        <v>1783</v>
      </c>
      <c r="K153" s="63">
        <f t="shared" si="10"/>
        <v>0</v>
      </c>
      <c r="L153" s="55" t="s">
        <v>873</v>
      </c>
      <c r="M153" s="55"/>
      <c r="N153" s="55" t="s">
        <v>504</v>
      </c>
      <c r="O153" s="55"/>
      <c r="P153" s="55" t="s">
        <v>874</v>
      </c>
      <c r="Q153" s="55"/>
      <c r="R153" s="55"/>
      <c r="S153" s="55"/>
      <c r="T153" s="55"/>
    </row>
    <row r="154" spans="1:20" ht="15" customHeight="1">
      <c r="A154" s="52" t="s">
        <v>875</v>
      </c>
      <c r="B154" s="52" t="s">
        <v>876</v>
      </c>
      <c r="C154" s="52" t="s">
        <v>96</v>
      </c>
      <c r="D154" s="53">
        <v>949</v>
      </c>
      <c r="E154" s="53">
        <v>1450</v>
      </c>
      <c r="F154" s="66">
        <v>2</v>
      </c>
      <c r="G154" s="66">
        <v>1</v>
      </c>
      <c r="H154" s="65">
        <f t="shared" si="8"/>
        <v>3</v>
      </c>
      <c r="I154" s="65">
        <f>IF(D154&lt;&gt;"",D154,IFERROR(E154/(IFERROR(SUM(Sales!C:C),0))*(IFERROR(SUM(Purchases!C:C),0)),0))</f>
        <v>949</v>
      </c>
      <c r="J154" s="65">
        <f t="shared" si="9"/>
        <v>1898</v>
      </c>
      <c r="K154" s="65">
        <f t="shared" si="10"/>
        <v>949</v>
      </c>
      <c r="L154" s="52" t="s">
        <v>1115</v>
      </c>
      <c r="M154" s="52"/>
      <c r="N154" s="52" t="s">
        <v>589</v>
      </c>
      <c r="O154" s="52" t="s">
        <v>1112</v>
      </c>
      <c r="P154" s="52"/>
      <c r="Q154" s="52"/>
      <c r="R154" s="52"/>
      <c r="S154" s="52"/>
      <c r="T154" s="52"/>
    </row>
    <row r="155" spans="1:20" ht="15" customHeight="1">
      <c r="A155" s="55" t="s">
        <v>877</v>
      </c>
      <c r="B155" s="55" t="s">
        <v>878</v>
      </c>
      <c r="C155" s="55" t="s">
        <v>96</v>
      </c>
      <c r="D155" s="56">
        <v>949</v>
      </c>
      <c r="E155" s="56">
        <v>1450</v>
      </c>
      <c r="F155" s="64">
        <v>2</v>
      </c>
      <c r="G155" s="64">
        <v>1</v>
      </c>
      <c r="H155" s="63">
        <f t="shared" si="8"/>
        <v>3</v>
      </c>
      <c r="I155" s="63">
        <f>IF(D155&lt;&gt;"",D155,IFERROR(E155/(IFERROR(SUM(Sales!C:C),0))*(IFERROR(SUM(Purchases!C:C),0)),0))</f>
        <v>949</v>
      </c>
      <c r="J155" s="63">
        <f t="shared" si="9"/>
        <v>1898</v>
      </c>
      <c r="K155" s="63">
        <f t="shared" si="10"/>
        <v>949</v>
      </c>
      <c r="L155" s="55" t="s">
        <v>1137</v>
      </c>
      <c r="M155" s="55"/>
      <c r="N155" s="55" t="s">
        <v>589</v>
      </c>
      <c r="O155" s="55" t="s">
        <v>1112</v>
      </c>
      <c r="P155" s="55"/>
      <c r="Q155" s="55"/>
      <c r="R155" s="55"/>
      <c r="S155" s="55"/>
      <c r="T155" s="55"/>
    </row>
    <row r="156" spans="1:20" ht="15" customHeight="1">
      <c r="A156" s="52" t="s">
        <v>879</v>
      </c>
      <c r="B156" s="52" t="s">
        <v>880</v>
      </c>
      <c r="C156" s="52" t="s">
        <v>96</v>
      </c>
      <c r="D156" s="53">
        <v>950</v>
      </c>
      <c r="E156" s="53">
        <v>1550</v>
      </c>
      <c r="F156" s="66">
        <v>2</v>
      </c>
      <c r="G156" s="66">
        <v>2</v>
      </c>
      <c r="H156" s="65">
        <f t="shared" si="8"/>
        <v>4</v>
      </c>
      <c r="I156" s="65">
        <f>IF(D156&lt;&gt;"",D156,IFERROR(E156/(IFERROR(SUM(Sales!C:C),0))*(IFERROR(SUM(Purchases!C:C),0)),0))</f>
        <v>950</v>
      </c>
      <c r="J156" s="65">
        <f t="shared" si="9"/>
        <v>1900</v>
      </c>
      <c r="K156" s="65">
        <f t="shared" si="10"/>
        <v>1900</v>
      </c>
      <c r="L156" s="52" t="s">
        <v>1116</v>
      </c>
      <c r="M156" s="52"/>
      <c r="N156" s="52" t="s">
        <v>589</v>
      </c>
      <c r="O156" s="52" t="s">
        <v>621</v>
      </c>
      <c r="P156" s="52"/>
      <c r="Q156" s="52"/>
      <c r="R156" s="52"/>
      <c r="S156" s="52"/>
      <c r="T156" s="52"/>
    </row>
    <row r="157" spans="1:20" ht="15" customHeight="1">
      <c r="A157" s="55" t="s">
        <v>881</v>
      </c>
      <c r="B157" s="55" t="s">
        <v>882</v>
      </c>
      <c r="C157" s="55" t="s">
        <v>96</v>
      </c>
      <c r="D157" s="56">
        <v>525</v>
      </c>
      <c r="E157" s="56">
        <v>850</v>
      </c>
      <c r="F157" s="64">
        <v>2</v>
      </c>
      <c r="G157" s="64">
        <v>2</v>
      </c>
      <c r="H157" s="63">
        <f t="shared" si="8"/>
        <v>4</v>
      </c>
      <c r="I157" s="63">
        <f>IF(D157&lt;&gt;"",D157,IFERROR(E157/(IFERROR(SUM(Sales!C:C),0))*(IFERROR(SUM(Purchases!C:C),0)),0))</f>
        <v>525</v>
      </c>
      <c r="J157" s="63">
        <f t="shared" si="9"/>
        <v>1050</v>
      </c>
      <c r="K157" s="63">
        <f t="shared" si="10"/>
        <v>1050</v>
      </c>
      <c r="L157" s="55" t="s">
        <v>883</v>
      </c>
      <c r="M157" s="55"/>
      <c r="N157" s="55" t="s">
        <v>589</v>
      </c>
      <c r="O157" s="55" t="s">
        <v>619</v>
      </c>
      <c r="P157" s="55"/>
      <c r="Q157" s="55"/>
      <c r="R157" s="55"/>
      <c r="S157" s="55"/>
      <c r="T157" s="55"/>
    </row>
    <row r="158" spans="1:20" ht="15" customHeight="1">
      <c r="A158" s="52" t="s">
        <v>884</v>
      </c>
      <c r="B158" s="52" t="s">
        <v>885</v>
      </c>
      <c r="C158" s="52" t="s">
        <v>96</v>
      </c>
      <c r="D158" s="53">
        <v>839</v>
      </c>
      <c r="E158" s="53">
        <v>1450</v>
      </c>
      <c r="F158" s="66">
        <v>1</v>
      </c>
      <c r="G158" s="66">
        <v>4</v>
      </c>
      <c r="H158" s="65">
        <f t="shared" si="8"/>
        <v>5</v>
      </c>
      <c r="I158" s="65">
        <f>IF(D158&lt;&gt;"",D158,IFERROR(E158/(IFERROR(SUM(Sales!C:C),0))*(IFERROR(SUM(Purchases!C:C),0)),0))</f>
        <v>839</v>
      </c>
      <c r="J158" s="65">
        <f t="shared" si="9"/>
        <v>839</v>
      </c>
      <c r="K158" s="65">
        <f t="shared" si="10"/>
        <v>3356</v>
      </c>
      <c r="L158" s="52" t="s">
        <v>886</v>
      </c>
      <c r="M158" s="52"/>
      <c r="N158" s="52" t="s">
        <v>678</v>
      </c>
      <c r="O158" s="52" t="s">
        <v>887</v>
      </c>
      <c r="P158" s="52"/>
      <c r="Q158" s="52"/>
      <c r="R158" s="52"/>
      <c r="S158" s="52"/>
      <c r="T158" s="52"/>
    </row>
    <row r="159" spans="1:20" ht="15" customHeight="1">
      <c r="A159" s="55" t="s">
        <v>888</v>
      </c>
      <c r="B159" s="55" t="s">
        <v>889</v>
      </c>
      <c r="C159" s="55" t="s">
        <v>96</v>
      </c>
      <c r="D159" s="56">
        <v>839</v>
      </c>
      <c r="E159" s="56">
        <v>1450</v>
      </c>
      <c r="F159" s="64">
        <v>2</v>
      </c>
      <c r="G159" s="64">
        <v>3</v>
      </c>
      <c r="H159" s="63">
        <f t="shared" si="8"/>
        <v>5</v>
      </c>
      <c r="I159" s="63">
        <f>IF(D159&lt;&gt;"",D159,IFERROR(E159/(IFERROR(SUM(Sales!C:C),0))*(IFERROR(SUM(Purchases!C:C),0)),0))</f>
        <v>839</v>
      </c>
      <c r="J159" s="63">
        <f t="shared" si="9"/>
        <v>1678</v>
      </c>
      <c r="K159" s="63">
        <f t="shared" si="10"/>
        <v>2517</v>
      </c>
      <c r="L159" s="55" t="s">
        <v>890</v>
      </c>
      <c r="M159" s="55"/>
      <c r="N159" s="55" t="s">
        <v>589</v>
      </c>
      <c r="O159" s="55" t="s">
        <v>891</v>
      </c>
      <c r="P159" s="55"/>
      <c r="Q159" s="55"/>
      <c r="R159" s="55"/>
      <c r="S159" s="55"/>
      <c r="T159" s="55"/>
    </row>
    <row r="160" spans="1:20" ht="15" customHeight="1">
      <c r="A160" s="52" t="s">
        <v>892</v>
      </c>
      <c r="B160" s="52" t="s">
        <v>893</v>
      </c>
      <c r="C160" s="52" t="s">
        <v>95</v>
      </c>
      <c r="D160" s="53">
        <v>336</v>
      </c>
      <c r="E160" s="53">
        <v>600</v>
      </c>
      <c r="F160" s="66">
        <v>1</v>
      </c>
      <c r="G160" s="66">
        <v>0</v>
      </c>
      <c r="H160" s="65">
        <f t="shared" si="8"/>
        <v>1</v>
      </c>
      <c r="I160" s="65">
        <f>IF(D160&lt;&gt;"",D160,IFERROR(E160/(IFERROR(SUM(Sales!C:C),0))*(IFERROR(SUM(Purchases!C:C),0)),0))</f>
        <v>336</v>
      </c>
      <c r="J160" s="65">
        <f t="shared" si="9"/>
        <v>336</v>
      </c>
      <c r="K160" s="65">
        <f t="shared" si="10"/>
        <v>0</v>
      </c>
      <c r="L160" s="52" t="s">
        <v>329</v>
      </c>
      <c r="M160" s="52"/>
      <c r="N160" s="52" t="s">
        <v>504</v>
      </c>
      <c r="O160" s="52"/>
      <c r="P160" s="52"/>
      <c r="Q160" s="52"/>
      <c r="R160" s="52"/>
      <c r="S160" s="52"/>
      <c r="T160" s="52"/>
    </row>
    <row r="161" spans="1:20" ht="15" customHeight="1">
      <c r="A161" s="55" t="s">
        <v>894</v>
      </c>
      <c r="B161" s="55" t="s">
        <v>895</v>
      </c>
      <c r="C161" s="55" t="s">
        <v>95</v>
      </c>
      <c r="D161" s="56">
        <v>353</v>
      </c>
      <c r="E161" s="56">
        <v>600</v>
      </c>
      <c r="F161" s="64">
        <v>1</v>
      </c>
      <c r="G161" s="64">
        <v>0</v>
      </c>
      <c r="H161" s="63">
        <f t="shared" si="8"/>
        <v>1</v>
      </c>
      <c r="I161" s="63">
        <f>IF(D161&lt;&gt;"",D161,IFERROR(E161/(IFERROR(SUM(Sales!C:C),0))*(IFERROR(SUM(Purchases!C:C),0)),0))</f>
        <v>353</v>
      </c>
      <c r="J161" s="63">
        <f t="shared" si="9"/>
        <v>353</v>
      </c>
      <c r="K161" s="63">
        <f t="shared" si="10"/>
        <v>0</v>
      </c>
      <c r="L161" s="55" t="s">
        <v>329</v>
      </c>
      <c r="M161" s="55"/>
      <c r="N161" s="55" t="s">
        <v>504</v>
      </c>
      <c r="O161" s="55"/>
      <c r="P161" s="55"/>
      <c r="Q161" s="55"/>
      <c r="R161" s="55"/>
      <c r="S161" s="55"/>
      <c r="T161" s="55"/>
    </row>
    <row r="162" spans="1:20" ht="15" customHeight="1">
      <c r="A162" s="52" t="s">
        <v>896</v>
      </c>
      <c r="B162" s="52" t="s">
        <v>897</v>
      </c>
      <c r="C162" s="52" t="s">
        <v>95</v>
      </c>
      <c r="D162" s="53">
        <v>533</v>
      </c>
      <c r="E162" s="53">
        <v>600</v>
      </c>
      <c r="F162" s="66">
        <v>0</v>
      </c>
      <c r="G162" s="66">
        <v>1</v>
      </c>
      <c r="H162" s="65">
        <f t="shared" ref="H162:H182" si="11">F162+IF(LEN(G162)=0,0,G162)</f>
        <v>1</v>
      </c>
      <c r="I162" s="65">
        <f>IF(D162&lt;&gt;"",D162,IFERROR(E162/(IFERROR(SUM(Sales!C:C),0))*(IFERROR(SUM(Purchases!C:C),0)),0))</f>
        <v>533</v>
      </c>
      <c r="J162" s="65">
        <f t="shared" si="9"/>
        <v>0</v>
      </c>
      <c r="K162" s="65">
        <f t="shared" si="10"/>
        <v>533</v>
      </c>
      <c r="L162" s="52" t="s">
        <v>161</v>
      </c>
      <c r="M162" s="52"/>
      <c r="N162" s="52" t="s">
        <v>504</v>
      </c>
      <c r="O162" s="52"/>
      <c r="P162" s="52"/>
      <c r="Q162" s="52"/>
      <c r="R162" s="52"/>
      <c r="S162" s="52"/>
      <c r="T162" s="52"/>
    </row>
    <row r="163" spans="1:20" ht="15" customHeight="1">
      <c r="A163" s="55" t="s">
        <v>898</v>
      </c>
      <c r="B163" s="55" t="s">
        <v>899</v>
      </c>
      <c r="C163" s="55" t="s">
        <v>95</v>
      </c>
      <c r="D163" s="56">
        <v>441</v>
      </c>
      <c r="E163" s="56">
        <v>600</v>
      </c>
      <c r="F163" s="64">
        <v>0</v>
      </c>
      <c r="G163" s="64">
        <v>1</v>
      </c>
      <c r="H163" s="63">
        <f t="shared" si="11"/>
        <v>1</v>
      </c>
      <c r="I163" s="63">
        <f>IF(D163&lt;&gt;"",D163,IFERROR(E163/(IFERROR(SUM(Sales!C:C),0))*(IFERROR(SUM(Purchases!C:C),0)),0))</f>
        <v>441</v>
      </c>
      <c r="J163" s="63">
        <f t="shared" si="9"/>
        <v>0</v>
      </c>
      <c r="K163" s="63">
        <f t="shared" si="10"/>
        <v>441</v>
      </c>
      <c r="L163" s="55"/>
      <c r="M163" s="55"/>
      <c r="N163" s="55" t="s">
        <v>678</v>
      </c>
      <c r="O163" s="55"/>
      <c r="P163" s="55"/>
      <c r="Q163" s="55"/>
      <c r="R163" s="55"/>
      <c r="S163" s="55"/>
      <c r="T163" s="55"/>
    </row>
    <row r="164" spans="1:20" ht="60" customHeight="1">
      <c r="A164" s="52" t="s">
        <v>900</v>
      </c>
      <c r="B164" s="52" t="s">
        <v>901</v>
      </c>
      <c r="C164" s="52" t="s">
        <v>95</v>
      </c>
      <c r="D164" s="53">
        <v>1013</v>
      </c>
      <c r="E164" s="53">
        <v>1499</v>
      </c>
      <c r="F164" s="66">
        <v>5</v>
      </c>
      <c r="G164" s="66">
        <v>0</v>
      </c>
      <c r="H164" s="65">
        <f t="shared" si="11"/>
        <v>5</v>
      </c>
      <c r="I164" s="65">
        <f>IF(D164&lt;&gt;"",D164,IFERROR(E164/(IFERROR(SUM(Sales!C:C),0))*(IFERROR(SUM(Purchases!C:C),0)),0))</f>
        <v>1013</v>
      </c>
      <c r="J164" s="65">
        <f t="shared" si="9"/>
        <v>5065</v>
      </c>
      <c r="K164" s="65">
        <f t="shared" si="10"/>
        <v>0</v>
      </c>
      <c r="L164" s="52" t="s">
        <v>1156</v>
      </c>
      <c r="M164" s="52"/>
      <c r="N164" s="52" t="s">
        <v>504</v>
      </c>
      <c r="O164" s="52"/>
      <c r="P164" s="52"/>
      <c r="Q164" s="52"/>
      <c r="R164" s="52"/>
      <c r="S164" s="52"/>
      <c r="T164" s="52"/>
    </row>
    <row r="165" spans="1:20" ht="15" customHeight="1">
      <c r="A165" s="55" t="s">
        <v>902</v>
      </c>
      <c r="B165" s="55" t="s">
        <v>903</v>
      </c>
      <c r="C165" s="55" t="s">
        <v>95</v>
      </c>
      <c r="D165" s="56">
        <v>786.46</v>
      </c>
      <c r="E165" s="56">
        <v>1250</v>
      </c>
      <c r="F165" s="64">
        <v>1</v>
      </c>
      <c r="G165" s="64">
        <v>0</v>
      </c>
      <c r="H165" s="63">
        <f t="shared" si="11"/>
        <v>1</v>
      </c>
      <c r="I165" s="63">
        <f>IF(D165&lt;&gt;"",D165,IFERROR(E165/(IFERROR(SUM(Sales!C:C),0))*(IFERROR(SUM(Purchases!C:C),0)),0))</f>
        <v>786.46</v>
      </c>
      <c r="J165" s="63">
        <f t="shared" si="9"/>
        <v>786.46</v>
      </c>
      <c r="K165" s="63">
        <f t="shared" si="10"/>
        <v>0</v>
      </c>
      <c r="L165" s="55" t="s">
        <v>153</v>
      </c>
      <c r="M165" s="55"/>
      <c r="N165" s="55" t="s">
        <v>504</v>
      </c>
      <c r="O165" s="55"/>
      <c r="P165" s="55" t="s">
        <v>904</v>
      </c>
      <c r="Q165" s="55"/>
      <c r="R165" s="55"/>
      <c r="S165" s="55"/>
      <c r="T165" s="55"/>
    </row>
    <row r="166" spans="1:20" ht="15" customHeight="1">
      <c r="A166" s="52" t="s">
        <v>905</v>
      </c>
      <c r="B166" s="52" t="s">
        <v>906</v>
      </c>
      <c r="C166" s="52" t="s">
        <v>95</v>
      </c>
      <c r="D166" s="53">
        <v>606</v>
      </c>
      <c r="E166" s="53">
        <v>950</v>
      </c>
      <c r="F166" s="66">
        <v>1</v>
      </c>
      <c r="G166" s="66">
        <v>2</v>
      </c>
      <c r="H166" s="65">
        <f t="shared" si="11"/>
        <v>3</v>
      </c>
      <c r="I166" s="65">
        <f>IF(D166&lt;&gt;"",D166,IFERROR(E166/(IFERROR(SUM(Sales!C:C),0))*(IFERROR(SUM(Purchases!C:C),0)),0))</f>
        <v>606</v>
      </c>
      <c r="J166" s="65">
        <f t="shared" si="9"/>
        <v>606</v>
      </c>
      <c r="K166" s="65">
        <f t="shared" si="10"/>
        <v>1212</v>
      </c>
      <c r="L166" s="52" t="s">
        <v>1096</v>
      </c>
      <c r="M166" s="52"/>
      <c r="N166" s="52" t="s">
        <v>504</v>
      </c>
      <c r="O166" s="52"/>
      <c r="P166" s="52" t="s">
        <v>1097</v>
      </c>
      <c r="Q166" s="52"/>
      <c r="R166" s="52"/>
      <c r="S166" s="52"/>
      <c r="T166" s="52"/>
    </row>
    <row r="167" spans="1:20" ht="15" customHeight="1">
      <c r="A167" s="55" t="s">
        <v>907</v>
      </c>
      <c r="B167" s="55" t="s">
        <v>908</v>
      </c>
      <c r="C167" s="55" t="s">
        <v>95</v>
      </c>
      <c r="D167" s="56">
        <v>740</v>
      </c>
      <c r="E167" s="56">
        <v>980</v>
      </c>
      <c r="F167" s="64">
        <v>3</v>
      </c>
      <c r="G167" s="64">
        <v>3</v>
      </c>
      <c r="H167" s="63">
        <f t="shared" si="11"/>
        <v>6</v>
      </c>
      <c r="I167" s="63">
        <f>IF(D167&lt;&gt;"",D167,IFERROR(E167/(IFERROR(SUM(Sales!C:C),0))*(IFERROR(SUM(Purchases!C:C),0)),0))</f>
        <v>740</v>
      </c>
      <c r="J167" s="63">
        <f t="shared" si="9"/>
        <v>2220</v>
      </c>
      <c r="K167" s="63">
        <f t="shared" si="10"/>
        <v>2220</v>
      </c>
      <c r="L167" s="55" t="s">
        <v>909</v>
      </c>
      <c r="M167" s="55"/>
      <c r="N167" s="55" t="s">
        <v>589</v>
      </c>
      <c r="O167" s="55"/>
      <c r="P167" s="55" t="s">
        <v>910</v>
      </c>
      <c r="Q167" s="55"/>
      <c r="R167" s="55"/>
      <c r="S167" s="55"/>
      <c r="T167" s="55"/>
    </row>
    <row r="168" spans="1:20" ht="15" customHeight="1">
      <c r="A168" s="52" t="s">
        <v>911</v>
      </c>
      <c r="B168" s="52" t="s">
        <v>912</v>
      </c>
      <c r="C168" s="52" t="s">
        <v>95</v>
      </c>
      <c r="D168" s="53">
        <v>608</v>
      </c>
      <c r="E168" s="53">
        <v>980</v>
      </c>
      <c r="F168" s="66">
        <v>1</v>
      </c>
      <c r="G168" s="66">
        <v>2</v>
      </c>
      <c r="H168" s="65">
        <f t="shared" si="11"/>
        <v>3</v>
      </c>
      <c r="I168" s="65">
        <f>IF(D168&lt;&gt;"",D168,IFERROR(E168/(IFERROR(SUM(Sales!C:C),0))*(IFERROR(SUM(Purchases!C:C),0)),0))</f>
        <v>608</v>
      </c>
      <c r="J168" s="65">
        <f t="shared" si="9"/>
        <v>608</v>
      </c>
      <c r="K168" s="65">
        <f t="shared" si="10"/>
        <v>1216</v>
      </c>
      <c r="L168" s="52" t="s">
        <v>913</v>
      </c>
      <c r="M168" s="52"/>
      <c r="N168" s="52" t="s">
        <v>589</v>
      </c>
      <c r="O168" s="52"/>
      <c r="P168" s="52" t="s">
        <v>914</v>
      </c>
      <c r="Q168" s="52"/>
      <c r="R168" s="52"/>
      <c r="S168" s="52"/>
      <c r="T168" s="52"/>
    </row>
    <row r="169" spans="1:20" ht="15" customHeight="1">
      <c r="A169" s="55" t="s">
        <v>915</v>
      </c>
      <c r="B169" s="55" t="s">
        <v>916</v>
      </c>
      <c r="C169" s="55" t="s">
        <v>95</v>
      </c>
      <c r="D169" s="56">
        <v>383.26</v>
      </c>
      <c r="E169" s="56">
        <v>699</v>
      </c>
      <c r="F169" s="64">
        <v>0</v>
      </c>
      <c r="G169" s="64">
        <v>1</v>
      </c>
      <c r="H169" s="63">
        <f t="shared" si="11"/>
        <v>1</v>
      </c>
      <c r="I169" s="63">
        <f>IF(D169&lt;&gt;"",D169,IFERROR(E169/(IFERROR(SUM(Sales!C:C),0))*(IFERROR(SUM(Purchases!C:C),0)),0))</f>
        <v>383.26</v>
      </c>
      <c r="J169" s="63">
        <f t="shared" si="9"/>
        <v>0</v>
      </c>
      <c r="K169" s="63">
        <f t="shared" si="10"/>
        <v>383.26</v>
      </c>
      <c r="L169" s="55"/>
      <c r="M169" s="55"/>
      <c r="N169" s="55" t="s">
        <v>678</v>
      </c>
      <c r="O169" s="55"/>
      <c r="P169" s="55" t="s">
        <v>917</v>
      </c>
      <c r="Q169" s="55"/>
      <c r="R169" s="55"/>
      <c r="S169" s="55"/>
      <c r="T169" s="55"/>
    </row>
    <row r="170" spans="1:20" ht="30" customHeight="1">
      <c r="A170" s="52" t="s">
        <v>918</v>
      </c>
      <c r="B170" s="52" t="s">
        <v>919</v>
      </c>
      <c r="C170" s="52" t="s">
        <v>95</v>
      </c>
      <c r="D170" s="53">
        <v>892</v>
      </c>
      <c r="E170" s="53">
        <v>1380</v>
      </c>
      <c r="F170" s="66">
        <v>3</v>
      </c>
      <c r="G170" s="66">
        <v>0</v>
      </c>
      <c r="H170" s="65">
        <f t="shared" si="11"/>
        <v>3</v>
      </c>
      <c r="I170" s="65">
        <f>IF(D170&lt;&gt;"",D170,IFERROR(E170/(IFERROR(SUM(Sales!C:C),0))*(IFERROR(SUM(Purchases!C:C),0)),0))</f>
        <v>892</v>
      </c>
      <c r="J170" s="65">
        <f t="shared" si="9"/>
        <v>2676</v>
      </c>
      <c r="K170" s="65">
        <f t="shared" si="10"/>
        <v>0</v>
      </c>
      <c r="L170" s="52" t="s">
        <v>920</v>
      </c>
      <c r="M170" s="52"/>
      <c r="N170" s="52" t="s">
        <v>504</v>
      </c>
      <c r="O170" s="52"/>
      <c r="P170" s="52" t="s">
        <v>921</v>
      </c>
      <c r="Q170" s="52"/>
      <c r="R170" s="52"/>
      <c r="S170" s="52"/>
      <c r="T170" s="52"/>
    </row>
    <row r="171" spans="1:20" ht="31.5" customHeight="1">
      <c r="A171" s="55" t="s">
        <v>922</v>
      </c>
      <c r="B171" s="52" t="s">
        <v>923</v>
      </c>
      <c r="C171" s="55" t="s">
        <v>95</v>
      </c>
      <c r="D171" s="56">
        <v>892</v>
      </c>
      <c r="E171" s="56">
        <v>1380</v>
      </c>
      <c r="F171" s="64">
        <v>3</v>
      </c>
      <c r="G171" s="64">
        <v>0</v>
      </c>
      <c r="H171" s="63">
        <f t="shared" si="11"/>
        <v>3</v>
      </c>
      <c r="I171" s="63">
        <f>IF(D171&lt;&gt;"",D171,IFERROR(E171/(IFERROR(SUM(Sales!C:C),0))*(IFERROR(SUM(Purchases!C:C),0)),0))</f>
        <v>892</v>
      </c>
      <c r="J171" s="63">
        <f t="shared" si="9"/>
        <v>2676</v>
      </c>
      <c r="K171" s="63">
        <f t="shared" si="10"/>
        <v>0</v>
      </c>
      <c r="L171" s="55" t="s">
        <v>924</v>
      </c>
      <c r="M171" s="55"/>
      <c r="N171" s="55" t="s">
        <v>504</v>
      </c>
      <c r="O171" s="55"/>
      <c r="P171" s="55"/>
      <c r="Q171" s="55"/>
      <c r="R171" s="55"/>
      <c r="S171" s="55"/>
      <c r="T171" s="55"/>
    </row>
    <row r="172" spans="1:20" ht="15" customHeight="1">
      <c r="A172" s="52" t="s">
        <v>925</v>
      </c>
      <c r="B172" s="52" t="s">
        <v>926</v>
      </c>
      <c r="C172" s="52" t="s">
        <v>95</v>
      </c>
      <c r="D172" s="53">
        <v>1047</v>
      </c>
      <c r="E172" s="53">
        <v>1550</v>
      </c>
      <c r="F172" s="66">
        <v>2</v>
      </c>
      <c r="G172" s="66">
        <v>1</v>
      </c>
      <c r="H172" s="65">
        <f t="shared" si="11"/>
        <v>3</v>
      </c>
      <c r="I172" s="65">
        <f>IF(D172&lt;&gt;"",D172,IFERROR(E172/(IFERROR(SUM(Sales!C:C),0))*(IFERROR(SUM(Purchases!C:C),0)),0))</f>
        <v>1047</v>
      </c>
      <c r="J172" s="65">
        <f t="shared" si="9"/>
        <v>2094</v>
      </c>
      <c r="K172" s="65">
        <f t="shared" si="10"/>
        <v>1047</v>
      </c>
      <c r="L172" s="52" t="s">
        <v>927</v>
      </c>
      <c r="M172" s="52"/>
      <c r="N172" s="52" t="s">
        <v>589</v>
      </c>
      <c r="O172" s="52"/>
      <c r="P172" s="52"/>
      <c r="Q172" s="52"/>
      <c r="R172" s="52"/>
      <c r="S172" s="52"/>
      <c r="T172" s="52"/>
    </row>
    <row r="173" spans="1:20" ht="15" customHeight="1">
      <c r="A173" s="55" t="s">
        <v>928</v>
      </c>
      <c r="B173" s="55" t="s">
        <v>929</v>
      </c>
      <c r="C173" s="55" t="s">
        <v>95</v>
      </c>
      <c r="D173" s="56">
        <v>803.26</v>
      </c>
      <c r="E173" s="56">
        <v>1250</v>
      </c>
      <c r="F173" s="64">
        <v>1</v>
      </c>
      <c r="G173" s="64">
        <v>1</v>
      </c>
      <c r="H173" s="63">
        <f t="shared" si="11"/>
        <v>2</v>
      </c>
      <c r="I173" s="63">
        <f>IF(D173&lt;&gt;"",D173,IFERROR(E173/(IFERROR(SUM(Sales!C:C),0))*(IFERROR(SUM(Purchases!C:C),0)),0))</f>
        <v>803.26</v>
      </c>
      <c r="J173" s="63">
        <f t="shared" si="9"/>
        <v>803.26</v>
      </c>
      <c r="K173" s="63">
        <f t="shared" si="10"/>
        <v>803.26</v>
      </c>
      <c r="L173" s="55" t="s">
        <v>416</v>
      </c>
      <c r="M173" s="55"/>
      <c r="N173" s="55" t="s">
        <v>589</v>
      </c>
      <c r="O173" s="55"/>
      <c r="P173" s="55"/>
      <c r="Q173" s="55"/>
      <c r="R173" s="55"/>
      <c r="S173" s="55"/>
      <c r="T173" s="55"/>
    </row>
    <row r="174" spans="1:20" ht="15" customHeight="1">
      <c r="A174" s="52" t="s">
        <v>930</v>
      </c>
      <c r="B174" s="52" t="s">
        <v>931</v>
      </c>
      <c r="C174" s="52" t="s">
        <v>95</v>
      </c>
      <c r="D174" s="53">
        <v>791.7</v>
      </c>
      <c r="E174" s="53">
        <v>1250</v>
      </c>
      <c r="F174" s="66">
        <v>1</v>
      </c>
      <c r="G174" s="66">
        <v>0</v>
      </c>
      <c r="H174" s="65">
        <f t="shared" si="11"/>
        <v>1</v>
      </c>
      <c r="I174" s="65">
        <f>IF(D174&lt;&gt;"",D174,IFERROR(E174/(IFERROR(SUM(Sales!C:C),0))*(IFERROR(SUM(Purchases!C:C),0)),0))</f>
        <v>791.7</v>
      </c>
      <c r="J174" s="65">
        <f t="shared" si="9"/>
        <v>791.7</v>
      </c>
      <c r="K174" s="65">
        <f t="shared" si="10"/>
        <v>0</v>
      </c>
      <c r="L174" s="52" t="s">
        <v>932</v>
      </c>
      <c r="M174" s="52"/>
      <c r="N174" s="52" t="s">
        <v>504</v>
      </c>
      <c r="O174" s="52"/>
      <c r="P174" s="52"/>
      <c r="Q174" s="52"/>
      <c r="R174" s="52"/>
      <c r="S174" s="52"/>
      <c r="T174" s="52"/>
    </row>
    <row r="175" spans="1:20" ht="90" customHeight="1">
      <c r="A175" s="55" t="s">
        <v>933</v>
      </c>
      <c r="B175" s="55" t="s">
        <v>934</v>
      </c>
      <c r="C175" s="55" t="s">
        <v>95</v>
      </c>
      <c r="D175" s="56">
        <v>698.25</v>
      </c>
      <c r="E175" s="56">
        <v>1250</v>
      </c>
      <c r="F175" s="64">
        <v>5</v>
      </c>
      <c r="G175" s="64">
        <v>5</v>
      </c>
      <c r="H175" s="63">
        <f t="shared" si="11"/>
        <v>10</v>
      </c>
      <c r="I175" s="63">
        <f>IF(D175&lt;&gt;"",D175,IFERROR(E175/(IFERROR(SUM(Sales!C:C),0))*(IFERROR(SUM(Purchases!C:C),0)),0))</f>
        <v>698.25</v>
      </c>
      <c r="J175" s="63">
        <f t="shared" si="9"/>
        <v>3491.25</v>
      </c>
      <c r="K175" s="63">
        <f t="shared" si="10"/>
        <v>3491.25</v>
      </c>
      <c r="L175" s="55" t="s">
        <v>1103</v>
      </c>
      <c r="M175" s="55"/>
      <c r="N175" s="55" t="s">
        <v>589</v>
      </c>
      <c r="O175" s="55"/>
      <c r="P175" s="55" t="s">
        <v>1102</v>
      </c>
      <c r="Q175" s="55"/>
      <c r="R175" s="55"/>
      <c r="S175" s="55"/>
      <c r="T175" s="55"/>
    </row>
    <row r="176" spans="1:20" ht="24" customHeight="1">
      <c r="A176" s="52" t="s">
        <v>935</v>
      </c>
      <c r="B176" s="52" t="s">
        <v>936</v>
      </c>
      <c r="C176" s="52" t="s">
        <v>95</v>
      </c>
      <c r="D176" s="53">
        <v>908</v>
      </c>
      <c r="E176" s="53">
        <v>1350</v>
      </c>
      <c r="F176" s="66">
        <v>3</v>
      </c>
      <c r="G176" s="66">
        <v>0</v>
      </c>
      <c r="H176" s="65">
        <f t="shared" si="11"/>
        <v>3</v>
      </c>
      <c r="I176" s="65">
        <f>IF(D176&lt;&gt;"",D176,IFERROR(E176/(IFERROR(SUM(Sales!C:C),0))*(IFERROR(SUM(Purchases!C:C),0)),0))</f>
        <v>908</v>
      </c>
      <c r="J176" s="65">
        <f t="shared" si="9"/>
        <v>2724</v>
      </c>
      <c r="K176" s="65">
        <f t="shared" si="10"/>
        <v>0</v>
      </c>
      <c r="L176" s="52" t="s">
        <v>937</v>
      </c>
      <c r="M176" s="52"/>
      <c r="N176" s="52" t="s">
        <v>504</v>
      </c>
      <c r="O176" s="52"/>
      <c r="P176" s="52"/>
      <c r="Q176" s="52"/>
      <c r="R176" s="52"/>
      <c r="S176" s="52"/>
      <c r="T176" s="52"/>
    </row>
    <row r="177" spans="1:20" ht="33.75" customHeight="1">
      <c r="A177" s="55" t="s">
        <v>938</v>
      </c>
      <c r="B177" s="55" t="s">
        <v>939</v>
      </c>
      <c r="C177" s="55" t="s">
        <v>95</v>
      </c>
      <c r="D177" s="56">
        <v>906</v>
      </c>
      <c r="E177" s="56">
        <v>1350</v>
      </c>
      <c r="F177" s="64">
        <v>3</v>
      </c>
      <c r="G177" s="64">
        <v>0</v>
      </c>
      <c r="H177" s="63">
        <f t="shared" si="11"/>
        <v>3</v>
      </c>
      <c r="I177" s="63">
        <f>IF(D177&lt;&gt;"",D177,IFERROR(E177/(IFERROR(SUM(Sales!C:C),0))*(IFERROR(SUM(Purchases!C:C),0)),0))</f>
        <v>906</v>
      </c>
      <c r="J177" s="63">
        <f t="shared" si="9"/>
        <v>2718</v>
      </c>
      <c r="K177" s="63">
        <f t="shared" si="10"/>
        <v>0</v>
      </c>
      <c r="L177" s="55" t="s">
        <v>940</v>
      </c>
      <c r="M177" s="55"/>
      <c r="N177" s="55" t="s">
        <v>504</v>
      </c>
      <c r="O177" s="55"/>
      <c r="P177" s="55" t="s">
        <v>941</v>
      </c>
      <c r="Q177" s="55"/>
      <c r="R177" s="55"/>
      <c r="S177" s="55"/>
      <c r="T177" s="55"/>
    </row>
    <row r="178" spans="1:20" ht="15" customHeight="1">
      <c r="A178" s="52" t="s">
        <v>942</v>
      </c>
      <c r="B178" s="52" t="s">
        <v>943</v>
      </c>
      <c r="C178" s="52" t="s">
        <v>95</v>
      </c>
      <c r="D178" s="53">
        <v>938</v>
      </c>
      <c r="E178" s="53">
        <v>1400</v>
      </c>
      <c r="F178" s="66">
        <v>2</v>
      </c>
      <c r="G178" s="66">
        <v>0</v>
      </c>
      <c r="H178" s="65">
        <f t="shared" si="11"/>
        <v>2</v>
      </c>
      <c r="I178" s="65">
        <f>IF(D178&lt;&gt;"",D178,IFERROR(E178/(IFERROR(SUM(Sales!C:C),0))*(IFERROR(SUM(Purchases!C:C),0)),0))</f>
        <v>938</v>
      </c>
      <c r="J178" s="65">
        <f t="shared" si="9"/>
        <v>1876</v>
      </c>
      <c r="K178" s="65">
        <f t="shared" si="10"/>
        <v>0</v>
      </c>
      <c r="L178" s="52" t="s">
        <v>944</v>
      </c>
      <c r="M178" s="52"/>
      <c r="N178" s="52" t="s">
        <v>504</v>
      </c>
      <c r="O178" s="52"/>
      <c r="P178" s="52" t="s">
        <v>945</v>
      </c>
      <c r="Q178" s="52"/>
      <c r="R178" s="52"/>
      <c r="S178" s="52"/>
      <c r="T178" s="52"/>
    </row>
    <row r="179" spans="1:20" ht="30" customHeight="1">
      <c r="A179" s="55" t="s">
        <v>946</v>
      </c>
      <c r="B179" s="55" t="s">
        <v>947</v>
      </c>
      <c r="C179" s="55" t="s">
        <v>95</v>
      </c>
      <c r="D179" s="56">
        <v>919</v>
      </c>
      <c r="E179" s="56">
        <v>1350</v>
      </c>
      <c r="F179" s="64">
        <v>3</v>
      </c>
      <c r="G179" s="64">
        <v>0</v>
      </c>
      <c r="H179" s="63">
        <f t="shared" si="11"/>
        <v>3</v>
      </c>
      <c r="I179" s="63">
        <f>IF(D179&lt;&gt;"",D179,IFERROR(E179/(IFERROR(SUM(Sales!C:C),0))*(IFERROR(SUM(Purchases!C:C),0)),0))</f>
        <v>919</v>
      </c>
      <c r="J179" s="63">
        <f t="shared" si="9"/>
        <v>2757</v>
      </c>
      <c r="K179" s="63">
        <f t="shared" si="10"/>
        <v>0</v>
      </c>
      <c r="L179" s="55" t="s">
        <v>948</v>
      </c>
      <c r="M179" s="55"/>
      <c r="N179" s="55" t="s">
        <v>504</v>
      </c>
      <c r="O179" s="55"/>
      <c r="P179" s="55" t="s">
        <v>949</v>
      </c>
      <c r="Q179" s="55"/>
      <c r="R179" s="55"/>
      <c r="S179" s="55"/>
      <c r="T179" s="55"/>
    </row>
    <row r="180" spans="1:20" ht="33.75" customHeight="1">
      <c r="A180" s="52" t="s">
        <v>950</v>
      </c>
      <c r="B180" s="52" t="s">
        <v>951</v>
      </c>
      <c r="C180" s="52" t="s">
        <v>95</v>
      </c>
      <c r="D180" s="53">
        <v>919</v>
      </c>
      <c r="E180" s="53">
        <v>1380</v>
      </c>
      <c r="F180" s="66">
        <v>3</v>
      </c>
      <c r="G180" s="66">
        <v>0</v>
      </c>
      <c r="H180" s="65">
        <f t="shared" si="11"/>
        <v>3</v>
      </c>
      <c r="I180" s="65">
        <f>IF(D180&lt;&gt;"",D180,IFERROR(E180/(IFERROR(SUM(Sales!C:C),0))*(IFERROR(SUM(Purchases!C:C),0)),0))</f>
        <v>919</v>
      </c>
      <c r="J180" s="65">
        <f t="shared" si="9"/>
        <v>2757</v>
      </c>
      <c r="K180" s="65">
        <f t="shared" si="10"/>
        <v>0</v>
      </c>
      <c r="L180" s="52" t="s">
        <v>952</v>
      </c>
      <c r="M180" s="52"/>
      <c r="N180" s="52" t="s">
        <v>504</v>
      </c>
      <c r="O180" s="52"/>
      <c r="P180" s="52"/>
      <c r="Q180" s="52"/>
      <c r="R180" s="52"/>
      <c r="S180" s="52"/>
      <c r="T180" s="52"/>
    </row>
    <row r="181" spans="1:20" ht="15" customHeight="1">
      <c r="A181" s="55" t="s">
        <v>953</v>
      </c>
      <c r="B181" s="55" t="s">
        <v>954</v>
      </c>
      <c r="C181" s="55" t="s">
        <v>96</v>
      </c>
      <c r="D181" s="56">
        <v>1019</v>
      </c>
      <c r="E181" s="56">
        <v>1499</v>
      </c>
      <c r="F181" s="64">
        <v>1</v>
      </c>
      <c r="G181" s="64">
        <v>3</v>
      </c>
      <c r="H181" s="63">
        <f t="shared" si="11"/>
        <v>4</v>
      </c>
      <c r="I181" s="63">
        <f>IF(D181&lt;&gt;"",D181,IFERROR(E181/(IFERROR(SUM(Sales!C:C),0))*(IFERROR(SUM(Purchases!C:C),0)),0))</f>
        <v>1019</v>
      </c>
      <c r="J181" s="63">
        <f t="shared" si="9"/>
        <v>1019</v>
      </c>
      <c r="K181" s="63">
        <f t="shared" si="10"/>
        <v>3057</v>
      </c>
      <c r="L181" s="55" t="s">
        <v>1110</v>
      </c>
      <c r="M181" s="55"/>
      <c r="N181" s="55" t="s">
        <v>589</v>
      </c>
      <c r="O181" s="55" t="s">
        <v>1111</v>
      </c>
      <c r="P181" s="55" t="s">
        <v>955</v>
      </c>
      <c r="Q181" s="55"/>
      <c r="R181" s="55"/>
      <c r="S181" s="55"/>
      <c r="T181" s="55"/>
    </row>
    <row r="182" spans="1:20" ht="15" customHeight="1">
      <c r="A182" s="52" t="s">
        <v>956</v>
      </c>
      <c r="B182" s="52" t="s">
        <v>957</v>
      </c>
      <c r="C182" s="52" t="s">
        <v>95</v>
      </c>
      <c r="D182" s="53">
        <v>730</v>
      </c>
      <c r="E182" s="53">
        <v>1100</v>
      </c>
      <c r="F182" s="66">
        <v>0</v>
      </c>
      <c r="G182" s="66">
        <v>3</v>
      </c>
      <c r="H182" s="65">
        <f t="shared" si="11"/>
        <v>3</v>
      </c>
      <c r="I182" s="65">
        <f>IF(D182&lt;&gt;"",D182,IFERROR(E182/(IFERROR(SUM(Sales!C:C),0))*(IFERROR(SUM(Purchases!C:C),0)),0))</f>
        <v>730</v>
      </c>
      <c r="J182" s="65">
        <f t="shared" si="9"/>
        <v>0</v>
      </c>
      <c r="K182" s="65">
        <f t="shared" si="10"/>
        <v>2190</v>
      </c>
      <c r="L182" s="52"/>
      <c r="M182" s="52"/>
      <c r="N182" s="52" t="s">
        <v>678</v>
      </c>
      <c r="O182" s="52"/>
      <c r="P182" s="52" t="s">
        <v>958</v>
      </c>
      <c r="Q182" s="52"/>
      <c r="R182" s="52"/>
      <c r="S182" s="52"/>
      <c r="T182" s="52"/>
    </row>
    <row r="183" spans="1:20" ht="15" customHeight="1">
      <c r="A183" s="55" t="s">
        <v>959</v>
      </c>
      <c r="B183" s="55" t="s">
        <v>960</v>
      </c>
      <c r="C183" s="55" t="s">
        <v>95</v>
      </c>
      <c r="D183" s="56">
        <v>419</v>
      </c>
      <c r="E183" s="56">
        <v>699</v>
      </c>
      <c r="F183" s="64">
        <v>4</v>
      </c>
      <c r="G183" s="64">
        <v>4</v>
      </c>
      <c r="H183" s="63">
        <v>0</v>
      </c>
      <c r="I183" s="63">
        <f>IF(D183&lt;&gt;"",D183,IFERROR(E183/(IFERROR(SUM(Sales!C:C),0))*(IFERROR(SUM(Purchases!C:C),0)),0))</f>
        <v>419</v>
      </c>
      <c r="J183" s="63">
        <f t="shared" si="9"/>
        <v>1676</v>
      </c>
      <c r="K183" s="63">
        <f t="shared" si="10"/>
        <v>1676</v>
      </c>
      <c r="L183" s="55" t="s">
        <v>1196</v>
      </c>
      <c r="M183" s="55"/>
      <c r="N183" s="55" t="s">
        <v>589</v>
      </c>
      <c r="O183" s="55"/>
      <c r="P183" s="55"/>
      <c r="Q183" s="55"/>
      <c r="R183" s="55"/>
      <c r="S183" s="55"/>
      <c r="T183" s="55"/>
    </row>
    <row r="184" spans="1:20" ht="52" customHeight="1">
      <c r="A184" s="52" t="s">
        <v>961</v>
      </c>
      <c r="B184" s="52" t="s">
        <v>962</v>
      </c>
      <c r="C184" s="52" t="s">
        <v>95</v>
      </c>
      <c r="D184" s="53">
        <v>891</v>
      </c>
      <c r="E184" s="53">
        <v>1380</v>
      </c>
      <c r="F184" s="66">
        <v>19</v>
      </c>
      <c r="G184" s="66">
        <v>1</v>
      </c>
      <c r="H184" s="65">
        <f t="shared" ref="H184:H226" si="12">F184+IF(LEN(G184)=0,0,G184)</f>
        <v>20</v>
      </c>
      <c r="I184" s="65">
        <f>IF(D184&lt;&gt;"",D184,IFERROR(E184/(IFERROR(SUM(Sales!C:C),0))*(IFERROR(SUM(Purchases!C:C),0)),0))</f>
        <v>891</v>
      </c>
      <c r="J184" s="65">
        <f t="shared" si="9"/>
        <v>16929</v>
      </c>
      <c r="K184" s="65">
        <f t="shared" si="10"/>
        <v>891</v>
      </c>
      <c r="L184" s="52" t="s">
        <v>1143</v>
      </c>
      <c r="M184" s="52"/>
      <c r="N184" s="52" t="s">
        <v>589</v>
      </c>
      <c r="O184" s="52"/>
      <c r="P184" s="52"/>
      <c r="Q184" s="52"/>
      <c r="R184" s="52"/>
      <c r="S184" s="52"/>
      <c r="T184" s="52"/>
    </row>
    <row r="185" spans="1:20" ht="15" customHeight="1">
      <c r="A185" s="55" t="s">
        <v>963</v>
      </c>
      <c r="B185" s="55" t="s">
        <v>964</v>
      </c>
      <c r="C185" s="55" t="s">
        <v>95</v>
      </c>
      <c r="D185" s="56">
        <v>891</v>
      </c>
      <c r="E185" s="56">
        <v>1380</v>
      </c>
      <c r="F185" s="64">
        <v>5</v>
      </c>
      <c r="G185" s="64">
        <v>0</v>
      </c>
      <c r="H185" s="63">
        <f t="shared" si="12"/>
        <v>5</v>
      </c>
      <c r="I185" s="63">
        <f>IF(D185&lt;&gt;"",D185,IFERROR(E185/(IFERROR(SUM(Sales!C:C),0))*(IFERROR(SUM(Purchases!C:C),0)),0))</f>
        <v>891</v>
      </c>
      <c r="J185" s="63">
        <f t="shared" si="9"/>
        <v>4455</v>
      </c>
      <c r="K185" s="63">
        <f t="shared" si="10"/>
        <v>0</v>
      </c>
      <c r="L185" s="55" t="s">
        <v>965</v>
      </c>
      <c r="M185" s="55"/>
      <c r="N185" s="55" t="s">
        <v>504</v>
      </c>
      <c r="O185" s="55"/>
      <c r="P185" s="55"/>
      <c r="Q185" s="55"/>
      <c r="R185" s="55"/>
      <c r="S185" s="55"/>
      <c r="T185" s="55"/>
    </row>
    <row r="186" spans="1:20" ht="15" customHeight="1">
      <c r="A186" s="52" t="s">
        <v>966</v>
      </c>
      <c r="B186" s="52" t="s">
        <v>790</v>
      </c>
      <c r="C186" s="52" t="s">
        <v>95</v>
      </c>
      <c r="D186" s="53">
        <v>891</v>
      </c>
      <c r="E186" s="53">
        <v>1380</v>
      </c>
      <c r="F186" s="66">
        <v>0</v>
      </c>
      <c r="G186" s="66">
        <v>2</v>
      </c>
      <c r="H186" s="65">
        <f t="shared" si="12"/>
        <v>2</v>
      </c>
      <c r="I186" s="65">
        <f>IF(D186&lt;&gt;"",D186,IFERROR(E186/(IFERROR(SUM(Sales!C:C),0))*(IFERROR(SUM(Purchases!C:C),0)),0))</f>
        <v>891</v>
      </c>
      <c r="J186" s="65">
        <f t="shared" si="9"/>
        <v>0</v>
      </c>
      <c r="K186" s="65">
        <f t="shared" si="10"/>
        <v>1782</v>
      </c>
      <c r="L186" s="52"/>
      <c r="M186" s="52"/>
      <c r="N186" s="52" t="s">
        <v>678</v>
      </c>
      <c r="O186" s="52"/>
      <c r="P186" s="52"/>
      <c r="Q186" s="52"/>
      <c r="R186" s="52"/>
      <c r="S186" s="52"/>
      <c r="T186" s="52"/>
    </row>
    <row r="187" spans="1:20" ht="15" customHeight="1">
      <c r="A187" s="55" t="s">
        <v>967</v>
      </c>
      <c r="B187" s="55" t="s">
        <v>968</v>
      </c>
      <c r="C187" s="55" t="s">
        <v>95</v>
      </c>
      <c r="D187" s="56">
        <v>891</v>
      </c>
      <c r="E187" s="56">
        <v>1380</v>
      </c>
      <c r="F187" s="64">
        <v>0</v>
      </c>
      <c r="G187" s="64">
        <v>2</v>
      </c>
      <c r="H187" s="63">
        <f t="shared" si="12"/>
        <v>2</v>
      </c>
      <c r="I187" s="63">
        <f>IF(D187&lt;&gt;"",D187,IFERROR(E187/(IFERROR(SUM(Sales!C:C),0))*(IFERROR(SUM(Purchases!C:C),0)),0))</f>
        <v>891</v>
      </c>
      <c r="J187" s="63">
        <f t="shared" si="9"/>
        <v>0</v>
      </c>
      <c r="K187" s="63">
        <f t="shared" si="10"/>
        <v>1782</v>
      </c>
      <c r="L187" s="55"/>
      <c r="M187" s="55"/>
      <c r="N187" s="55" t="s">
        <v>678</v>
      </c>
      <c r="O187" s="55"/>
      <c r="P187" s="55"/>
      <c r="Q187" s="55"/>
      <c r="R187" s="55"/>
      <c r="S187" s="55"/>
      <c r="T187" s="55"/>
    </row>
    <row r="188" spans="1:20" ht="15" customHeight="1">
      <c r="A188" s="52" t="s">
        <v>969</v>
      </c>
      <c r="B188" s="52" t="s">
        <v>970</v>
      </c>
      <c r="C188" s="52" t="s">
        <v>95</v>
      </c>
      <c r="D188" s="53">
        <v>891</v>
      </c>
      <c r="E188" s="53">
        <v>1380</v>
      </c>
      <c r="F188" s="66">
        <v>2</v>
      </c>
      <c r="G188" s="66">
        <v>0</v>
      </c>
      <c r="H188" s="65">
        <f t="shared" si="12"/>
        <v>2</v>
      </c>
      <c r="I188" s="65">
        <f>IF(D188&lt;&gt;"",D188,IFERROR(E188/(IFERROR(SUM(Sales!C:C),0))*(IFERROR(SUM(Purchases!C:C),0)),0))</f>
        <v>891</v>
      </c>
      <c r="J188" s="65">
        <f t="shared" si="9"/>
        <v>1782</v>
      </c>
      <c r="K188" s="65">
        <f t="shared" si="10"/>
        <v>0</v>
      </c>
      <c r="L188" s="52" t="s">
        <v>1134</v>
      </c>
      <c r="M188" s="52"/>
      <c r="N188" s="52" t="s">
        <v>504</v>
      </c>
      <c r="O188" s="52"/>
      <c r="P188" s="52"/>
      <c r="Q188" s="52"/>
      <c r="R188" s="52"/>
      <c r="S188" s="52"/>
      <c r="T188" s="52"/>
    </row>
    <row r="189" spans="1:20" ht="52" customHeight="1">
      <c r="A189" s="55" t="s">
        <v>971</v>
      </c>
      <c r="B189" s="52" t="s">
        <v>972</v>
      </c>
      <c r="C189" s="52" t="s">
        <v>95</v>
      </c>
      <c r="D189" s="53">
        <v>891</v>
      </c>
      <c r="E189" s="53">
        <v>1380</v>
      </c>
      <c r="F189" s="64">
        <v>6</v>
      </c>
      <c r="G189" s="64">
        <v>2</v>
      </c>
      <c r="H189" s="63">
        <f t="shared" si="12"/>
        <v>8</v>
      </c>
      <c r="I189" s="63">
        <f>IF(D189&lt;&gt;"",D189,IFERROR(E189/(IFERROR(SUM(Sales!C:C),0))*(IFERROR(SUM(Purchases!C:C),0)),0))</f>
        <v>891</v>
      </c>
      <c r="J189" s="63">
        <f t="shared" si="9"/>
        <v>5346</v>
      </c>
      <c r="K189" s="63">
        <f t="shared" si="10"/>
        <v>1782</v>
      </c>
      <c r="L189" s="55" t="s">
        <v>1144</v>
      </c>
      <c r="M189" s="55"/>
      <c r="N189" s="55" t="s">
        <v>589</v>
      </c>
      <c r="O189" s="55"/>
      <c r="P189" s="55" t="s">
        <v>1145</v>
      </c>
      <c r="Q189" s="55"/>
      <c r="R189" s="55"/>
      <c r="S189" s="55"/>
      <c r="T189" s="55"/>
    </row>
    <row r="190" spans="1:20" ht="15" customHeight="1">
      <c r="A190" s="52" t="s">
        <v>973</v>
      </c>
      <c r="B190" s="55" t="s">
        <v>974</v>
      </c>
      <c r="C190" s="55" t="s">
        <v>95</v>
      </c>
      <c r="D190" s="56">
        <v>891</v>
      </c>
      <c r="E190" s="56">
        <v>1380</v>
      </c>
      <c r="F190" s="66">
        <v>3</v>
      </c>
      <c r="G190" s="66">
        <v>0</v>
      </c>
      <c r="H190" s="65">
        <f t="shared" si="12"/>
        <v>3</v>
      </c>
      <c r="I190" s="65">
        <f>IF(D190&lt;&gt;"",D190,IFERROR(E190/(IFERROR(SUM(Sales!C:C),0))*(IFERROR(SUM(Purchases!C:C),0)),0))</f>
        <v>891</v>
      </c>
      <c r="J190" s="65">
        <f t="shared" si="9"/>
        <v>2673</v>
      </c>
      <c r="K190" s="65">
        <f t="shared" si="10"/>
        <v>0</v>
      </c>
      <c r="L190" s="52" t="s">
        <v>1187</v>
      </c>
      <c r="M190" s="52"/>
      <c r="N190" s="47" t="s">
        <v>504</v>
      </c>
      <c r="S190" s="47"/>
      <c r="T190" s="47"/>
    </row>
    <row r="191" spans="1:20" ht="30" customHeight="1">
      <c r="A191" s="55" t="s">
        <v>975</v>
      </c>
      <c r="B191" s="52" t="s">
        <v>976</v>
      </c>
      <c r="C191" s="52" t="s">
        <v>95</v>
      </c>
      <c r="D191" s="53">
        <v>773</v>
      </c>
      <c r="E191" s="53">
        <v>1100</v>
      </c>
      <c r="F191" s="64">
        <v>0</v>
      </c>
      <c r="G191" s="64">
        <v>4</v>
      </c>
      <c r="H191" s="63">
        <f t="shared" si="12"/>
        <v>4</v>
      </c>
      <c r="I191" s="63">
        <f>IF(D191&lt;&gt;"",D191,IFERROR(E191/(IFERROR(SUM(Sales!C:C),0))*(IFERROR(SUM(Purchases!C:C),0)),0))</f>
        <v>773</v>
      </c>
      <c r="J191" s="63">
        <f t="shared" si="9"/>
        <v>0</v>
      </c>
      <c r="K191" s="63">
        <f t="shared" si="10"/>
        <v>3092</v>
      </c>
      <c r="L191" s="55"/>
      <c r="M191" s="55"/>
      <c r="N191" s="47" t="s">
        <v>678</v>
      </c>
      <c r="P191" s="47" t="s">
        <v>977</v>
      </c>
      <c r="S191" s="47"/>
      <c r="T191" s="47"/>
    </row>
    <row r="192" spans="1:20" ht="15" customHeight="1">
      <c r="A192" s="52" t="s">
        <v>978</v>
      </c>
      <c r="B192" s="55" t="s">
        <v>979</v>
      </c>
      <c r="C192" s="55" t="s">
        <v>95</v>
      </c>
      <c r="D192" s="56">
        <v>808</v>
      </c>
      <c r="E192" s="56">
        <v>1250</v>
      </c>
      <c r="F192" s="66">
        <v>1</v>
      </c>
      <c r="G192" s="66">
        <v>2</v>
      </c>
      <c r="H192" s="65">
        <f t="shared" si="12"/>
        <v>3</v>
      </c>
      <c r="I192" s="65">
        <f>IF(D192&lt;&gt;"",D192,IFERROR(E192/(IFERROR(SUM(Sales!C:C),0))*(IFERROR(SUM(Purchases!C:C),0)),0))</f>
        <v>808</v>
      </c>
      <c r="J192" s="65">
        <f t="shared" si="9"/>
        <v>808</v>
      </c>
      <c r="K192" s="65">
        <f t="shared" si="10"/>
        <v>1616</v>
      </c>
      <c r="L192" s="52" t="s">
        <v>1086</v>
      </c>
      <c r="M192" s="52"/>
      <c r="N192" s="47" t="s">
        <v>589</v>
      </c>
      <c r="P192" s="47" t="s">
        <v>1087</v>
      </c>
      <c r="S192" s="47"/>
      <c r="T192" s="47"/>
    </row>
    <row r="193" spans="1:20" ht="15" customHeight="1">
      <c r="A193" s="55" t="s">
        <v>980</v>
      </c>
      <c r="B193" s="52" t="s">
        <v>981</v>
      </c>
      <c r="C193" s="52" t="s">
        <v>95</v>
      </c>
      <c r="D193" s="53">
        <v>1024</v>
      </c>
      <c r="E193" s="53">
        <v>1550</v>
      </c>
      <c r="F193" s="64">
        <v>0</v>
      </c>
      <c r="G193" s="64">
        <v>1</v>
      </c>
      <c r="H193" s="63">
        <f t="shared" si="12"/>
        <v>1</v>
      </c>
      <c r="I193" s="63">
        <f>IF(D193&lt;&gt;"",D193,IFERROR(E193/(IFERROR(SUM(Sales!C:C),0))*(IFERROR(SUM(Purchases!C:C),0)),0))</f>
        <v>1024</v>
      </c>
      <c r="J193" s="63">
        <f t="shared" si="9"/>
        <v>0</v>
      </c>
      <c r="K193" s="63">
        <f t="shared" si="10"/>
        <v>1024</v>
      </c>
      <c r="L193" s="55"/>
      <c r="M193" s="55"/>
      <c r="N193" s="47" t="s">
        <v>678</v>
      </c>
      <c r="P193" s="47" t="s">
        <v>982</v>
      </c>
      <c r="S193" s="47"/>
      <c r="T193" s="47"/>
    </row>
    <row r="194" spans="1:20" ht="15" customHeight="1">
      <c r="A194" s="52" t="s">
        <v>983</v>
      </c>
      <c r="B194" s="52" t="s">
        <v>984</v>
      </c>
      <c r="C194" s="52" t="s">
        <v>95</v>
      </c>
      <c r="D194" s="53">
        <v>790</v>
      </c>
      <c r="E194" s="53">
        <v>1250</v>
      </c>
      <c r="F194" s="66">
        <v>0</v>
      </c>
      <c r="G194" s="66">
        <v>3</v>
      </c>
      <c r="H194" s="65">
        <f t="shared" si="12"/>
        <v>3</v>
      </c>
      <c r="I194" s="65">
        <f>IF(D194&lt;&gt;"",D194,IFERROR(E194/(IFERROR(SUM(Sales!C:C),0))*(IFERROR(SUM(Purchases!C:C),0)),0))</f>
        <v>790</v>
      </c>
      <c r="J194" s="65">
        <f t="shared" ref="J194:J226" si="13">F194*I194</f>
        <v>0</v>
      </c>
      <c r="K194" s="65">
        <f t="shared" ref="K194:K226" si="14">IF(LEN(G194)=0,0,G194)*I194</f>
        <v>2370</v>
      </c>
      <c r="L194" s="52"/>
      <c r="M194" s="52"/>
      <c r="N194" s="47" t="s">
        <v>678</v>
      </c>
      <c r="P194" s="47" t="s">
        <v>985</v>
      </c>
      <c r="S194" s="47"/>
      <c r="T194" s="47"/>
    </row>
    <row r="195" spans="1:20" ht="15" customHeight="1">
      <c r="A195" s="55" t="s">
        <v>986</v>
      </c>
      <c r="B195" s="55" t="s">
        <v>987</v>
      </c>
      <c r="C195" s="55" t="s">
        <v>95</v>
      </c>
      <c r="D195" s="56">
        <v>781</v>
      </c>
      <c r="E195" s="56">
        <v>1250</v>
      </c>
      <c r="F195" s="64">
        <v>1</v>
      </c>
      <c r="G195" s="64">
        <v>7</v>
      </c>
      <c r="H195" s="63">
        <f t="shared" si="12"/>
        <v>8</v>
      </c>
      <c r="I195" s="63">
        <f>IF(D195&lt;&gt;"",D195,IFERROR(E195/(IFERROR(SUM(Sales!C:C),0))*(IFERROR(SUM(Purchases!C:C),0)),0))</f>
        <v>781</v>
      </c>
      <c r="J195" s="63">
        <f t="shared" si="13"/>
        <v>781</v>
      </c>
      <c r="K195" s="63">
        <f t="shared" si="14"/>
        <v>5467</v>
      </c>
      <c r="L195" s="55" t="s">
        <v>988</v>
      </c>
      <c r="M195" s="55"/>
      <c r="N195" s="47" t="s">
        <v>589</v>
      </c>
      <c r="P195" s="47" t="s">
        <v>989</v>
      </c>
      <c r="S195" s="47"/>
      <c r="T195" s="47"/>
    </row>
    <row r="196" spans="1:20" ht="15" customHeight="1">
      <c r="A196" s="52" t="s">
        <v>990</v>
      </c>
      <c r="B196" s="52" t="s">
        <v>991</v>
      </c>
      <c r="C196" s="52" t="s">
        <v>95</v>
      </c>
      <c r="D196" s="53">
        <v>797</v>
      </c>
      <c r="E196" s="53">
        <v>1250</v>
      </c>
      <c r="F196" s="66">
        <v>2</v>
      </c>
      <c r="G196" s="66">
        <v>5</v>
      </c>
      <c r="H196" s="65">
        <f t="shared" si="12"/>
        <v>7</v>
      </c>
      <c r="I196" s="65">
        <f>IF(D196&lt;&gt;"",D196,IFERROR(E196/(IFERROR(SUM(Sales!C:C),0))*(IFERROR(SUM(Purchases!C:C),0)),0))</f>
        <v>797</v>
      </c>
      <c r="J196" s="65">
        <f t="shared" si="13"/>
        <v>1594</v>
      </c>
      <c r="K196" s="65">
        <f t="shared" si="14"/>
        <v>3985</v>
      </c>
      <c r="L196" s="52" t="s">
        <v>1154</v>
      </c>
      <c r="M196" s="52"/>
      <c r="N196" s="47" t="s">
        <v>589</v>
      </c>
      <c r="P196" s="47" t="s">
        <v>1155</v>
      </c>
      <c r="S196" s="47"/>
      <c r="T196" s="47"/>
    </row>
    <row r="197" spans="1:20" ht="15" customHeight="1">
      <c r="A197" s="55" t="s">
        <v>992</v>
      </c>
      <c r="B197" s="55" t="s">
        <v>993</v>
      </c>
      <c r="C197" s="55" t="s">
        <v>95</v>
      </c>
      <c r="D197" s="56">
        <v>772</v>
      </c>
      <c r="E197" s="56">
        <v>1250</v>
      </c>
      <c r="F197" s="64">
        <v>0</v>
      </c>
      <c r="G197" s="64">
        <v>4</v>
      </c>
      <c r="H197" s="63">
        <f t="shared" si="12"/>
        <v>4</v>
      </c>
      <c r="I197" s="63">
        <f>IF(D197&lt;&gt;"",D197,IFERROR(E197/(IFERROR(SUM(Sales!C:C),0))*(IFERROR(SUM(Purchases!C:C),0)),0))</f>
        <v>772</v>
      </c>
      <c r="J197" s="63">
        <f t="shared" si="13"/>
        <v>0</v>
      </c>
      <c r="K197" s="63">
        <f t="shared" si="14"/>
        <v>3088</v>
      </c>
      <c r="L197" s="55"/>
      <c r="M197" s="55"/>
      <c r="N197" s="47" t="s">
        <v>678</v>
      </c>
      <c r="P197" s="47" t="s">
        <v>994</v>
      </c>
      <c r="S197" s="47"/>
      <c r="T197" s="47"/>
    </row>
    <row r="198" spans="1:20" ht="15" customHeight="1">
      <c r="A198" s="52" t="s">
        <v>995</v>
      </c>
      <c r="B198" s="52" t="s">
        <v>996</v>
      </c>
      <c r="C198" s="52" t="s">
        <v>95</v>
      </c>
      <c r="D198" s="53">
        <v>772</v>
      </c>
      <c r="E198" s="53">
        <v>1250</v>
      </c>
      <c r="F198" s="66">
        <v>0</v>
      </c>
      <c r="G198" s="66">
        <v>1</v>
      </c>
      <c r="H198" s="65">
        <f t="shared" si="12"/>
        <v>1</v>
      </c>
      <c r="I198" s="65">
        <f>IF(D198&lt;&gt;"",D198,IFERROR(E198/(IFERROR(SUM(Sales!C:C),0))*(IFERROR(SUM(Purchases!C:C),0)),0))</f>
        <v>772</v>
      </c>
      <c r="J198" s="65">
        <f t="shared" si="13"/>
        <v>0</v>
      </c>
      <c r="K198" s="65">
        <f t="shared" si="14"/>
        <v>772</v>
      </c>
      <c r="L198" s="52"/>
      <c r="M198" s="52"/>
      <c r="N198" s="47" t="s">
        <v>678</v>
      </c>
      <c r="P198" s="47" t="s">
        <v>997</v>
      </c>
      <c r="S198" s="47"/>
      <c r="T198" s="47"/>
    </row>
    <row r="199" spans="1:20" ht="15" customHeight="1">
      <c r="A199" s="55" t="s">
        <v>998</v>
      </c>
      <c r="B199" s="52" t="s">
        <v>999</v>
      </c>
      <c r="C199" s="52" t="s">
        <v>95</v>
      </c>
      <c r="D199" s="53">
        <v>467</v>
      </c>
      <c r="E199" s="53">
        <v>850</v>
      </c>
      <c r="F199" s="64">
        <v>1</v>
      </c>
      <c r="G199" s="64">
        <v>3</v>
      </c>
      <c r="H199" s="63">
        <f t="shared" si="12"/>
        <v>4</v>
      </c>
      <c r="I199" s="63">
        <f>IF(D199&lt;&gt;"",D199,IFERROR(E199/(IFERROR(SUM(Sales!C:C),0))*(IFERROR(SUM(Purchases!C:C),0)),0))</f>
        <v>467</v>
      </c>
      <c r="J199" s="63">
        <f t="shared" si="13"/>
        <v>467</v>
      </c>
      <c r="K199" s="63">
        <f t="shared" si="14"/>
        <v>1401</v>
      </c>
      <c r="L199" s="55" t="s">
        <v>1205</v>
      </c>
      <c r="M199" s="55"/>
      <c r="N199" s="47" t="s">
        <v>589</v>
      </c>
      <c r="P199" s="47" t="s">
        <v>1206</v>
      </c>
      <c r="S199" s="47"/>
      <c r="T199" s="47"/>
    </row>
    <row r="200" spans="1:20" ht="30" customHeight="1">
      <c r="A200" s="52" t="s">
        <v>1000</v>
      </c>
      <c r="B200" s="55" t="s">
        <v>1001</v>
      </c>
      <c r="C200" s="55" t="s">
        <v>95</v>
      </c>
      <c r="D200" s="56">
        <v>866</v>
      </c>
      <c r="E200" s="56">
        <v>1350</v>
      </c>
      <c r="F200" s="66">
        <v>2</v>
      </c>
      <c r="G200" s="66">
        <v>3</v>
      </c>
      <c r="H200" s="65">
        <f t="shared" si="12"/>
        <v>5</v>
      </c>
      <c r="I200" s="65">
        <f>IF(D200&lt;&gt;"",D200,IFERROR(E200/(IFERROR(SUM(Sales!C:C),0))*(IFERROR(SUM(Purchases!C:C),0)),0))</f>
        <v>866</v>
      </c>
      <c r="J200" s="65">
        <f t="shared" si="13"/>
        <v>1732</v>
      </c>
      <c r="K200" s="65">
        <f t="shared" si="14"/>
        <v>2598</v>
      </c>
      <c r="L200" s="52" t="s">
        <v>1090</v>
      </c>
      <c r="M200" s="52"/>
      <c r="N200" s="47" t="s">
        <v>589</v>
      </c>
      <c r="P200" s="47" t="s">
        <v>1091</v>
      </c>
      <c r="S200" s="47"/>
      <c r="T200" s="47"/>
    </row>
    <row r="201" spans="1:20" ht="15" customHeight="1">
      <c r="A201" s="55" t="s">
        <v>1002</v>
      </c>
      <c r="B201" s="52" t="s">
        <v>1003</v>
      </c>
      <c r="C201" s="52" t="s">
        <v>95</v>
      </c>
      <c r="D201" s="53">
        <v>724</v>
      </c>
      <c r="E201" s="53">
        <v>1250</v>
      </c>
      <c r="F201" s="64">
        <v>1</v>
      </c>
      <c r="G201" s="64">
        <v>1</v>
      </c>
      <c r="H201" s="63">
        <f t="shared" si="12"/>
        <v>2</v>
      </c>
      <c r="I201" s="63">
        <f>IF(D201&lt;&gt;"",D201,IFERROR(E201/(IFERROR(SUM(Sales!C:C),0))*(IFERROR(SUM(Purchases!C:C),0)),0))</f>
        <v>724</v>
      </c>
      <c r="J201" s="63">
        <f t="shared" si="13"/>
        <v>724</v>
      </c>
      <c r="K201" s="63">
        <f t="shared" si="14"/>
        <v>724</v>
      </c>
      <c r="L201" s="55" t="s">
        <v>1004</v>
      </c>
      <c r="M201" s="55"/>
      <c r="N201" s="47" t="s">
        <v>589</v>
      </c>
      <c r="P201" s="47" t="s">
        <v>1005</v>
      </c>
      <c r="S201" s="47"/>
      <c r="T201" s="47"/>
    </row>
    <row r="202" spans="1:20" ht="15" customHeight="1">
      <c r="A202" s="52" t="s">
        <v>1006</v>
      </c>
      <c r="B202" s="55" t="s">
        <v>1007</v>
      </c>
      <c r="C202" s="55" t="s">
        <v>95</v>
      </c>
      <c r="D202" s="56">
        <v>940</v>
      </c>
      <c r="E202" s="56">
        <v>1500</v>
      </c>
      <c r="F202" s="66">
        <v>5</v>
      </c>
      <c r="G202" s="66">
        <v>1</v>
      </c>
      <c r="H202" s="65">
        <f t="shared" si="12"/>
        <v>6</v>
      </c>
      <c r="I202" s="65">
        <f>IF(D202&lt;&gt;"",D202,IFERROR(E202/(IFERROR(SUM(Sales!C:C),0))*(IFERROR(SUM(Purchases!C:C),0)),0))</f>
        <v>940</v>
      </c>
      <c r="J202" s="65">
        <f t="shared" si="13"/>
        <v>4700</v>
      </c>
      <c r="K202" s="65">
        <f t="shared" si="14"/>
        <v>940</v>
      </c>
      <c r="L202" s="52" t="s">
        <v>1169</v>
      </c>
      <c r="M202" s="52"/>
      <c r="N202" s="47" t="s">
        <v>589</v>
      </c>
      <c r="P202" s="47" t="s">
        <v>1170</v>
      </c>
      <c r="S202" s="47"/>
      <c r="T202" s="47"/>
    </row>
    <row r="203" spans="1:20" ht="15" customHeight="1">
      <c r="A203" s="55" t="s">
        <v>1008</v>
      </c>
      <c r="B203" s="52" t="s">
        <v>1009</v>
      </c>
      <c r="C203" s="52" t="s">
        <v>95</v>
      </c>
      <c r="D203" s="53">
        <v>488.25</v>
      </c>
      <c r="E203" s="53">
        <v>699</v>
      </c>
      <c r="F203" s="64">
        <v>2</v>
      </c>
      <c r="G203" s="64">
        <v>0</v>
      </c>
      <c r="H203" s="63">
        <f t="shared" si="12"/>
        <v>2</v>
      </c>
      <c r="I203" s="63">
        <f>IF(D203&lt;&gt;"",D203,IFERROR(E203/(IFERROR(SUM(Sales!C:C),0))*(IFERROR(SUM(Purchases!C:C),0)),0))</f>
        <v>488.25</v>
      </c>
      <c r="J203" s="63">
        <f t="shared" si="13"/>
        <v>976.5</v>
      </c>
      <c r="K203" s="63">
        <f t="shared" si="14"/>
        <v>0</v>
      </c>
      <c r="L203" s="55" t="s">
        <v>1010</v>
      </c>
      <c r="M203" s="55"/>
      <c r="N203" s="47" t="s">
        <v>504</v>
      </c>
      <c r="P203" s="47" t="s">
        <v>1011</v>
      </c>
      <c r="S203" s="47"/>
      <c r="T203" s="47"/>
    </row>
    <row r="204" spans="1:20" ht="15" customHeight="1">
      <c r="A204" s="52" t="s">
        <v>1012</v>
      </c>
      <c r="B204" s="52" t="s">
        <v>1013</v>
      </c>
      <c r="C204" s="52" t="s">
        <v>95</v>
      </c>
      <c r="D204" s="53">
        <v>880</v>
      </c>
      <c r="E204" s="53">
        <v>1350</v>
      </c>
      <c r="F204" s="66">
        <v>2</v>
      </c>
      <c r="G204" s="66">
        <v>1</v>
      </c>
      <c r="H204" s="65">
        <f t="shared" si="12"/>
        <v>3</v>
      </c>
      <c r="I204" s="65">
        <f>IF(D204&lt;&gt;"",D204,IFERROR(E204/(IFERROR(SUM(Sales!C:C),0))*(IFERROR(SUM(Purchases!C:C),0)),0))</f>
        <v>880</v>
      </c>
      <c r="J204" s="65">
        <f t="shared" si="13"/>
        <v>1760</v>
      </c>
      <c r="K204" s="65">
        <f t="shared" si="14"/>
        <v>880</v>
      </c>
      <c r="L204" s="52" t="s">
        <v>1121</v>
      </c>
      <c r="M204" s="52"/>
      <c r="N204" s="47" t="s">
        <v>589</v>
      </c>
      <c r="P204" s="47" t="s">
        <v>1120</v>
      </c>
      <c r="S204" s="47"/>
      <c r="T204" s="47"/>
    </row>
    <row r="205" spans="1:20" ht="15" customHeight="1">
      <c r="A205" s="55" t="s">
        <v>1014</v>
      </c>
      <c r="B205" s="55" t="s">
        <v>1015</v>
      </c>
      <c r="C205" s="55" t="s">
        <v>95</v>
      </c>
      <c r="D205" s="56">
        <v>761</v>
      </c>
      <c r="E205" s="56">
        <v>1250</v>
      </c>
      <c r="F205" s="64">
        <v>1</v>
      </c>
      <c r="G205" s="64">
        <v>2</v>
      </c>
      <c r="H205" s="63">
        <f t="shared" si="12"/>
        <v>3</v>
      </c>
      <c r="I205" s="63">
        <f>IF(D205&lt;&gt;"",D205,IFERROR(E205/(IFERROR(SUM(Sales!C:C),0))*(IFERROR(SUM(Purchases!C:C),0)),0))</f>
        <v>761</v>
      </c>
      <c r="J205" s="63">
        <f t="shared" si="13"/>
        <v>761</v>
      </c>
      <c r="K205" s="63">
        <f t="shared" si="14"/>
        <v>1522</v>
      </c>
      <c r="L205" s="55" t="s">
        <v>1016</v>
      </c>
      <c r="M205" s="55"/>
      <c r="N205" s="47" t="s">
        <v>678</v>
      </c>
      <c r="P205" s="47" t="s">
        <v>1017</v>
      </c>
      <c r="S205" s="47"/>
      <c r="T205" s="47"/>
    </row>
    <row r="206" spans="1:20" ht="15" customHeight="1">
      <c r="A206" s="52" t="s">
        <v>1018</v>
      </c>
      <c r="B206" s="52" t="s">
        <v>1019</v>
      </c>
      <c r="C206" s="52" t="s">
        <v>95</v>
      </c>
      <c r="D206" s="53">
        <v>761</v>
      </c>
      <c r="E206" s="53">
        <v>1250</v>
      </c>
      <c r="F206" s="66">
        <v>1</v>
      </c>
      <c r="G206" s="66">
        <v>0</v>
      </c>
      <c r="H206" s="65">
        <f t="shared" si="12"/>
        <v>1</v>
      </c>
      <c r="I206" s="65">
        <f>IF(D206&lt;&gt;"",D206,IFERROR(E206/(IFERROR(SUM(Sales!C:C),0))*(IFERROR(SUM(Purchases!C:C),0)),0))</f>
        <v>761</v>
      </c>
      <c r="J206" s="65">
        <f t="shared" si="13"/>
        <v>761</v>
      </c>
      <c r="K206" s="65">
        <f t="shared" si="14"/>
        <v>0</v>
      </c>
      <c r="L206" s="52" t="s">
        <v>220</v>
      </c>
      <c r="M206" s="52"/>
      <c r="N206" s="47" t="s">
        <v>504</v>
      </c>
      <c r="P206" s="47" t="s">
        <v>1020</v>
      </c>
      <c r="S206" s="47"/>
      <c r="T206" s="47"/>
    </row>
    <row r="207" spans="1:20" ht="15" customHeight="1">
      <c r="A207" s="55" t="s">
        <v>1021</v>
      </c>
      <c r="B207" s="55" t="s">
        <v>1022</v>
      </c>
      <c r="C207" s="55" t="s">
        <v>95</v>
      </c>
      <c r="D207" s="56">
        <v>828</v>
      </c>
      <c r="E207" s="56">
        <v>1250</v>
      </c>
      <c r="F207" s="64">
        <v>1</v>
      </c>
      <c r="G207" s="64">
        <v>4</v>
      </c>
      <c r="H207" s="63">
        <f t="shared" si="12"/>
        <v>5</v>
      </c>
      <c r="I207" s="63">
        <f>IF(D207&lt;&gt;"",D207,IFERROR(E207/(IFERROR(SUM(Sales!C:C),0))*(IFERROR(SUM(Purchases!C:C),0)),0))</f>
        <v>828</v>
      </c>
      <c r="J207" s="63">
        <f t="shared" si="13"/>
        <v>828</v>
      </c>
      <c r="K207" s="63">
        <f t="shared" si="14"/>
        <v>3312</v>
      </c>
      <c r="L207" s="55" t="s">
        <v>1023</v>
      </c>
      <c r="M207" s="55"/>
      <c r="N207" s="47" t="s">
        <v>589</v>
      </c>
      <c r="P207" s="47" t="s">
        <v>1024</v>
      </c>
      <c r="S207" s="47"/>
      <c r="T207" s="47"/>
    </row>
    <row r="208" spans="1:20" ht="30" customHeight="1">
      <c r="A208" s="52" t="s">
        <v>1025</v>
      </c>
      <c r="B208" s="52" t="s">
        <v>1026</v>
      </c>
      <c r="C208" s="52" t="s">
        <v>95</v>
      </c>
      <c r="D208" s="53">
        <v>782</v>
      </c>
      <c r="E208" s="53">
        <v>1250</v>
      </c>
      <c r="F208" s="66">
        <v>0</v>
      </c>
      <c r="G208" s="66">
        <v>4</v>
      </c>
      <c r="H208" s="65">
        <f t="shared" si="12"/>
        <v>4</v>
      </c>
      <c r="I208" s="65">
        <f>IF(D208&lt;&gt;"",D208,IFERROR(E208/(IFERROR(SUM(Sales!C:C),0))*(IFERROR(SUM(Purchases!C:C),0)),0))</f>
        <v>782</v>
      </c>
      <c r="J208" s="65">
        <f t="shared" si="13"/>
        <v>0</v>
      </c>
      <c r="K208" s="65">
        <f t="shared" si="14"/>
        <v>3128</v>
      </c>
      <c r="L208" s="52"/>
      <c r="M208" s="52"/>
      <c r="N208" s="47" t="s">
        <v>678</v>
      </c>
      <c r="P208" s="47" t="s">
        <v>1027</v>
      </c>
      <c r="S208" s="47"/>
      <c r="T208" s="47"/>
    </row>
    <row r="209" spans="1:20" ht="15" customHeight="1">
      <c r="A209" s="55" t="s">
        <v>1028</v>
      </c>
      <c r="B209" s="52" t="s">
        <v>1029</v>
      </c>
      <c r="C209" s="52" t="s">
        <v>95</v>
      </c>
      <c r="D209" s="53">
        <v>982</v>
      </c>
      <c r="E209" s="53">
        <v>1550</v>
      </c>
      <c r="F209" s="64">
        <v>1</v>
      </c>
      <c r="G209" s="64">
        <v>1</v>
      </c>
      <c r="H209" s="63">
        <f t="shared" si="12"/>
        <v>2</v>
      </c>
      <c r="I209" s="63">
        <f>IF(D209&lt;&gt;"",D209,IFERROR(E209/(IFERROR(SUM(Sales!C:C),0))*(IFERROR(SUM(Purchases!C:C),0)),0))</f>
        <v>982</v>
      </c>
      <c r="J209" s="63">
        <f t="shared" si="13"/>
        <v>982</v>
      </c>
      <c r="K209" s="63">
        <f t="shared" si="14"/>
        <v>982</v>
      </c>
      <c r="L209" s="55" t="s">
        <v>1089</v>
      </c>
      <c r="M209" s="55"/>
      <c r="N209" s="47" t="s">
        <v>589</v>
      </c>
      <c r="P209" s="47" t="s">
        <v>1088</v>
      </c>
      <c r="S209" s="47"/>
      <c r="T209" s="47"/>
    </row>
    <row r="210" spans="1:20" ht="15" customHeight="1">
      <c r="A210" s="52" t="s">
        <v>1030</v>
      </c>
      <c r="B210" s="55" t="s">
        <v>1031</v>
      </c>
      <c r="C210" s="55" t="s">
        <v>95</v>
      </c>
      <c r="D210" s="56">
        <v>891</v>
      </c>
      <c r="E210" s="56">
        <v>1350</v>
      </c>
      <c r="F210" s="66">
        <v>0</v>
      </c>
      <c r="G210" s="66">
        <v>1</v>
      </c>
      <c r="H210" s="65">
        <f t="shared" si="12"/>
        <v>1</v>
      </c>
      <c r="I210" s="65">
        <f>IF(D210&lt;&gt;"",D210,IFERROR(E210/(IFERROR(SUM(Sales!C:C),0))*(IFERROR(SUM(Purchases!C:C),0)),0))</f>
        <v>891</v>
      </c>
      <c r="J210" s="65">
        <f t="shared" si="13"/>
        <v>0</v>
      </c>
      <c r="K210" s="65">
        <f t="shared" si="14"/>
        <v>891</v>
      </c>
      <c r="L210" s="52"/>
      <c r="M210" s="52"/>
      <c r="N210" s="47" t="s">
        <v>678</v>
      </c>
      <c r="P210" s="47" t="s">
        <v>1032</v>
      </c>
      <c r="S210" s="47"/>
      <c r="T210" s="47"/>
    </row>
    <row r="211" spans="1:20" ht="15" customHeight="1">
      <c r="A211" s="55" t="s">
        <v>1033</v>
      </c>
      <c r="B211" s="52" t="s">
        <v>901</v>
      </c>
      <c r="C211" s="52" t="s">
        <v>95</v>
      </c>
      <c r="D211" s="53">
        <v>922</v>
      </c>
      <c r="E211" s="53">
        <v>1499</v>
      </c>
      <c r="F211" s="64">
        <v>0</v>
      </c>
      <c r="G211" s="64">
        <v>2</v>
      </c>
      <c r="H211" s="63">
        <f t="shared" si="12"/>
        <v>2</v>
      </c>
      <c r="I211" s="63">
        <f>IF(D211&lt;&gt;"",D211,IFERROR(E211/(IFERROR(SUM(Sales!C:C),0))*(IFERROR(SUM(Purchases!C:C),0)),0))</f>
        <v>922</v>
      </c>
      <c r="J211" s="63">
        <f t="shared" si="13"/>
        <v>0</v>
      </c>
      <c r="K211" s="63">
        <f t="shared" si="14"/>
        <v>1844</v>
      </c>
      <c r="L211" s="55"/>
      <c r="M211" s="55"/>
      <c r="N211" s="47" t="s">
        <v>678</v>
      </c>
      <c r="P211" s="47" t="s">
        <v>1034</v>
      </c>
      <c r="S211" s="47"/>
      <c r="T211" s="47"/>
    </row>
    <row r="212" spans="1:20" ht="15" customHeight="1">
      <c r="A212" s="52" t="s">
        <v>1035</v>
      </c>
      <c r="B212" s="55" t="s">
        <v>1108</v>
      </c>
      <c r="C212" s="55" t="s">
        <v>95</v>
      </c>
      <c r="D212" s="56">
        <v>891.5</v>
      </c>
      <c r="E212" s="56">
        <v>1380</v>
      </c>
      <c r="F212" s="66">
        <v>6</v>
      </c>
      <c r="G212" s="66">
        <v>26</v>
      </c>
      <c r="H212" s="65">
        <f t="shared" si="12"/>
        <v>32</v>
      </c>
      <c r="I212" s="65">
        <f>IF(D212&lt;&gt;"",D212,IFERROR(E212/(IFERROR(SUM(Sales!C:C),0))*(IFERROR(SUM(Purchases!C:C),0)),0))</f>
        <v>891.5</v>
      </c>
      <c r="J212" s="65">
        <f t="shared" si="13"/>
        <v>5349</v>
      </c>
      <c r="K212" s="65">
        <f t="shared" si="14"/>
        <v>23179</v>
      </c>
      <c r="L212" s="52" t="s">
        <v>1259</v>
      </c>
      <c r="M212" s="52"/>
      <c r="N212" s="47" t="s">
        <v>589</v>
      </c>
      <c r="S212" s="47"/>
      <c r="T212" s="47"/>
    </row>
    <row r="213" spans="1:20" ht="15" customHeight="1">
      <c r="A213" s="55" t="s">
        <v>1036</v>
      </c>
      <c r="B213" s="52" t="s">
        <v>1153</v>
      </c>
      <c r="C213" s="52" t="s">
        <v>95</v>
      </c>
      <c r="D213" s="53">
        <v>555</v>
      </c>
      <c r="E213" s="53">
        <v>850</v>
      </c>
      <c r="F213" s="64">
        <v>3</v>
      </c>
      <c r="G213" s="64">
        <v>6</v>
      </c>
      <c r="H213" s="63">
        <f t="shared" si="12"/>
        <v>9</v>
      </c>
      <c r="I213" s="63">
        <f>IF(D213&lt;&gt;"",D213,IFERROR(E213/(IFERROR(SUM(Sales!C:C),0))*(IFERROR(SUM(Purchases!C:C),0)),0))</f>
        <v>555</v>
      </c>
      <c r="J213" s="63">
        <f t="shared" si="13"/>
        <v>1665</v>
      </c>
      <c r="K213" s="63">
        <f t="shared" si="14"/>
        <v>3330</v>
      </c>
      <c r="L213" s="55" t="s">
        <v>1201</v>
      </c>
      <c r="M213" s="55"/>
      <c r="N213" s="47" t="s">
        <v>589</v>
      </c>
      <c r="P213" s="47" t="s">
        <v>1202</v>
      </c>
      <c r="S213" s="47"/>
      <c r="T213" s="47"/>
    </row>
    <row r="214" spans="1:20" ht="15" customHeight="1">
      <c r="A214" s="52" t="s">
        <v>1037</v>
      </c>
      <c r="B214" s="52" t="s">
        <v>1158</v>
      </c>
      <c r="C214" s="52" t="s">
        <v>95</v>
      </c>
      <c r="D214" s="53">
        <v>835</v>
      </c>
      <c r="E214" s="53">
        <v>1250</v>
      </c>
      <c r="F214" s="66">
        <v>0</v>
      </c>
      <c r="G214" s="66">
        <v>5</v>
      </c>
      <c r="H214" s="65">
        <f t="shared" si="12"/>
        <v>5</v>
      </c>
      <c r="I214" s="65">
        <f>IF(D214&lt;&gt;"",D214,IFERROR(E214/(IFERROR(SUM(Sales!C:C),0))*(IFERROR(SUM(Purchases!C:C),0)),0))</f>
        <v>835</v>
      </c>
      <c r="J214" s="65">
        <f t="shared" si="13"/>
        <v>0</v>
      </c>
      <c r="K214" s="65">
        <f t="shared" si="14"/>
        <v>4175</v>
      </c>
      <c r="L214" s="52"/>
      <c r="M214" s="52"/>
      <c r="N214" s="47" t="s">
        <v>678</v>
      </c>
      <c r="P214" s="47" t="s">
        <v>1159</v>
      </c>
      <c r="S214" s="47"/>
      <c r="T214" s="47"/>
    </row>
    <row r="215" spans="1:20" ht="15" customHeight="1">
      <c r="A215" s="55" t="s">
        <v>1038</v>
      </c>
      <c r="B215" s="55" t="s">
        <v>1160</v>
      </c>
      <c r="C215" s="55" t="s">
        <v>95</v>
      </c>
      <c r="D215" s="56">
        <v>992</v>
      </c>
      <c r="E215" s="56">
        <v>1450</v>
      </c>
      <c r="F215" s="64">
        <v>2</v>
      </c>
      <c r="G215" s="64">
        <v>3</v>
      </c>
      <c r="H215" s="63">
        <f t="shared" si="12"/>
        <v>5</v>
      </c>
      <c r="I215" s="63">
        <f>IF(D215&lt;&gt;"",D215,IFERROR(E215/(IFERROR(SUM(Sales!C:C),0))*(IFERROR(SUM(Purchases!C:C),0)),0))</f>
        <v>992</v>
      </c>
      <c r="J215" s="63">
        <f t="shared" si="13"/>
        <v>1984</v>
      </c>
      <c r="K215" s="63">
        <f t="shared" si="14"/>
        <v>2976</v>
      </c>
      <c r="L215" s="55" t="s">
        <v>1261</v>
      </c>
      <c r="M215" s="55"/>
      <c r="N215" s="47" t="s">
        <v>589</v>
      </c>
      <c r="P215" s="47" t="s">
        <v>1161</v>
      </c>
      <c r="S215" s="47"/>
      <c r="T215" s="47"/>
    </row>
    <row r="216" spans="1:20" ht="30">
      <c r="A216" s="52" t="s">
        <v>1039</v>
      </c>
      <c r="B216" s="52" t="s">
        <v>999</v>
      </c>
      <c r="C216" s="52" t="s">
        <v>95</v>
      </c>
      <c r="D216" s="53">
        <v>576</v>
      </c>
      <c r="E216" s="53">
        <v>899</v>
      </c>
      <c r="F216" s="66">
        <v>1</v>
      </c>
      <c r="G216" s="66">
        <v>5</v>
      </c>
      <c r="H216" s="65">
        <f t="shared" si="12"/>
        <v>6</v>
      </c>
      <c r="I216" s="65">
        <f>IF(D216&lt;&gt;"",D216,IFERROR(E216/(IFERROR(SUM(Sales!C:C),0))*(IFERROR(SUM(Purchases!C:C),0)),0))</f>
        <v>576</v>
      </c>
      <c r="J216" s="65">
        <f t="shared" si="13"/>
        <v>576</v>
      </c>
      <c r="K216" s="65">
        <f t="shared" si="14"/>
        <v>2880</v>
      </c>
      <c r="L216" s="52" t="s">
        <v>1199</v>
      </c>
      <c r="M216" s="52"/>
      <c r="N216" s="47" t="s">
        <v>589</v>
      </c>
      <c r="P216" s="47" t="s">
        <v>1200</v>
      </c>
      <c r="S216" s="47"/>
      <c r="T216" s="47"/>
    </row>
    <row r="217" spans="1:20" ht="15" customHeight="1">
      <c r="A217" s="55" t="s">
        <v>1040</v>
      </c>
      <c r="B217" s="55" t="s">
        <v>1162</v>
      </c>
      <c r="C217" s="55" t="s">
        <v>95</v>
      </c>
      <c r="D217" s="56">
        <v>1023</v>
      </c>
      <c r="E217" s="56">
        <v>1550</v>
      </c>
      <c r="F217" s="64">
        <v>0</v>
      </c>
      <c r="G217" s="64">
        <v>2</v>
      </c>
      <c r="H217" s="63">
        <f t="shared" si="12"/>
        <v>2</v>
      </c>
      <c r="I217" s="63">
        <f>IF(D217&lt;&gt;"",D217,IFERROR(E217/(IFERROR(SUM(Sales!C:C),0))*(IFERROR(SUM(Purchases!C:C),0)),0))</f>
        <v>1023</v>
      </c>
      <c r="J217" s="63">
        <f t="shared" si="13"/>
        <v>0</v>
      </c>
      <c r="K217" s="63">
        <f t="shared" si="14"/>
        <v>2046</v>
      </c>
      <c r="L217" s="55"/>
      <c r="M217" s="55"/>
      <c r="N217" s="47" t="s">
        <v>678</v>
      </c>
      <c r="P217" s="47" t="s">
        <v>1163</v>
      </c>
      <c r="S217" s="47"/>
      <c r="T217" s="47"/>
    </row>
    <row r="218" spans="1:20" ht="15">
      <c r="A218" s="52" t="s">
        <v>1041</v>
      </c>
      <c r="B218" s="52" t="s">
        <v>1164</v>
      </c>
      <c r="C218" s="52" t="s">
        <v>95</v>
      </c>
      <c r="D218" s="53">
        <v>414</v>
      </c>
      <c r="E218" s="53">
        <v>699</v>
      </c>
      <c r="F218" s="66">
        <v>1</v>
      </c>
      <c r="G218" s="66">
        <v>2</v>
      </c>
      <c r="H218" s="65">
        <f t="shared" si="12"/>
        <v>3</v>
      </c>
      <c r="I218" s="65">
        <f>IF(D218&lt;&gt;"",D218,IFERROR(E218/(IFERROR(SUM(Sales!C:C),0))*(IFERROR(SUM(Purchases!C:C),0)),0))</f>
        <v>414</v>
      </c>
      <c r="J218" s="65">
        <f t="shared" si="13"/>
        <v>414</v>
      </c>
      <c r="K218" s="65">
        <f t="shared" si="14"/>
        <v>828</v>
      </c>
      <c r="L218" s="52" t="s">
        <v>1197</v>
      </c>
      <c r="M218" s="52"/>
      <c r="N218" s="47" t="s">
        <v>589</v>
      </c>
      <c r="P218" s="47" t="s">
        <v>1198</v>
      </c>
      <c r="S218" s="47"/>
      <c r="T218" s="47"/>
    </row>
    <row r="219" spans="1:20" ht="15" customHeight="1">
      <c r="A219" s="55" t="s">
        <v>1042</v>
      </c>
      <c r="B219" s="55" t="s">
        <v>1165</v>
      </c>
      <c r="C219" s="55" t="s">
        <v>95</v>
      </c>
      <c r="D219" s="56">
        <v>761</v>
      </c>
      <c r="E219" s="56">
        <v>1150</v>
      </c>
      <c r="F219" s="64">
        <v>0</v>
      </c>
      <c r="G219" s="64">
        <v>3</v>
      </c>
      <c r="H219" s="63">
        <f t="shared" si="12"/>
        <v>3</v>
      </c>
      <c r="I219" s="63">
        <f>IF(D219&lt;&gt;"",D219,IFERROR(E219/(IFERROR(SUM(Sales!C:C),0))*(IFERROR(SUM(Purchases!C:C),0)),0))</f>
        <v>761</v>
      </c>
      <c r="J219" s="63">
        <f t="shared" si="13"/>
        <v>0</v>
      </c>
      <c r="K219" s="63">
        <f t="shared" si="14"/>
        <v>2283</v>
      </c>
      <c r="L219" s="55" t="s">
        <v>1210</v>
      </c>
      <c r="M219" s="55"/>
      <c r="N219" s="47" t="s">
        <v>678</v>
      </c>
      <c r="P219" s="47" t="s">
        <v>1209</v>
      </c>
      <c r="S219" s="47"/>
      <c r="T219" s="47"/>
    </row>
    <row r="220" spans="1:20" ht="15">
      <c r="A220" s="52" t="s">
        <v>1043</v>
      </c>
      <c r="B220" s="52" t="s">
        <v>1166</v>
      </c>
      <c r="C220" s="52" t="s">
        <v>95</v>
      </c>
      <c r="D220" s="53">
        <v>761</v>
      </c>
      <c r="E220" s="53">
        <v>1150</v>
      </c>
      <c r="F220" s="66">
        <v>1</v>
      </c>
      <c r="G220" s="66">
        <v>5</v>
      </c>
      <c r="H220" s="65">
        <f t="shared" si="12"/>
        <v>6</v>
      </c>
      <c r="I220" s="65">
        <f>IF(D220&lt;&gt;"",D220,IFERROR(E220/(IFERROR(SUM(Sales!C:C),0))*(IFERROR(SUM(Purchases!C:C),0)),0))</f>
        <v>761</v>
      </c>
      <c r="J220" s="65">
        <f t="shared" si="13"/>
        <v>761</v>
      </c>
      <c r="K220" s="65">
        <f t="shared" si="14"/>
        <v>3805</v>
      </c>
      <c r="L220" s="52" t="s">
        <v>1193</v>
      </c>
      <c r="M220" s="52"/>
      <c r="N220" s="47" t="s">
        <v>589</v>
      </c>
      <c r="P220" s="47" t="s">
        <v>1194</v>
      </c>
      <c r="S220" s="47"/>
      <c r="T220" s="47"/>
    </row>
    <row r="221" spans="1:20" ht="15" customHeight="1">
      <c r="A221" s="55" t="s">
        <v>1044</v>
      </c>
      <c r="B221" s="55" t="s">
        <v>1190</v>
      </c>
      <c r="C221" s="55" t="s">
        <v>95</v>
      </c>
      <c r="D221" s="56">
        <v>870</v>
      </c>
      <c r="E221" s="56">
        <v>1380</v>
      </c>
      <c r="F221" s="64">
        <v>0</v>
      </c>
      <c r="G221" s="64">
        <v>5</v>
      </c>
      <c r="H221" s="63">
        <f t="shared" si="12"/>
        <v>5</v>
      </c>
      <c r="I221" s="63">
        <f>IF(D221&lt;&gt;"",D221,IFERROR(E221/(IFERROR(SUM(Sales!C:C),0))*(IFERROR(SUM(Purchases!C:C),0)),0))</f>
        <v>870</v>
      </c>
      <c r="J221" s="63">
        <f t="shared" si="13"/>
        <v>0</v>
      </c>
      <c r="K221" s="63">
        <f t="shared" si="14"/>
        <v>4350</v>
      </c>
      <c r="L221" s="55"/>
      <c r="M221" s="55"/>
      <c r="N221" s="47" t="s">
        <v>678</v>
      </c>
      <c r="P221" s="47" t="s">
        <v>1191</v>
      </c>
      <c r="S221" s="47"/>
      <c r="T221" s="47"/>
    </row>
    <row r="222" spans="1:20" ht="17">
      <c r="A222" s="52" t="s">
        <v>1045</v>
      </c>
      <c r="B222" s="52" t="s">
        <v>1211</v>
      </c>
      <c r="C222" s="52" t="s">
        <v>96</v>
      </c>
      <c r="D222" s="53">
        <v>835</v>
      </c>
      <c r="E222" s="53">
        <v>1250</v>
      </c>
      <c r="F222" s="66">
        <v>0</v>
      </c>
      <c r="G222" s="66">
        <v>2</v>
      </c>
      <c r="H222" s="65">
        <f t="shared" si="12"/>
        <v>2</v>
      </c>
      <c r="I222" s="65">
        <f>IF(D222&lt;&gt;"",D222,IFERROR(E222/(IFERROR(SUM(Sales!C:C),0))*(IFERROR(SUM(Purchases!C:C),0)),0))</f>
        <v>835</v>
      </c>
      <c r="J222" s="65">
        <f t="shared" si="13"/>
        <v>0</v>
      </c>
      <c r="K222" s="65">
        <f t="shared" si="14"/>
        <v>1670</v>
      </c>
      <c r="L222" s="52"/>
      <c r="M222" s="52"/>
      <c r="N222" s="47" t="s">
        <v>678</v>
      </c>
      <c r="P222" s="86" t="s">
        <v>1238</v>
      </c>
      <c r="S222" s="47"/>
      <c r="T222" s="47"/>
    </row>
    <row r="223" spans="1:20" ht="15" customHeight="1">
      <c r="A223" s="55" t="s">
        <v>1046</v>
      </c>
      <c r="B223" s="55" t="s">
        <v>1212</v>
      </c>
      <c r="C223" s="55" t="s">
        <v>95</v>
      </c>
      <c r="D223" s="56">
        <v>919</v>
      </c>
      <c r="E223" s="56">
        <v>1250</v>
      </c>
      <c r="F223" s="64">
        <v>0</v>
      </c>
      <c r="G223" s="64">
        <v>5</v>
      </c>
      <c r="H223" s="63">
        <f t="shared" si="12"/>
        <v>5</v>
      </c>
      <c r="I223" s="63">
        <f>IF(D223&lt;&gt;"",D223,IFERROR(E223/(IFERROR(SUM(Sales!C:C),0))*(IFERROR(SUM(Purchases!C:C),0)),0))</f>
        <v>919</v>
      </c>
      <c r="J223" s="63">
        <f t="shared" si="13"/>
        <v>0</v>
      </c>
      <c r="K223" s="63">
        <f t="shared" si="14"/>
        <v>4595</v>
      </c>
      <c r="L223" s="55"/>
      <c r="M223" s="55"/>
      <c r="N223" s="47" t="s">
        <v>678</v>
      </c>
      <c r="P223" s="86" t="s">
        <v>1239</v>
      </c>
      <c r="S223" s="47"/>
      <c r="T223" s="47"/>
    </row>
    <row r="224" spans="1:20" ht="15" customHeight="1">
      <c r="A224" s="52" t="s">
        <v>1047</v>
      </c>
      <c r="B224" s="52" t="s">
        <v>1213</v>
      </c>
      <c r="C224" s="52" t="s">
        <v>95</v>
      </c>
      <c r="D224" s="53">
        <v>942</v>
      </c>
      <c r="E224" s="53">
        <v>1380</v>
      </c>
      <c r="F224" s="66">
        <v>1</v>
      </c>
      <c r="G224" s="66">
        <v>2</v>
      </c>
      <c r="H224" s="65">
        <f t="shared" si="12"/>
        <v>3</v>
      </c>
      <c r="I224" s="65">
        <f>IF(D224&lt;&gt;"",D224,IFERROR(E224/(IFERROR(SUM(Sales!C:C),0))*(IFERROR(SUM(Purchases!C:C),0)),0))</f>
        <v>942</v>
      </c>
      <c r="J224" s="65">
        <f t="shared" si="13"/>
        <v>942</v>
      </c>
      <c r="K224" s="65">
        <f t="shared" si="14"/>
        <v>1884</v>
      </c>
      <c r="L224" s="52" t="s">
        <v>1264</v>
      </c>
      <c r="M224" s="52"/>
      <c r="N224" s="47" t="s">
        <v>589</v>
      </c>
      <c r="P224" s="86" t="s">
        <v>1265</v>
      </c>
      <c r="S224" s="47"/>
      <c r="T224" s="47"/>
    </row>
    <row r="225" spans="1:20" ht="15" customHeight="1">
      <c r="A225" s="55" t="s">
        <v>1048</v>
      </c>
      <c r="B225" s="55" t="s">
        <v>1214</v>
      </c>
      <c r="C225" s="55" t="s">
        <v>95</v>
      </c>
      <c r="D225" s="56">
        <v>944</v>
      </c>
      <c r="E225" s="56">
        <v>1450</v>
      </c>
      <c r="F225" s="64">
        <v>0</v>
      </c>
      <c r="G225" s="64">
        <v>2</v>
      </c>
      <c r="H225" s="63">
        <f t="shared" si="12"/>
        <v>2</v>
      </c>
      <c r="I225" s="63">
        <f>IF(D225&lt;&gt;"",D225,IFERROR(E225/(IFERROR(SUM(Sales!C:C),0))*(IFERROR(SUM(Purchases!C:C),0)),0))</f>
        <v>944</v>
      </c>
      <c r="J225" s="63">
        <f t="shared" si="13"/>
        <v>0</v>
      </c>
      <c r="K225" s="63">
        <f t="shared" si="14"/>
        <v>1888</v>
      </c>
      <c r="L225" s="55"/>
      <c r="M225" s="55"/>
      <c r="N225" s="47" t="s">
        <v>678</v>
      </c>
      <c r="P225" s="86" t="s">
        <v>1240</v>
      </c>
      <c r="S225" s="47"/>
      <c r="T225" s="47"/>
    </row>
    <row r="226" spans="1:20" ht="15" customHeight="1">
      <c r="A226" s="52" t="s">
        <v>1049</v>
      </c>
      <c r="B226" s="52" t="s">
        <v>1215</v>
      </c>
      <c r="C226" s="52" t="s">
        <v>95</v>
      </c>
      <c r="D226" s="53">
        <v>940</v>
      </c>
      <c r="E226" s="53">
        <v>1500</v>
      </c>
      <c r="F226" s="66">
        <v>0</v>
      </c>
      <c r="G226" s="66">
        <v>2</v>
      </c>
      <c r="H226" s="65">
        <f t="shared" si="12"/>
        <v>2</v>
      </c>
      <c r="I226" s="65">
        <f>IF(D226&lt;&gt;"",D226,IFERROR(E226/(IFERROR(SUM(Sales!C:C),0))*(IFERROR(SUM(Purchases!C:C),0)),0))</f>
        <v>940</v>
      </c>
      <c r="J226" s="65">
        <f t="shared" si="13"/>
        <v>0</v>
      </c>
      <c r="K226" s="65">
        <f t="shared" si="14"/>
        <v>1880</v>
      </c>
      <c r="L226" s="52"/>
      <c r="M226" s="52"/>
      <c r="N226" s="47" t="s">
        <v>678</v>
      </c>
      <c r="P226" s="86" t="s">
        <v>1241</v>
      </c>
      <c r="S226" s="47"/>
      <c r="T226" s="47"/>
    </row>
    <row r="227" spans="1:20" ht="17">
      <c r="A227" s="52" t="s">
        <v>1226</v>
      </c>
      <c r="B227" s="55" t="s">
        <v>1216</v>
      </c>
      <c r="C227" s="55" t="s">
        <v>95</v>
      </c>
      <c r="D227" s="56">
        <v>446</v>
      </c>
      <c r="E227" s="56">
        <v>699</v>
      </c>
      <c r="F227" s="64">
        <v>0</v>
      </c>
      <c r="G227" s="64">
        <v>4</v>
      </c>
      <c r="H227" s="63">
        <f t="shared" ref="H227:H238" si="15">F227+IF(LEN(G227)=0,0,G227)</f>
        <v>4</v>
      </c>
      <c r="I227" s="63">
        <f>IF(D227&lt;&gt;"",D227,IFERROR(E227/(IFERROR(SUM(Sales!C:C),0))*(IFERROR(SUM(Purchases!C:C),0)),0))</f>
        <v>446</v>
      </c>
      <c r="J227" s="63">
        <f t="shared" ref="J227:J238" si="16">F227*I227</f>
        <v>0</v>
      </c>
      <c r="K227" s="63">
        <f t="shared" ref="K227:K238" si="17">IF(LEN(G227)=0,0,G227)*I227</f>
        <v>1784</v>
      </c>
      <c r="L227" s="55"/>
      <c r="M227" s="55"/>
      <c r="N227" s="47" t="s">
        <v>678</v>
      </c>
      <c r="P227" s="86" t="s">
        <v>1242</v>
      </c>
      <c r="S227" s="47"/>
      <c r="T227" s="47"/>
    </row>
    <row r="228" spans="1:20" ht="17">
      <c r="A228" s="55" t="s">
        <v>1227</v>
      </c>
      <c r="B228" s="52" t="s">
        <v>1217</v>
      </c>
      <c r="C228" s="52" t="s">
        <v>95</v>
      </c>
      <c r="D228" s="53">
        <v>688</v>
      </c>
      <c r="E228" s="53">
        <v>1250</v>
      </c>
      <c r="F228" s="66">
        <v>0</v>
      </c>
      <c r="G228" s="66">
        <v>1</v>
      </c>
      <c r="H228" s="65">
        <f t="shared" si="15"/>
        <v>1</v>
      </c>
      <c r="I228" s="65">
        <f>IF(D228&lt;&gt;"",D228,IFERROR(E228/(IFERROR(SUM(Sales!C:C),0))*(IFERROR(SUM(Purchases!C:C),0)),0))</f>
        <v>688</v>
      </c>
      <c r="J228" s="65">
        <f t="shared" si="16"/>
        <v>0</v>
      </c>
      <c r="K228" s="65">
        <f t="shared" si="17"/>
        <v>688</v>
      </c>
      <c r="L228" s="52"/>
      <c r="M228" s="52"/>
      <c r="N228" s="47" t="s">
        <v>678</v>
      </c>
      <c r="P228" s="86" t="s">
        <v>1243</v>
      </c>
      <c r="S228" s="47"/>
      <c r="T228" s="47"/>
    </row>
    <row r="229" spans="1:20" ht="17">
      <c r="A229" s="52" t="s">
        <v>1228</v>
      </c>
      <c r="B229" s="55" t="s">
        <v>1218</v>
      </c>
      <c r="C229" s="55" t="s">
        <v>95</v>
      </c>
      <c r="D229" s="56">
        <v>555</v>
      </c>
      <c r="E229" s="56">
        <v>999</v>
      </c>
      <c r="F229" s="64">
        <v>0</v>
      </c>
      <c r="G229" s="64">
        <v>6</v>
      </c>
      <c r="H229" s="63">
        <f t="shared" si="15"/>
        <v>6</v>
      </c>
      <c r="I229" s="63">
        <f>IF(D229&lt;&gt;"",D229,IFERROR(E229/(IFERROR(SUM(Sales!C:C),0))*(IFERROR(SUM(Purchases!C:C),0)),0))</f>
        <v>555</v>
      </c>
      <c r="J229" s="63">
        <f t="shared" si="16"/>
        <v>0</v>
      </c>
      <c r="K229" s="63">
        <f t="shared" si="17"/>
        <v>3330</v>
      </c>
      <c r="L229" s="55"/>
      <c r="M229" s="55"/>
      <c r="N229" s="47" t="s">
        <v>678</v>
      </c>
      <c r="P229" s="86" t="s">
        <v>1244</v>
      </c>
      <c r="S229" s="47"/>
      <c r="T229" s="47"/>
    </row>
    <row r="230" spans="1:20" ht="17">
      <c r="A230" s="55" t="s">
        <v>1229</v>
      </c>
      <c r="B230" s="52" t="s">
        <v>1219</v>
      </c>
      <c r="C230" s="52" t="s">
        <v>95</v>
      </c>
      <c r="D230" s="53">
        <v>782</v>
      </c>
      <c r="E230" s="53">
        <v>1250</v>
      </c>
      <c r="F230" s="66">
        <v>1</v>
      </c>
      <c r="G230" s="66">
        <v>2</v>
      </c>
      <c r="H230" s="65">
        <f t="shared" si="15"/>
        <v>3</v>
      </c>
      <c r="I230" s="65">
        <f>IF(D230&lt;&gt;"",D230,IFERROR(E230/(IFERROR(SUM(Sales!C:C),0))*(IFERROR(SUM(Purchases!C:C),0)),0))</f>
        <v>782</v>
      </c>
      <c r="J230" s="65">
        <f t="shared" si="16"/>
        <v>782</v>
      </c>
      <c r="K230" s="65">
        <f t="shared" si="17"/>
        <v>1564</v>
      </c>
      <c r="L230" s="52" t="s">
        <v>1269</v>
      </c>
      <c r="M230" s="52"/>
      <c r="N230" s="47" t="s">
        <v>589</v>
      </c>
      <c r="P230" s="86" t="s">
        <v>1268</v>
      </c>
      <c r="S230" s="47"/>
      <c r="T230" s="47"/>
    </row>
    <row r="231" spans="1:20" ht="17">
      <c r="A231" s="52" t="s">
        <v>1230</v>
      </c>
      <c r="B231" s="55" t="s">
        <v>1218</v>
      </c>
      <c r="C231" s="55" t="s">
        <v>95</v>
      </c>
      <c r="D231" s="56">
        <v>576</v>
      </c>
      <c r="E231" s="56">
        <v>850</v>
      </c>
      <c r="F231" s="64">
        <v>0</v>
      </c>
      <c r="G231" s="64">
        <v>4</v>
      </c>
      <c r="H231" s="63">
        <f t="shared" si="15"/>
        <v>4</v>
      </c>
      <c r="I231" s="63">
        <f>IF(D231&lt;&gt;"",D231,IFERROR(E231/(IFERROR(SUM(Sales!C:C),0))*(IFERROR(SUM(Purchases!C:C),0)),0))</f>
        <v>576</v>
      </c>
      <c r="J231" s="63">
        <f t="shared" si="16"/>
        <v>0</v>
      </c>
      <c r="K231" s="63">
        <f t="shared" si="17"/>
        <v>2304</v>
      </c>
      <c r="L231" s="55"/>
      <c r="M231" s="55"/>
      <c r="N231" s="47" t="s">
        <v>678</v>
      </c>
      <c r="P231" s="86" t="s">
        <v>1245</v>
      </c>
      <c r="S231" s="47"/>
      <c r="T231" s="47"/>
    </row>
    <row r="232" spans="1:20" ht="17">
      <c r="A232" s="52" t="s">
        <v>1231</v>
      </c>
      <c r="B232" s="52" t="s">
        <v>1220</v>
      </c>
      <c r="C232" s="52" t="s">
        <v>95</v>
      </c>
      <c r="D232" s="53">
        <v>772</v>
      </c>
      <c r="E232" s="53">
        <v>1050</v>
      </c>
      <c r="F232" s="66">
        <v>0</v>
      </c>
      <c r="G232" s="66">
        <v>1</v>
      </c>
      <c r="H232" s="65">
        <f t="shared" si="15"/>
        <v>1</v>
      </c>
      <c r="I232" s="65">
        <f>IF(D232&lt;&gt;"",D232,IFERROR(E232/(IFERROR(SUM(Sales!C:C),0))*(IFERROR(SUM(Purchases!C:C),0)),0))</f>
        <v>772</v>
      </c>
      <c r="J232" s="65">
        <f t="shared" si="16"/>
        <v>0</v>
      </c>
      <c r="K232" s="65">
        <f t="shared" si="17"/>
        <v>772</v>
      </c>
      <c r="L232" s="52"/>
      <c r="M232" s="52"/>
      <c r="N232" s="47" t="s">
        <v>678</v>
      </c>
      <c r="P232" s="86" t="s">
        <v>1191</v>
      </c>
      <c r="S232" s="47"/>
      <c r="T232" s="47"/>
    </row>
    <row r="233" spans="1:20" ht="17">
      <c r="A233" s="55" t="s">
        <v>1232</v>
      </c>
      <c r="B233" s="55" t="s">
        <v>1221</v>
      </c>
      <c r="C233" s="55" t="s">
        <v>95</v>
      </c>
      <c r="D233" s="56">
        <v>719</v>
      </c>
      <c r="E233" s="56">
        <v>1450</v>
      </c>
      <c r="F233" s="64">
        <v>1</v>
      </c>
      <c r="G233" s="64">
        <v>0</v>
      </c>
      <c r="H233" s="63">
        <f t="shared" si="15"/>
        <v>1</v>
      </c>
      <c r="I233" s="63">
        <f>IF(D233&lt;&gt;"",D233,IFERROR(E233/(IFERROR(SUM(Sales!C:C),0))*(IFERROR(SUM(Purchases!C:C),0)),0))</f>
        <v>719</v>
      </c>
      <c r="J233" s="63">
        <f t="shared" si="16"/>
        <v>719</v>
      </c>
      <c r="K233" s="63">
        <f t="shared" si="17"/>
        <v>0</v>
      </c>
      <c r="L233" s="55" t="s">
        <v>1252</v>
      </c>
      <c r="M233" s="55"/>
      <c r="N233" s="47" t="s">
        <v>504</v>
      </c>
      <c r="P233" s="86" t="s">
        <v>1246</v>
      </c>
      <c r="S233" s="47"/>
      <c r="T233" s="47"/>
    </row>
    <row r="234" spans="1:20" ht="17">
      <c r="A234" s="52" t="s">
        <v>1233</v>
      </c>
      <c r="B234" s="52" t="s">
        <v>1222</v>
      </c>
      <c r="C234" s="52" t="s">
        <v>95</v>
      </c>
      <c r="D234" s="53">
        <v>524</v>
      </c>
      <c r="E234" s="53">
        <v>850</v>
      </c>
      <c r="F234" s="66">
        <v>0</v>
      </c>
      <c r="G234" s="66">
        <v>5</v>
      </c>
      <c r="H234" s="65">
        <f t="shared" si="15"/>
        <v>5</v>
      </c>
      <c r="I234" s="65">
        <f>IF(D234&lt;&gt;"",D234,IFERROR(E234/(IFERROR(SUM(Sales!C:C),0))*(IFERROR(SUM(Purchases!C:C),0)),0))</f>
        <v>524</v>
      </c>
      <c r="J234" s="65">
        <f t="shared" si="16"/>
        <v>0</v>
      </c>
      <c r="K234" s="65">
        <f t="shared" si="17"/>
        <v>2620</v>
      </c>
      <c r="L234" s="52"/>
      <c r="M234" s="52"/>
      <c r="N234" s="47" t="s">
        <v>678</v>
      </c>
      <c r="P234" s="86" t="s">
        <v>1247</v>
      </c>
      <c r="S234" s="47"/>
      <c r="T234" s="47"/>
    </row>
    <row r="235" spans="1:20" ht="17">
      <c r="A235" s="55" t="s">
        <v>1234</v>
      </c>
      <c r="B235" s="55" t="s">
        <v>1223</v>
      </c>
      <c r="C235" s="55" t="s">
        <v>95</v>
      </c>
      <c r="D235" s="56">
        <v>891</v>
      </c>
      <c r="E235" s="56">
        <v>1380</v>
      </c>
      <c r="F235" s="64">
        <v>0</v>
      </c>
      <c r="G235" s="64">
        <v>3</v>
      </c>
      <c r="H235" s="63">
        <f t="shared" si="15"/>
        <v>3</v>
      </c>
      <c r="I235" s="63">
        <f>IF(D235&lt;&gt;"",D235,IFERROR(E235/(IFERROR(SUM(Sales!C:C),0))*(IFERROR(SUM(Purchases!C:C),0)),0))</f>
        <v>891</v>
      </c>
      <c r="J235" s="63">
        <f t="shared" si="16"/>
        <v>0</v>
      </c>
      <c r="K235" s="63">
        <f t="shared" si="17"/>
        <v>2673</v>
      </c>
      <c r="L235" s="55"/>
      <c r="M235" s="55"/>
      <c r="N235" s="47" t="s">
        <v>678</v>
      </c>
      <c r="P235" s="86" t="s">
        <v>1248</v>
      </c>
      <c r="S235" s="47"/>
      <c r="T235" s="47"/>
    </row>
    <row r="236" spans="1:20" ht="17">
      <c r="A236" s="52" t="s">
        <v>1235</v>
      </c>
      <c r="B236" s="52" t="s">
        <v>510</v>
      </c>
      <c r="C236" s="52" t="s">
        <v>95</v>
      </c>
      <c r="D236" s="53">
        <v>912</v>
      </c>
      <c r="E236" s="53">
        <v>1380</v>
      </c>
      <c r="F236" s="66">
        <v>0</v>
      </c>
      <c r="G236" s="66">
        <v>4</v>
      </c>
      <c r="H236" s="65">
        <f t="shared" si="15"/>
        <v>4</v>
      </c>
      <c r="I236" s="65">
        <f>IF(D236&lt;&gt;"",D236,IFERROR(E236/(IFERROR(SUM(Sales!C:C),0))*(IFERROR(SUM(Purchases!C:C),0)),0))</f>
        <v>912</v>
      </c>
      <c r="J236" s="65">
        <f t="shared" si="16"/>
        <v>0</v>
      </c>
      <c r="K236" s="65">
        <f t="shared" si="17"/>
        <v>3648</v>
      </c>
      <c r="L236" s="52"/>
      <c r="M236" s="52"/>
      <c r="N236" s="47" t="s">
        <v>678</v>
      </c>
      <c r="P236" s="86" t="s">
        <v>1249</v>
      </c>
      <c r="S236" s="47"/>
      <c r="T236" s="47"/>
    </row>
    <row r="237" spans="1:20" ht="17">
      <c r="A237" s="52" t="s">
        <v>1236</v>
      </c>
      <c r="B237" s="55" t="s">
        <v>1224</v>
      </c>
      <c r="C237" s="55" t="s">
        <v>95</v>
      </c>
      <c r="D237" s="56">
        <v>734</v>
      </c>
      <c r="E237" s="56">
        <v>1100</v>
      </c>
      <c r="F237" s="64">
        <v>0</v>
      </c>
      <c r="G237" s="64">
        <v>3</v>
      </c>
      <c r="H237" s="63">
        <f t="shared" si="15"/>
        <v>3</v>
      </c>
      <c r="I237" s="63">
        <f>IF(D237&lt;&gt;"",D237,IFERROR(E237/(IFERROR(SUM(Sales!C:C),0))*(IFERROR(SUM(Purchases!C:C),0)),0))</f>
        <v>734</v>
      </c>
      <c r="J237" s="63">
        <f t="shared" si="16"/>
        <v>0</v>
      </c>
      <c r="K237" s="63">
        <f t="shared" si="17"/>
        <v>2202</v>
      </c>
      <c r="L237" s="55"/>
      <c r="M237" s="55"/>
      <c r="N237" s="47" t="s">
        <v>678</v>
      </c>
      <c r="P237" s="86" t="s">
        <v>1250</v>
      </c>
      <c r="S237" s="47"/>
      <c r="T237" s="47"/>
    </row>
    <row r="238" spans="1:20" ht="17">
      <c r="A238" s="55" t="s">
        <v>1237</v>
      </c>
      <c r="B238" s="52" t="s">
        <v>1225</v>
      </c>
      <c r="C238" s="52" t="s">
        <v>95</v>
      </c>
      <c r="D238" s="53">
        <v>436</v>
      </c>
      <c r="E238" s="53">
        <v>699</v>
      </c>
      <c r="F238" s="66">
        <v>0</v>
      </c>
      <c r="G238" s="66">
        <v>3</v>
      </c>
      <c r="H238" s="65">
        <f t="shared" si="15"/>
        <v>3</v>
      </c>
      <c r="I238" s="65">
        <f>IF(D238&lt;&gt;"",D238,IFERROR(E238/(IFERROR(SUM(Sales!C:C),0))*(IFERROR(SUM(Purchases!C:C),0)),0))</f>
        <v>436</v>
      </c>
      <c r="J238" s="65">
        <f t="shared" si="16"/>
        <v>0</v>
      </c>
      <c r="K238" s="65">
        <f t="shared" si="17"/>
        <v>1308</v>
      </c>
      <c r="L238" s="52"/>
      <c r="M238" s="52"/>
      <c r="N238" s="47" t="s">
        <v>678</v>
      </c>
      <c r="P238" s="86" t="s">
        <v>1251</v>
      </c>
      <c r="S238" s="47"/>
      <c r="T238" s="47"/>
    </row>
    <row r="239" spans="1:20">
      <c r="A239" s="55"/>
      <c r="B239" s="55"/>
      <c r="C239" s="55"/>
      <c r="D239" s="56"/>
      <c r="E239" s="56"/>
      <c r="F239" s="64"/>
      <c r="G239" s="64"/>
      <c r="H239" s="63"/>
      <c r="I239" s="63"/>
      <c r="J239" s="63"/>
      <c r="K239" s="63"/>
      <c r="L239" s="55"/>
      <c r="M239" s="55"/>
      <c r="S239" s="47"/>
      <c r="T239" s="47"/>
    </row>
    <row r="240" spans="1:20">
      <c r="S240" s="47"/>
      <c r="T240" s="47"/>
    </row>
    <row r="241" spans="19:20">
      <c r="S241" s="47"/>
      <c r="T241" s="47"/>
    </row>
    <row r="242" spans="19:20">
      <c r="S242" s="47"/>
      <c r="T242" s="47"/>
    </row>
    <row r="243" spans="19:20">
      <c r="S243" s="47"/>
      <c r="T243" s="47"/>
    </row>
    <row r="244" spans="19:20">
      <c r="S244" s="47"/>
      <c r="T244" s="47"/>
    </row>
    <row r="245" spans="19:20">
      <c r="S245" s="47"/>
      <c r="T245" s="47"/>
    </row>
    <row r="246" spans="19:20">
      <c r="S246" s="47"/>
      <c r="T246" s="47"/>
    </row>
    <row r="247" spans="19:20">
      <c r="S247" s="47"/>
      <c r="T247" s="47"/>
    </row>
    <row r="248" spans="19:20">
      <c r="S248" s="47"/>
      <c r="T248" s="47"/>
    </row>
    <row r="249" spans="19:20">
      <c r="S249" s="47"/>
      <c r="T249" s="47"/>
    </row>
    <row r="250" spans="19:20">
      <c r="S250" s="47"/>
      <c r="T250" s="47"/>
    </row>
    <row r="251" spans="19:20">
      <c r="S251" s="47"/>
      <c r="T251" s="47"/>
    </row>
    <row r="252" spans="19:20">
      <c r="S252" s="47"/>
      <c r="T252" s="47"/>
    </row>
    <row r="253" spans="19:20">
      <c r="S253" s="47"/>
      <c r="T253" s="47"/>
    </row>
    <row r="254" spans="19:20">
      <c r="S254" s="47"/>
      <c r="T254" s="47"/>
    </row>
    <row r="255" spans="19:20">
      <c r="S255" s="47"/>
      <c r="T255" s="47"/>
    </row>
    <row r="256" spans="19:20">
      <c r="S256" s="47"/>
      <c r="T256" s="47"/>
    </row>
    <row r="257" spans="19:20">
      <c r="S257" s="47"/>
      <c r="T257" s="47"/>
    </row>
    <row r="258" spans="19:20">
      <c r="S258" s="47"/>
      <c r="T258" s="47"/>
    </row>
    <row r="259" spans="19:20">
      <c r="S259" s="47"/>
      <c r="T259" s="47"/>
    </row>
    <row r="260" spans="19:20">
      <c r="S260" s="47"/>
      <c r="T260" s="47"/>
    </row>
    <row r="261" spans="19:20">
      <c r="S261" s="47"/>
      <c r="T261" s="47"/>
    </row>
    <row r="262" spans="19:20">
      <c r="S262" s="47"/>
      <c r="T262" s="47"/>
    </row>
    <row r="263" spans="19:20">
      <c r="S263" s="47"/>
      <c r="T263" s="47"/>
    </row>
    <row r="264" spans="19:20">
      <c r="S264" s="47"/>
      <c r="T264" s="47"/>
    </row>
    <row r="265" spans="19:20">
      <c r="S265" s="47"/>
      <c r="T265" s="47"/>
    </row>
    <row r="266" spans="19:20">
      <c r="S266" s="47"/>
      <c r="T266" s="47"/>
    </row>
    <row r="267" spans="19:20">
      <c r="S267" s="47"/>
      <c r="T267" s="47"/>
    </row>
    <row r="268" spans="19:20">
      <c r="S268" s="47"/>
      <c r="T268" s="47"/>
    </row>
    <row r="269" spans="19:20">
      <c r="S269" s="47"/>
      <c r="T269" s="47"/>
    </row>
    <row r="270" spans="19:20">
      <c r="S270" s="47"/>
      <c r="T270" s="47"/>
    </row>
    <row r="271" spans="19:20">
      <c r="S271" s="47"/>
      <c r="T271" s="47"/>
    </row>
    <row r="272" spans="19:20">
      <c r="S272" s="47"/>
      <c r="T272" s="47"/>
    </row>
    <row r="273" spans="19:20">
      <c r="S273" s="47"/>
      <c r="T273" s="47"/>
    </row>
    <row r="274" spans="19:20">
      <c r="S274" s="47"/>
      <c r="T274" s="47"/>
    </row>
    <row r="275" spans="19:20">
      <c r="S275" s="47"/>
      <c r="T275" s="47"/>
    </row>
    <row r="276" spans="19:20">
      <c r="S276" s="47"/>
      <c r="T276" s="47"/>
    </row>
    <row r="277" spans="19:20">
      <c r="S277" s="47"/>
      <c r="T277" s="47"/>
    </row>
    <row r="278" spans="19:20">
      <c r="S278" s="47"/>
      <c r="T278" s="47"/>
    </row>
    <row r="279" spans="19:20">
      <c r="S279" s="47"/>
      <c r="T279" s="47"/>
    </row>
    <row r="280" spans="19:20">
      <c r="S280" s="47"/>
      <c r="T280" s="47"/>
    </row>
    <row r="281" spans="19:20">
      <c r="S281" s="47"/>
      <c r="T281" s="47"/>
    </row>
    <row r="282" spans="19:20">
      <c r="S282" s="47"/>
      <c r="T282" s="47"/>
    </row>
    <row r="283" spans="19:20">
      <c r="S283" s="47"/>
      <c r="T283" s="47"/>
    </row>
    <row r="284" spans="19:20">
      <c r="S284" s="47"/>
      <c r="T284" s="47"/>
    </row>
    <row r="285" spans="19:20">
      <c r="S285" s="47"/>
      <c r="T285" s="47"/>
    </row>
    <row r="286" spans="19:20">
      <c r="S286" s="47"/>
      <c r="T286" s="47"/>
    </row>
    <row r="287" spans="19:20">
      <c r="S287" s="47"/>
      <c r="T287" s="47"/>
    </row>
    <row r="288" spans="19:20">
      <c r="S288" s="47"/>
      <c r="T288" s="47"/>
    </row>
    <row r="289" spans="19:20">
      <c r="S289" s="47"/>
      <c r="T289" s="47"/>
    </row>
    <row r="290" spans="19:20">
      <c r="S290" s="47"/>
      <c r="T290" s="47"/>
    </row>
    <row r="291" spans="19:20">
      <c r="S291" s="47"/>
      <c r="T291" s="47"/>
    </row>
    <row r="292" spans="19:20">
      <c r="S292" s="47"/>
      <c r="T292" s="47"/>
    </row>
    <row r="293" spans="19:20">
      <c r="S293" s="47"/>
      <c r="T293" s="47"/>
    </row>
    <row r="294" spans="19:20">
      <c r="S294" s="47"/>
      <c r="T294" s="47"/>
    </row>
    <row r="295" spans="19:20">
      <c r="S295" s="47"/>
      <c r="T295" s="47"/>
    </row>
    <row r="296" spans="19:20">
      <c r="S296" s="47"/>
      <c r="T296" s="47"/>
    </row>
    <row r="297" spans="19:20">
      <c r="S297" s="47"/>
      <c r="T297" s="47"/>
    </row>
    <row r="298" spans="19:20">
      <c r="S298" s="47"/>
      <c r="T298" s="47"/>
    </row>
    <row r="299" spans="19:20">
      <c r="S299" s="47"/>
      <c r="T299" s="47"/>
    </row>
    <row r="300" spans="19:20">
      <c r="S300" s="47"/>
      <c r="T300" s="47"/>
    </row>
    <row r="301" spans="19:20">
      <c r="S301" s="47"/>
      <c r="T301" s="47"/>
    </row>
    <row r="302" spans="19:20">
      <c r="S302" s="47"/>
      <c r="T302" s="47"/>
    </row>
    <row r="303" spans="19:20">
      <c r="S303" s="47"/>
      <c r="T303" s="47"/>
    </row>
    <row r="304" spans="19:20">
      <c r="S304" s="47"/>
      <c r="T304" s="47"/>
    </row>
    <row r="305" spans="19:20">
      <c r="S305" s="47"/>
      <c r="T305" s="47"/>
    </row>
    <row r="306" spans="19:20">
      <c r="S306" s="47"/>
      <c r="T306" s="47"/>
    </row>
    <row r="307" spans="19:20">
      <c r="S307" s="47"/>
      <c r="T307" s="47"/>
    </row>
    <row r="308" spans="19:20">
      <c r="S308" s="47"/>
      <c r="T308" s="47"/>
    </row>
    <row r="309" spans="19:20">
      <c r="S309" s="47"/>
      <c r="T309" s="47"/>
    </row>
    <row r="310" spans="19:20">
      <c r="S310" s="47"/>
      <c r="T310" s="47"/>
    </row>
    <row r="311" spans="19:20">
      <c r="S311" s="47"/>
      <c r="T311" s="47"/>
    </row>
    <row r="312" spans="19:20">
      <c r="S312" s="47"/>
      <c r="T312" s="47"/>
    </row>
    <row r="313" spans="19:20">
      <c r="S313" s="47"/>
      <c r="T313" s="47"/>
    </row>
    <row r="314" spans="19:20">
      <c r="S314" s="47"/>
      <c r="T314" s="47"/>
    </row>
    <row r="315" spans="19:20">
      <c r="S315" s="47"/>
      <c r="T315" s="47"/>
    </row>
    <row r="316" spans="19:20">
      <c r="S316" s="47"/>
      <c r="T316" s="47"/>
    </row>
    <row r="317" spans="19:20">
      <c r="S317" s="47"/>
      <c r="T317" s="47"/>
    </row>
    <row r="318" spans="19:20">
      <c r="S318" s="47"/>
      <c r="T318" s="47"/>
    </row>
    <row r="319" spans="19:20">
      <c r="S319" s="47"/>
      <c r="T319" s="47"/>
    </row>
    <row r="320" spans="19:20">
      <c r="S320" s="47"/>
      <c r="T320" s="47"/>
    </row>
    <row r="321" spans="19:20">
      <c r="S321" s="47"/>
      <c r="T321" s="47"/>
    </row>
    <row r="322" spans="19:20">
      <c r="S322" s="47"/>
      <c r="T322" s="47"/>
    </row>
    <row r="323" spans="19:20">
      <c r="S323" s="47"/>
      <c r="T323" s="47"/>
    </row>
    <row r="324" spans="19:20">
      <c r="S324" s="47"/>
      <c r="T324" s="47"/>
    </row>
    <row r="325" spans="19:20">
      <c r="S325" s="47"/>
      <c r="T325" s="47"/>
    </row>
    <row r="326" spans="19:20">
      <c r="S326" s="47"/>
      <c r="T326" s="47"/>
    </row>
    <row r="327" spans="19:20">
      <c r="S327" s="47"/>
      <c r="T327" s="47"/>
    </row>
    <row r="328" spans="19:20">
      <c r="S328" s="47"/>
      <c r="T328" s="47"/>
    </row>
    <row r="329" spans="19:20">
      <c r="S329" s="47"/>
      <c r="T329" s="47"/>
    </row>
    <row r="330" spans="19:20">
      <c r="S330" s="47"/>
      <c r="T330" s="47"/>
    </row>
    <row r="331" spans="19:20">
      <c r="S331" s="47"/>
      <c r="T331" s="47"/>
    </row>
    <row r="332" spans="19:20">
      <c r="S332" s="47"/>
      <c r="T332" s="47"/>
    </row>
    <row r="333" spans="19:20">
      <c r="S333" s="47"/>
      <c r="T333" s="47"/>
    </row>
    <row r="334" spans="19:20">
      <c r="S334" s="47"/>
      <c r="T334" s="47"/>
    </row>
    <row r="335" spans="19:20">
      <c r="S335" s="47"/>
      <c r="T335" s="47"/>
    </row>
    <row r="336" spans="19:20">
      <c r="S336" s="47"/>
      <c r="T336" s="47"/>
    </row>
    <row r="337" spans="19:20">
      <c r="S337" s="47"/>
      <c r="T337" s="47"/>
    </row>
    <row r="338" spans="19:20">
      <c r="S338" s="47"/>
      <c r="T338" s="47"/>
    </row>
    <row r="339" spans="19:20">
      <c r="S339" s="47"/>
      <c r="T339" s="47"/>
    </row>
    <row r="340" spans="19:20">
      <c r="S340" s="47"/>
      <c r="T340" s="47"/>
    </row>
    <row r="341" spans="19:20">
      <c r="S341" s="47"/>
      <c r="T341" s="47"/>
    </row>
    <row r="342" spans="19:20">
      <c r="S342" s="47"/>
      <c r="T342" s="47"/>
    </row>
    <row r="343" spans="19:20">
      <c r="S343" s="47"/>
      <c r="T343" s="47"/>
    </row>
    <row r="344" spans="19:20">
      <c r="S344" s="47"/>
      <c r="T344" s="47"/>
    </row>
    <row r="345" spans="19:20">
      <c r="S345" s="47"/>
      <c r="T345" s="47"/>
    </row>
    <row r="346" spans="19:20">
      <c r="S346" s="47"/>
      <c r="T346" s="47"/>
    </row>
    <row r="347" spans="19:20">
      <c r="S347" s="47"/>
      <c r="T347" s="47"/>
    </row>
    <row r="348" spans="19:20">
      <c r="S348" s="47"/>
      <c r="T348" s="47"/>
    </row>
    <row r="349" spans="19:20">
      <c r="S349" s="47"/>
      <c r="T349" s="47"/>
    </row>
    <row r="350" spans="19:20">
      <c r="S350" s="47"/>
      <c r="T350" s="47"/>
    </row>
    <row r="351" spans="19:20">
      <c r="S351" s="47"/>
      <c r="T351" s="47"/>
    </row>
    <row r="352" spans="19:20">
      <c r="S352" s="47"/>
      <c r="T352" s="47"/>
    </row>
    <row r="353" spans="19:20">
      <c r="S353" s="47"/>
      <c r="T353" s="47"/>
    </row>
    <row r="354" spans="19:20">
      <c r="S354" s="47"/>
      <c r="T354" s="47"/>
    </row>
    <row r="355" spans="19:20">
      <c r="S355" s="47"/>
      <c r="T355" s="47"/>
    </row>
    <row r="356" spans="19:20">
      <c r="S356" s="47"/>
      <c r="T356" s="47"/>
    </row>
    <row r="357" spans="19:20">
      <c r="S357" s="47"/>
      <c r="T357" s="47"/>
    </row>
    <row r="358" spans="19:20">
      <c r="S358" s="47"/>
      <c r="T358" s="47"/>
    </row>
    <row r="359" spans="19:20">
      <c r="S359" s="47"/>
      <c r="T359" s="47"/>
    </row>
    <row r="360" spans="19:20">
      <c r="S360" s="47"/>
      <c r="T360" s="47"/>
    </row>
    <row r="361" spans="19:20">
      <c r="S361" s="47"/>
      <c r="T361" s="47"/>
    </row>
    <row r="362" spans="19:20">
      <c r="S362" s="47"/>
      <c r="T362" s="47"/>
    </row>
    <row r="363" spans="19:20">
      <c r="S363" s="47"/>
      <c r="T363" s="47"/>
    </row>
    <row r="364" spans="19:20">
      <c r="S364" s="47"/>
      <c r="T364" s="47"/>
    </row>
    <row r="365" spans="19:20">
      <c r="S365" s="47"/>
      <c r="T365" s="47"/>
    </row>
    <row r="366" spans="19:20">
      <c r="S366" s="47"/>
      <c r="T366" s="47"/>
    </row>
    <row r="367" spans="19:20">
      <c r="S367" s="47"/>
      <c r="T367" s="47"/>
    </row>
    <row r="368" spans="19:20">
      <c r="S368" s="47"/>
      <c r="T368" s="47"/>
    </row>
    <row r="369" spans="19:20">
      <c r="S369" s="47"/>
      <c r="T369" s="47"/>
    </row>
    <row r="370" spans="19:20">
      <c r="S370" s="47"/>
      <c r="T370" s="47"/>
    </row>
    <row r="371" spans="19:20">
      <c r="S371" s="47"/>
      <c r="T371" s="47"/>
    </row>
    <row r="372" spans="19:20">
      <c r="S372" s="47"/>
      <c r="T372" s="47"/>
    </row>
    <row r="373" spans="19:20">
      <c r="S373" s="47"/>
      <c r="T373" s="47"/>
    </row>
    <row r="374" spans="19:20">
      <c r="S374" s="47"/>
      <c r="T374" s="47"/>
    </row>
    <row r="375" spans="19:20">
      <c r="S375" s="47"/>
      <c r="T375" s="47"/>
    </row>
    <row r="376" spans="19:20">
      <c r="S376" s="47"/>
      <c r="T376" s="47"/>
    </row>
    <row r="377" spans="19:20">
      <c r="S377" s="47"/>
      <c r="T377" s="47"/>
    </row>
    <row r="378" spans="19:20">
      <c r="S378" s="47"/>
      <c r="T378" s="47"/>
    </row>
    <row r="379" spans="19:20">
      <c r="S379" s="47"/>
      <c r="T379" s="47"/>
    </row>
    <row r="380" spans="19:20">
      <c r="S380" s="47"/>
      <c r="T380" s="47"/>
    </row>
    <row r="381" spans="19:20">
      <c r="S381" s="47"/>
      <c r="T381" s="47"/>
    </row>
    <row r="382" spans="19:20">
      <c r="S382" s="47"/>
      <c r="T382" s="47"/>
    </row>
    <row r="383" spans="19:20">
      <c r="S383" s="47"/>
      <c r="T383" s="47"/>
    </row>
    <row r="384" spans="19:20">
      <c r="S384" s="47"/>
      <c r="T384" s="47"/>
    </row>
    <row r="385" spans="19:20">
      <c r="S385" s="47"/>
      <c r="T385" s="47"/>
    </row>
    <row r="386" spans="19:20">
      <c r="S386" s="47"/>
      <c r="T386" s="47"/>
    </row>
    <row r="387" spans="19:20">
      <c r="S387" s="47"/>
      <c r="T387" s="47"/>
    </row>
    <row r="388" spans="19:20">
      <c r="S388" s="47"/>
      <c r="T388" s="47"/>
    </row>
    <row r="389" spans="19:20">
      <c r="S389" s="47"/>
      <c r="T389" s="47"/>
    </row>
    <row r="390" spans="19:20">
      <c r="S390" s="47"/>
      <c r="T390" s="47"/>
    </row>
    <row r="391" spans="19:20">
      <c r="S391" s="47"/>
      <c r="T391" s="47"/>
    </row>
    <row r="392" spans="19:20">
      <c r="S392" s="47"/>
      <c r="T392" s="47"/>
    </row>
    <row r="393" spans="19:20">
      <c r="S393" s="47"/>
      <c r="T393" s="47"/>
    </row>
    <row r="394" spans="19:20">
      <c r="S394" s="47"/>
      <c r="T394" s="47"/>
    </row>
    <row r="395" spans="19:20">
      <c r="S395" s="47"/>
      <c r="T395" s="47"/>
    </row>
    <row r="396" spans="19:20">
      <c r="S396" s="47"/>
      <c r="T396" s="47"/>
    </row>
    <row r="397" spans="19:20">
      <c r="S397" s="47"/>
      <c r="T397" s="47"/>
    </row>
    <row r="398" spans="19:20">
      <c r="S398" s="47"/>
      <c r="T398" s="47"/>
    </row>
    <row r="399" spans="19:20">
      <c r="S399" s="47"/>
      <c r="T399" s="47"/>
    </row>
    <row r="400" spans="19:20">
      <c r="S400" s="47"/>
      <c r="T400" s="47"/>
    </row>
    <row r="401" spans="19:20">
      <c r="S401" s="47"/>
      <c r="T401" s="47"/>
    </row>
    <row r="402" spans="19:20">
      <c r="S402" s="47"/>
      <c r="T402" s="47"/>
    </row>
    <row r="403" spans="19:20">
      <c r="S403" s="47"/>
      <c r="T403" s="47"/>
    </row>
    <row r="404" spans="19:20">
      <c r="S404" s="47"/>
      <c r="T404" s="47"/>
    </row>
    <row r="405" spans="19:20">
      <c r="S405" s="47"/>
      <c r="T405" s="47"/>
    </row>
    <row r="406" spans="19:20">
      <c r="S406" s="47"/>
      <c r="T406" s="47"/>
    </row>
    <row r="407" spans="19:20">
      <c r="S407" s="47"/>
      <c r="T407" s="47"/>
    </row>
    <row r="408" spans="19:20">
      <c r="S408" s="47"/>
      <c r="T408" s="47"/>
    </row>
    <row r="409" spans="19:20">
      <c r="S409" s="47"/>
      <c r="T409" s="47"/>
    </row>
    <row r="410" spans="19:20">
      <c r="S410" s="47"/>
      <c r="T410" s="47"/>
    </row>
    <row r="411" spans="19:20">
      <c r="S411" s="47"/>
      <c r="T411" s="47"/>
    </row>
    <row r="412" spans="19:20">
      <c r="S412" s="47"/>
      <c r="T412" s="47"/>
    </row>
    <row r="413" spans="19:20">
      <c r="S413" s="47"/>
      <c r="T413" s="47"/>
    </row>
    <row r="414" spans="19:20">
      <c r="S414" s="47"/>
      <c r="T414" s="47"/>
    </row>
    <row r="415" spans="19:20">
      <c r="S415" s="47"/>
      <c r="T415" s="47"/>
    </row>
    <row r="416" spans="19:20">
      <c r="S416" s="47"/>
      <c r="T416" s="47"/>
    </row>
    <row r="417" spans="19:20">
      <c r="S417" s="47"/>
      <c r="T417" s="47"/>
    </row>
    <row r="418" spans="19:20">
      <c r="S418" s="47"/>
      <c r="T418" s="47"/>
    </row>
    <row r="419" spans="19:20">
      <c r="S419" s="47"/>
      <c r="T419" s="47"/>
    </row>
    <row r="420" spans="19:20">
      <c r="S420" s="47"/>
      <c r="T420" s="47"/>
    </row>
    <row r="421" spans="19:20">
      <c r="S421" s="47"/>
      <c r="T421" s="47"/>
    </row>
    <row r="422" spans="19:20">
      <c r="S422" s="47"/>
      <c r="T422" s="47"/>
    </row>
    <row r="423" spans="19:20">
      <c r="S423" s="47"/>
      <c r="T423" s="47"/>
    </row>
    <row r="424" spans="19:20">
      <c r="S424" s="47"/>
      <c r="T424" s="47"/>
    </row>
    <row r="425" spans="19:20">
      <c r="S425" s="47"/>
      <c r="T425" s="47"/>
    </row>
    <row r="426" spans="19:20">
      <c r="S426" s="47"/>
      <c r="T426" s="47"/>
    </row>
    <row r="427" spans="19:20">
      <c r="S427" s="47"/>
      <c r="T427" s="47"/>
    </row>
    <row r="428" spans="19:20">
      <c r="S428" s="47"/>
      <c r="T428" s="47"/>
    </row>
    <row r="429" spans="19:20">
      <c r="S429" s="47"/>
      <c r="T429" s="47"/>
    </row>
    <row r="430" spans="19:20">
      <c r="S430" s="47"/>
      <c r="T430" s="47"/>
    </row>
    <row r="431" spans="19:20">
      <c r="S431" s="47"/>
      <c r="T431" s="47"/>
    </row>
    <row r="432" spans="19:20">
      <c r="S432" s="47"/>
      <c r="T432" s="47"/>
    </row>
    <row r="433" spans="19:20">
      <c r="S433" s="47"/>
      <c r="T433" s="47"/>
    </row>
    <row r="434" spans="19:20">
      <c r="S434" s="47"/>
      <c r="T434" s="47"/>
    </row>
    <row r="435" spans="19:20">
      <c r="S435" s="47"/>
      <c r="T435" s="47"/>
    </row>
    <row r="436" spans="19:20">
      <c r="S436" s="47"/>
      <c r="T436" s="47"/>
    </row>
    <row r="437" spans="19:20">
      <c r="S437" s="47"/>
      <c r="T437" s="47"/>
    </row>
    <row r="438" spans="19:20">
      <c r="S438" s="47"/>
      <c r="T438" s="47"/>
    </row>
    <row r="439" spans="19:20">
      <c r="S439" s="47"/>
      <c r="T439" s="47"/>
    </row>
    <row r="440" spans="19:20">
      <c r="S440" s="47"/>
      <c r="T440" s="47"/>
    </row>
    <row r="441" spans="19:20">
      <c r="S441" s="47"/>
      <c r="T441" s="47"/>
    </row>
    <row r="442" spans="19:20">
      <c r="S442" s="47"/>
      <c r="T442" s="47"/>
    </row>
    <row r="443" spans="19:20">
      <c r="S443" s="47"/>
      <c r="T443" s="47"/>
    </row>
    <row r="444" spans="19:20">
      <c r="S444" s="47"/>
      <c r="T444" s="47"/>
    </row>
    <row r="445" spans="19:20">
      <c r="S445" s="47"/>
      <c r="T445" s="47"/>
    </row>
    <row r="446" spans="19:20">
      <c r="S446" s="47"/>
      <c r="T446" s="47"/>
    </row>
    <row r="447" spans="19:20">
      <c r="S447" s="47"/>
      <c r="T447" s="47"/>
    </row>
    <row r="448" spans="19:20">
      <c r="S448" s="47"/>
      <c r="T448" s="47"/>
    </row>
    <row r="449" spans="19:20">
      <c r="S449" s="47"/>
      <c r="T449" s="47"/>
    </row>
    <row r="450" spans="19:20">
      <c r="S450" s="47"/>
      <c r="T450" s="47"/>
    </row>
    <row r="451" spans="19:20">
      <c r="S451" s="47"/>
      <c r="T451" s="47"/>
    </row>
    <row r="452" spans="19:20">
      <c r="S452" s="47"/>
      <c r="T452" s="47"/>
    </row>
    <row r="453" spans="19:20">
      <c r="S453" s="47"/>
      <c r="T453" s="47"/>
    </row>
    <row r="454" spans="19:20">
      <c r="S454" s="47"/>
      <c r="T454" s="47"/>
    </row>
    <row r="455" spans="19:20">
      <c r="S455" s="47"/>
      <c r="T455" s="47"/>
    </row>
    <row r="456" spans="19:20">
      <c r="S456" s="47"/>
      <c r="T456" s="47"/>
    </row>
    <row r="457" spans="19:20">
      <c r="S457" s="47"/>
      <c r="T457" s="47"/>
    </row>
    <row r="458" spans="19:20">
      <c r="S458" s="47"/>
      <c r="T458" s="47"/>
    </row>
    <row r="459" spans="19:20">
      <c r="S459" s="47"/>
      <c r="T459" s="47"/>
    </row>
    <row r="460" spans="19:20">
      <c r="S460" s="47"/>
      <c r="T460" s="47"/>
    </row>
    <row r="461" spans="19:20">
      <c r="S461" s="47"/>
      <c r="T461" s="47"/>
    </row>
    <row r="462" spans="19:20">
      <c r="S462" s="47"/>
      <c r="T462" s="47"/>
    </row>
    <row r="463" spans="19:20">
      <c r="S463" s="47"/>
      <c r="T463" s="47"/>
    </row>
    <row r="464" spans="19:20">
      <c r="S464" s="47"/>
      <c r="T464" s="47"/>
    </row>
    <row r="465" spans="19:20">
      <c r="S465" s="47"/>
      <c r="T465" s="47"/>
    </row>
    <row r="466" spans="19:20">
      <c r="S466" s="47"/>
      <c r="T466" s="47"/>
    </row>
    <row r="467" spans="19:20">
      <c r="S467" s="47"/>
      <c r="T467" s="47"/>
    </row>
    <row r="468" spans="19:20">
      <c r="S468" s="47"/>
      <c r="T468" s="47"/>
    </row>
    <row r="469" spans="19:20">
      <c r="S469" s="47"/>
      <c r="T469" s="47"/>
    </row>
    <row r="470" spans="19:20">
      <c r="S470" s="47"/>
      <c r="T470" s="47"/>
    </row>
    <row r="471" spans="19:20">
      <c r="S471" s="47"/>
      <c r="T471" s="47"/>
    </row>
    <row r="472" spans="19:20">
      <c r="S472" s="47"/>
      <c r="T472" s="47"/>
    </row>
    <row r="473" spans="19:20">
      <c r="S473" s="47"/>
      <c r="T473" s="47"/>
    </row>
    <row r="474" spans="19:20">
      <c r="S474" s="47"/>
      <c r="T474" s="47"/>
    </row>
    <row r="475" spans="19:20">
      <c r="S475" s="47"/>
      <c r="T475" s="47"/>
    </row>
    <row r="476" spans="19:20">
      <c r="S476" s="47"/>
      <c r="T476" s="47"/>
    </row>
    <row r="477" spans="19:20">
      <c r="S477" s="47"/>
      <c r="T477" s="47"/>
    </row>
    <row r="478" spans="19:20">
      <c r="S478" s="47"/>
      <c r="T478" s="47"/>
    </row>
    <row r="479" spans="19:20">
      <c r="S479" s="47"/>
      <c r="T479" s="47"/>
    </row>
    <row r="480" spans="19:20">
      <c r="S480" s="47"/>
      <c r="T480" s="47"/>
    </row>
    <row r="481" spans="19:20">
      <c r="S481" s="47"/>
      <c r="T481" s="47"/>
    </row>
    <row r="482" spans="19:20">
      <c r="S482" s="47"/>
      <c r="T482" s="47"/>
    </row>
    <row r="483" spans="19:20">
      <c r="S483" s="47"/>
      <c r="T483" s="47"/>
    </row>
    <row r="484" spans="19:20">
      <c r="S484" s="47"/>
      <c r="T484" s="47"/>
    </row>
    <row r="485" spans="19:20">
      <c r="S485" s="47"/>
      <c r="T485" s="47"/>
    </row>
    <row r="486" spans="19:20">
      <c r="S486" s="47"/>
      <c r="T486" s="47"/>
    </row>
    <row r="487" spans="19:20">
      <c r="S487" s="47"/>
      <c r="T487" s="47"/>
    </row>
    <row r="488" spans="19:20">
      <c r="S488" s="47"/>
      <c r="T488" s="47"/>
    </row>
    <row r="489" spans="19:20">
      <c r="S489" s="47"/>
      <c r="T489" s="47"/>
    </row>
    <row r="490" spans="19:20">
      <c r="S490" s="47"/>
      <c r="T490" s="47"/>
    </row>
    <row r="491" spans="19:20">
      <c r="S491" s="47"/>
      <c r="T491" s="47"/>
    </row>
    <row r="492" spans="19:20">
      <c r="S492" s="47"/>
      <c r="T492" s="47"/>
    </row>
    <row r="493" spans="19:20">
      <c r="S493" s="47"/>
      <c r="T493" s="47"/>
    </row>
    <row r="494" spans="19:20">
      <c r="S494" s="47"/>
      <c r="T494" s="47"/>
    </row>
    <row r="495" spans="19:20">
      <c r="S495" s="47"/>
      <c r="T495" s="47"/>
    </row>
    <row r="496" spans="19:20">
      <c r="S496" s="47"/>
      <c r="T496" s="47"/>
    </row>
    <row r="497" spans="19:20">
      <c r="S497" s="47"/>
      <c r="T497" s="47"/>
    </row>
    <row r="498" spans="19:20">
      <c r="S498" s="47"/>
      <c r="T498" s="47"/>
    </row>
    <row r="499" spans="19:20">
      <c r="S499" s="47"/>
      <c r="T499" s="47"/>
    </row>
    <row r="500" spans="19:20">
      <c r="S500" s="47"/>
      <c r="T500" s="47"/>
    </row>
    <row r="501" spans="19:20">
      <c r="S501" s="47"/>
      <c r="T501" s="47"/>
    </row>
    <row r="502" spans="19:20">
      <c r="S502" s="47"/>
      <c r="T502" s="47"/>
    </row>
    <row r="503" spans="19:20">
      <c r="S503" s="47"/>
      <c r="T503" s="47"/>
    </row>
    <row r="504" spans="19:20">
      <c r="S504" s="47"/>
      <c r="T504" s="47"/>
    </row>
    <row r="505" spans="19:20">
      <c r="S505" s="47"/>
      <c r="T505" s="47"/>
    </row>
    <row r="506" spans="19:20">
      <c r="S506" s="47"/>
      <c r="T506" s="47"/>
    </row>
    <row r="507" spans="19:20">
      <c r="S507" s="47"/>
      <c r="T507" s="47"/>
    </row>
    <row r="508" spans="19:20">
      <c r="S508" s="47"/>
      <c r="T508" s="47"/>
    </row>
    <row r="509" spans="19:20">
      <c r="S509" s="47"/>
      <c r="T509" s="47"/>
    </row>
    <row r="510" spans="19:20">
      <c r="S510" s="47"/>
      <c r="T510" s="47"/>
    </row>
    <row r="511" spans="19:20">
      <c r="S511" s="47"/>
      <c r="T511" s="47"/>
    </row>
    <row r="512" spans="19:20">
      <c r="S512" s="47"/>
      <c r="T512" s="47"/>
    </row>
    <row r="513" spans="19:20">
      <c r="S513" s="47"/>
      <c r="T513" s="47"/>
    </row>
    <row r="514" spans="19:20">
      <c r="S514" s="47"/>
      <c r="T514" s="47"/>
    </row>
    <row r="515" spans="19:20">
      <c r="S515" s="47"/>
      <c r="T515" s="47"/>
    </row>
    <row r="516" spans="19:20">
      <c r="S516" s="47"/>
      <c r="T516" s="47"/>
    </row>
    <row r="517" spans="19:20">
      <c r="S517" s="47"/>
      <c r="T517" s="47"/>
    </row>
    <row r="518" spans="19:20">
      <c r="S518" s="47"/>
      <c r="T518" s="47"/>
    </row>
    <row r="519" spans="19:20">
      <c r="S519" s="47"/>
      <c r="T519" s="47"/>
    </row>
    <row r="520" spans="19:20">
      <c r="S520" s="47"/>
      <c r="T520" s="47"/>
    </row>
    <row r="521" spans="19:20">
      <c r="S521" s="47"/>
      <c r="T521" s="47"/>
    </row>
    <row r="522" spans="19:20">
      <c r="S522" s="47"/>
      <c r="T522" s="47"/>
    </row>
    <row r="523" spans="19:20">
      <c r="S523" s="47"/>
      <c r="T523" s="47"/>
    </row>
    <row r="524" spans="19:20">
      <c r="S524" s="47"/>
      <c r="T524" s="47"/>
    </row>
    <row r="525" spans="19:20">
      <c r="S525" s="47"/>
      <c r="T525" s="47"/>
    </row>
    <row r="526" spans="19:20">
      <c r="S526" s="47"/>
      <c r="T526" s="47"/>
    </row>
    <row r="527" spans="19:20">
      <c r="S527" s="47"/>
      <c r="T527" s="47"/>
    </row>
    <row r="528" spans="19:20">
      <c r="S528" s="47"/>
      <c r="T528" s="47"/>
    </row>
    <row r="529" spans="19:20">
      <c r="S529" s="47"/>
      <c r="T529" s="47"/>
    </row>
    <row r="530" spans="19:20">
      <c r="S530" s="47"/>
      <c r="T530" s="47"/>
    </row>
    <row r="531" spans="19:20">
      <c r="S531" s="47"/>
      <c r="T531" s="47"/>
    </row>
    <row r="532" spans="19:20">
      <c r="S532" s="47"/>
      <c r="T532" s="47"/>
    </row>
    <row r="533" spans="19:20">
      <c r="S533" s="47"/>
      <c r="T533" s="47"/>
    </row>
    <row r="534" spans="19:20">
      <c r="S534" s="47"/>
      <c r="T534" s="47"/>
    </row>
    <row r="535" spans="19:20">
      <c r="S535" s="47"/>
      <c r="T535" s="47"/>
    </row>
    <row r="536" spans="19:20">
      <c r="S536" s="47"/>
      <c r="T536" s="47"/>
    </row>
    <row r="537" spans="19:20">
      <c r="S537" s="47"/>
      <c r="T537" s="47"/>
    </row>
    <row r="538" spans="19:20">
      <c r="S538" s="47"/>
      <c r="T538" s="47"/>
    </row>
    <row r="539" spans="19:20">
      <c r="S539" s="47"/>
      <c r="T539" s="47"/>
    </row>
    <row r="540" spans="19:20">
      <c r="S540" s="47"/>
      <c r="T540" s="47"/>
    </row>
    <row r="541" spans="19:20">
      <c r="S541" s="47"/>
      <c r="T541" s="47"/>
    </row>
    <row r="542" spans="19:20">
      <c r="S542" s="47"/>
      <c r="T542" s="47"/>
    </row>
    <row r="543" spans="19:20">
      <c r="S543" s="47"/>
      <c r="T543" s="47"/>
    </row>
    <row r="544" spans="19:20">
      <c r="S544" s="47"/>
      <c r="T544" s="47"/>
    </row>
    <row r="545" spans="19:20">
      <c r="S545" s="47"/>
      <c r="T545" s="47"/>
    </row>
    <row r="546" spans="19:20">
      <c r="S546" s="47"/>
      <c r="T546" s="47"/>
    </row>
    <row r="547" spans="19:20">
      <c r="S547" s="47"/>
      <c r="T547" s="47"/>
    </row>
    <row r="548" spans="19:20">
      <c r="S548" s="47"/>
      <c r="T548" s="47"/>
    </row>
    <row r="549" spans="19:20">
      <c r="S549" s="47"/>
      <c r="T549" s="47"/>
    </row>
    <row r="550" spans="19:20">
      <c r="S550" s="47"/>
      <c r="T550" s="47"/>
    </row>
    <row r="551" spans="19:20">
      <c r="S551" s="47"/>
      <c r="T551" s="47"/>
    </row>
    <row r="552" spans="19:20">
      <c r="S552" s="47"/>
      <c r="T552" s="47"/>
    </row>
    <row r="553" spans="19:20">
      <c r="S553" s="47"/>
      <c r="T553" s="47"/>
    </row>
    <row r="554" spans="19:20">
      <c r="S554" s="47"/>
      <c r="T554" s="47"/>
    </row>
    <row r="555" spans="19:20">
      <c r="S555" s="47"/>
      <c r="T555" s="47"/>
    </row>
    <row r="556" spans="19:20">
      <c r="S556" s="47"/>
      <c r="T556" s="47"/>
    </row>
    <row r="557" spans="19:20">
      <c r="S557" s="47"/>
      <c r="T557" s="47"/>
    </row>
    <row r="558" spans="19:20">
      <c r="S558" s="47"/>
      <c r="T558" s="47"/>
    </row>
    <row r="559" spans="19:20">
      <c r="S559" s="47"/>
      <c r="T559" s="47"/>
    </row>
    <row r="560" spans="19:20">
      <c r="S560" s="47"/>
      <c r="T560" s="47"/>
    </row>
    <row r="561" spans="19:20">
      <c r="S561" s="47"/>
      <c r="T561" s="47"/>
    </row>
    <row r="562" spans="19:20">
      <c r="S562" s="47"/>
      <c r="T562" s="47"/>
    </row>
    <row r="563" spans="19:20">
      <c r="S563" s="47"/>
      <c r="T563" s="47"/>
    </row>
    <row r="564" spans="19:20">
      <c r="S564" s="47"/>
      <c r="T564" s="47"/>
    </row>
    <row r="565" spans="19:20">
      <c r="S565" s="47"/>
      <c r="T565" s="47"/>
    </row>
    <row r="566" spans="19:20">
      <c r="S566" s="47"/>
      <c r="T566" s="47"/>
    </row>
    <row r="567" spans="19:20">
      <c r="S567" s="47"/>
      <c r="T567" s="47"/>
    </row>
    <row r="568" spans="19:20">
      <c r="S568" s="47"/>
      <c r="T568" s="47"/>
    </row>
    <row r="569" spans="19:20">
      <c r="S569" s="47"/>
      <c r="T569" s="47"/>
    </row>
    <row r="570" spans="19:20">
      <c r="S570" s="47"/>
      <c r="T570" s="47"/>
    </row>
    <row r="571" spans="19:20">
      <c r="S571" s="47"/>
      <c r="T571" s="47"/>
    </row>
    <row r="572" spans="19:20">
      <c r="S572" s="47"/>
      <c r="T572" s="47"/>
    </row>
    <row r="573" spans="19:20">
      <c r="S573" s="47"/>
      <c r="T573" s="47"/>
    </row>
    <row r="574" spans="19:20">
      <c r="S574" s="47"/>
      <c r="T574" s="47"/>
    </row>
    <row r="575" spans="19:20">
      <c r="S575" s="47"/>
      <c r="T575" s="47"/>
    </row>
    <row r="576" spans="19:20">
      <c r="S576" s="47"/>
      <c r="T576" s="47"/>
    </row>
    <row r="577" spans="19:20">
      <c r="S577" s="47"/>
      <c r="T577" s="47"/>
    </row>
    <row r="578" spans="19:20">
      <c r="S578" s="47"/>
      <c r="T578" s="47"/>
    </row>
    <row r="579" spans="19:20">
      <c r="S579" s="47"/>
      <c r="T579" s="47"/>
    </row>
    <row r="580" spans="19:20">
      <c r="S580" s="47"/>
      <c r="T580" s="47"/>
    </row>
    <row r="581" spans="19:20">
      <c r="S581" s="47"/>
      <c r="T581" s="47"/>
    </row>
    <row r="582" spans="19:20">
      <c r="S582" s="47"/>
      <c r="T582" s="47"/>
    </row>
    <row r="583" spans="19:20">
      <c r="S583" s="47"/>
      <c r="T583" s="47"/>
    </row>
    <row r="584" spans="19:20">
      <c r="S584" s="47"/>
      <c r="T584" s="47"/>
    </row>
    <row r="585" spans="19:20">
      <c r="S585" s="47"/>
      <c r="T585" s="47"/>
    </row>
    <row r="586" spans="19:20">
      <c r="S586" s="47"/>
      <c r="T586" s="47"/>
    </row>
    <row r="587" spans="19:20">
      <c r="S587" s="47"/>
      <c r="T587" s="47"/>
    </row>
    <row r="588" spans="19:20">
      <c r="S588" s="47"/>
      <c r="T588" s="47"/>
    </row>
    <row r="589" spans="19:20">
      <c r="S589" s="47"/>
      <c r="T589" s="47"/>
    </row>
    <row r="590" spans="19:20">
      <c r="S590" s="47"/>
      <c r="T590" s="47"/>
    </row>
    <row r="591" spans="19:20">
      <c r="S591" s="47"/>
      <c r="T591" s="47"/>
    </row>
    <row r="592" spans="19:20">
      <c r="S592" s="47"/>
      <c r="T592" s="47"/>
    </row>
    <row r="593" spans="19:20">
      <c r="S593" s="47"/>
      <c r="T593" s="47"/>
    </row>
    <row r="594" spans="19:20">
      <c r="S594" s="47"/>
      <c r="T594" s="47"/>
    </row>
    <row r="595" spans="19:20">
      <c r="S595" s="47"/>
      <c r="T595" s="47"/>
    </row>
    <row r="596" spans="19:20">
      <c r="S596" s="47"/>
      <c r="T596" s="47"/>
    </row>
    <row r="597" spans="19:20">
      <c r="S597" s="47"/>
      <c r="T597" s="47"/>
    </row>
    <row r="598" spans="19:20">
      <c r="S598" s="47"/>
      <c r="T598" s="47"/>
    </row>
    <row r="599" spans="19:20">
      <c r="S599" s="47"/>
      <c r="T599" s="47"/>
    </row>
    <row r="600" spans="19:20">
      <c r="S600" s="47"/>
      <c r="T600" s="47"/>
    </row>
    <row r="601" spans="19:20">
      <c r="S601" s="47"/>
      <c r="T601" s="47"/>
    </row>
    <row r="602" spans="19:20">
      <c r="S602" s="47"/>
      <c r="T602" s="47"/>
    </row>
    <row r="603" spans="19:20">
      <c r="S603" s="47"/>
      <c r="T603" s="47"/>
    </row>
    <row r="604" spans="19:20">
      <c r="S604" s="47"/>
      <c r="T604" s="47"/>
    </row>
    <row r="605" spans="19:20">
      <c r="S605" s="47"/>
      <c r="T605" s="47"/>
    </row>
    <row r="606" spans="19:20">
      <c r="S606" s="47"/>
      <c r="T606" s="47"/>
    </row>
    <row r="607" spans="19:20">
      <c r="S607" s="47"/>
      <c r="T607" s="47"/>
    </row>
    <row r="608" spans="19:20">
      <c r="S608" s="47"/>
      <c r="T608" s="47"/>
    </row>
    <row r="609" spans="19:20">
      <c r="S609" s="47"/>
      <c r="T609" s="47"/>
    </row>
    <row r="610" spans="19:20">
      <c r="S610" s="47"/>
      <c r="T610" s="47"/>
    </row>
    <row r="611" spans="19:20">
      <c r="S611" s="47"/>
      <c r="T611" s="47"/>
    </row>
    <row r="612" spans="19:20">
      <c r="S612" s="47"/>
      <c r="T612" s="47"/>
    </row>
    <row r="613" spans="19:20">
      <c r="S613" s="47"/>
      <c r="T613" s="47"/>
    </row>
    <row r="614" spans="19:20">
      <c r="S614" s="47"/>
      <c r="T614" s="47"/>
    </row>
    <row r="615" spans="19:20">
      <c r="S615" s="47"/>
      <c r="T615" s="47"/>
    </row>
    <row r="616" spans="19:20">
      <c r="S616" s="47"/>
      <c r="T616" s="47"/>
    </row>
    <row r="617" spans="19:20">
      <c r="S617" s="47"/>
      <c r="T617" s="47"/>
    </row>
    <row r="618" spans="19:20">
      <c r="S618" s="47"/>
      <c r="T618" s="47"/>
    </row>
    <row r="619" spans="19:20">
      <c r="S619" s="47"/>
      <c r="T619" s="47"/>
    </row>
    <row r="620" spans="19:20">
      <c r="S620" s="47"/>
      <c r="T620" s="47"/>
    </row>
    <row r="621" spans="19:20">
      <c r="S621" s="47"/>
      <c r="T621" s="47"/>
    </row>
    <row r="622" spans="19:20">
      <c r="S622" s="47"/>
      <c r="T622" s="47"/>
    </row>
    <row r="623" spans="19:20">
      <c r="S623" s="47"/>
      <c r="T623" s="47"/>
    </row>
    <row r="624" spans="19:20">
      <c r="S624" s="47"/>
      <c r="T624" s="47"/>
    </row>
    <row r="625" spans="19:20">
      <c r="S625" s="47"/>
      <c r="T625" s="47"/>
    </row>
    <row r="626" spans="19:20">
      <c r="S626" s="47"/>
      <c r="T626" s="47"/>
    </row>
    <row r="627" spans="19:20">
      <c r="S627" s="47"/>
      <c r="T627" s="47"/>
    </row>
    <row r="628" spans="19:20">
      <c r="S628" s="47"/>
      <c r="T628" s="47"/>
    </row>
    <row r="629" spans="19:20">
      <c r="S629" s="47"/>
      <c r="T629" s="47"/>
    </row>
    <row r="630" spans="19:20">
      <c r="S630" s="47"/>
      <c r="T630" s="47"/>
    </row>
    <row r="631" spans="19:20">
      <c r="S631" s="47"/>
      <c r="T631" s="47"/>
    </row>
    <row r="632" spans="19:20">
      <c r="S632" s="47"/>
      <c r="T632" s="47"/>
    </row>
    <row r="633" spans="19:20">
      <c r="S633" s="47"/>
      <c r="T633" s="47"/>
    </row>
    <row r="634" spans="19:20">
      <c r="S634" s="47"/>
      <c r="T634" s="47"/>
    </row>
    <row r="635" spans="19:20">
      <c r="S635" s="47"/>
      <c r="T635" s="47"/>
    </row>
    <row r="636" spans="19:20">
      <c r="S636" s="47"/>
      <c r="T636" s="47"/>
    </row>
    <row r="637" spans="19:20">
      <c r="S637" s="47"/>
      <c r="T637" s="47"/>
    </row>
    <row r="638" spans="19:20">
      <c r="S638" s="47"/>
      <c r="T638" s="47"/>
    </row>
    <row r="639" spans="19:20">
      <c r="S639" s="47"/>
      <c r="T639" s="47"/>
    </row>
    <row r="640" spans="19:20">
      <c r="S640" s="47"/>
      <c r="T640" s="47"/>
    </row>
    <row r="641" spans="19:20">
      <c r="S641" s="47"/>
      <c r="T641" s="47"/>
    </row>
    <row r="642" spans="19:20">
      <c r="S642" s="47"/>
      <c r="T642" s="47"/>
    </row>
    <row r="643" spans="19:20">
      <c r="S643" s="47"/>
      <c r="T643" s="47"/>
    </row>
    <row r="644" spans="19:20">
      <c r="S644" s="47"/>
      <c r="T644" s="47"/>
    </row>
    <row r="645" spans="19:20">
      <c r="S645" s="47"/>
      <c r="T645" s="47"/>
    </row>
    <row r="646" spans="19:20">
      <c r="S646" s="47"/>
      <c r="T646" s="47"/>
    </row>
    <row r="647" spans="19:20">
      <c r="S647" s="47"/>
      <c r="T647" s="47"/>
    </row>
    <row r="648" spans="19:20">
      <c r="S648" s="47"/>
      <c r="T648" s="47"/>
    </row>
    <row r="649" spans="19:20">
      <c r="S649" s="47"/>
      <c r="T649" s="47"/>
    </row>
    <row r="650" spans="19:20">
      <c r="S650" s="47"/>
      <c r="T650" s="47"/>
    </row>
    <row r="651" spans="19:20">
      <c r="S651" s="47"/>
      <c r="T651" s="47"/>
    </row>
    <row r="652" spans="19:20">
      <c r="S652" s="47"/>
      <c r="T652" s="47"/>
    </row>
    <row r="653" spans="19:20">
      <c r="S653" s="47"/>
      <c r="T653" s="47"/>
    </row>
    <row r="654" spans="19:20">
      <c r="S654" s="47"/>
      <c r="T654" s="47"/>
    </row>
    <row r="655" spans="19:20">
      <c r="S655" s="47"/>
      <c r="T655" s="47"/>
    </row>
    <row r="656" spans="19:20">
      <c r="S656" s="47"/>
      <c r="T656" s="47"/>
    </row>
    <row r="657" spans="19:20">
      <c r="S657" s="47"/>
      <c r="T657" s="47"/>
    </row>
    <row r="658" spans="19:20">
      <c r="S658" s="47"/>
      <c r="T658" s="47"/>
    </row>
    <row r="659" spans="19:20">
      <c r="S659" s="47"/>
      <c r="T659" s="47"/>
    </row>
    <row r="660" spans="19:20">
      <c r="S660" s="47"/>
      <c r="T660" s="47"/>
    </row>
    <row r="661" spans="19:20">
      <c r="S661" s="47"/>
      <c r="T661" s="47"/>
    </row>
    <row r="662" spans="19:20">
      <c r="S662" s="47"/>
      <c r="T662" s="47"/>
    </row>
    <row r="663" spans="19:20">
      <c r="S663" s="47"/>
      <c r="T663" s="47"/>
    </row>
    <row r="664" spans="19:20">
      <c r="S664" s="47"/>
      <c r="T664" s="47"/>
    </row>
    <row r="665" spans="19:20">
      <c r="S665" s="47"/>
      <c r="T665" s="47"/>
    </row>
    <row r="666" spans="19:20">
      <c r="S666" s="47"/>
      <c r="T666" s="47"/>
    </row>
    <row r="667" spans="19:20">
      <c r="S667" s="47"/>
      <c r="T667" s="47"/>
    </row>
    <row r="668" spans="19:20">
      <c r="S668" s="47"/>
      <c r="T668" s="47"/>
    </row>
    <row r="669" spans="19:20">
      <c r="S669" s="47"/>
      <c r="T669" s="47"/>
    </row>
    <row r="670" spans="19:20">
      <c r="S670" s="47"/>
      <c r="T670" s="47"/>
    </row>
    <row r="671" spans="19:20">
      <c r="S671" s="47"/>
      <c r="T671" s="47"/>
    </row>
    <row r="672" spans="19:20">
      <c r="S672" s="47"/>
      <c r="T672" s="47"/>
    </row>
    <row r="673" spans="19:20">
      <c r="S673" s="47"/>
      <c r="T673" s="47"/>
    </row>
    <row r="674" spans="19:20">
      <c r="S674" s="47"/>
      <c r="T674" s="47"/>
    </row>
    <row r="675" spans="19:20">
      <c r="S675" s="47"/>
      <c r="T675" s="47"/>
    </row>
    <row r="676" spans="19:20">
      <c r="S676" s="47"/>
      <c r="T676" s="47"/>
    </row>
    <row r="677" spans="19:20">
      <c r="S677" s="47"/>
      <c r="T677" s="47"/>
    </row>
    <row r="678" spans="19:20">
      <c r="S678" s="47"/>
      <c r="T678" s="47"/>
    </row>
    <row r="679" spans="19:20">
      <c r="S679" s="47"/>
      <c r="T679" s="47"/>
    </row>
    <row r="680" spans="19:20">
      <c r="S680" s="47"/>
      <c r="T680" s="47"/>
    </row>
    <row r="681" spans="19:20">
      <c r="S681" s="47"/>
      <c r="T681" s="47"/>
    </row>
    <row r="682" spans="19:20">
      <c r="S682" s="47"/>
      <c r="T682" s="47"/>
    </row>
    <row r="683" spans="19:20">
      <c r="S683" s="47"/>
      <c r="T683" s="47"/>
    </row>
    <row r="684" spans="19:20">
      <c r="S684" s="47"/>
      <c r="T684" s="47"/>
    </row>
    <row r="685" spans="19:20">
      <c r="S685" s="47"/>
      <c r="T685" s="47"/>
    </row>
    <row r="686" spans="19:20">
      <c r="S686" s="47"/>
      <c r="T686" s="47"/>
    </row>
    <row r="687" spans="19:20">
      <c r="S687" s="47"/>
      <c r="T687" s="47"/>
    </row>
    <row r="688" spans="19:20">
      <c r="S688" s="47"/>
      <c r="T688" s="47"/>
    </row>
    <row r="689" spans="19:20">
      <c r="S689" s="47"/>
      <c r="T689" s="47"/>
    </row>
    <row r="690" spans="19:20">
      <c r="S690" s="47"/>
      <c r="T690" s="47"/>
    </row>
    <row r="691" spans="19:20">
      <c r="S691" s="47"/>
      <c r="T691" s="47"/>
    </row>
    <row r="692" spans="19:20">
      <c r="S692" s="47"/>
      <c r="T692" s="47"/>
    </row>
    <row r="693" spans="19:20">
      <c r="S693" s="47"/>
      <c r="T693" s="47"/>
    </row>
    <row r="694" spans="19:20">
      <c r="S694" s="47"/>
      <c r="T694" s="47"/>
    </row>
    <row r="695" spans="19:20">
      <c r="S695" s="47"/>
      <c r="T695" s="47"/>
    </row>
    <row r="696" spans="19:20">
      <c r="S696" s="47"/>
      <c r="T696" s="47"/>
    </row>
    <row r="697" spans="19:20">
      <c r="S697" s="47"/>
      <c r="T697" s="47"/>
    </row>
    <row r="698" spans="19:20">
      <c r="S698" s="47"/>
      <c r="T698" s="47"/>
    </row>
    <row r="699" spans="19:20">
      <c r="S699" s="47"/>
      <c r="T699" s="47"/>
    </row>
    <row r="700" spans="19:20">
      <c r="S700" s="47"/>
      <c r="T700" s="47"/>
    </row>
    <row r="701" spans="19:20">
      <c r="S701" s="47"/>
      <c r="T701" s="47"/>
    </row>
    <row r="702" spans="19:20">
      <c r="S702" s="47"/>
      <c r="T702" s="47"/>
    </row>
    <row r="703" spans="19:20">
      <c r="S703" s="47"/>
      <c r="T703" s="47"/>
    </row>
    <row r="704" spans="19:20">
      <c r="S704" s="47"/>
      <c r="T704" s="47"/>
    </row>
    <row r="705" spans="19:20">
      <c r="S705" s="47"/>
      <c r="T705" s="47"/>
    </row>
    <row r="706" spans="19:20">
      <c r="S706" s="47"/>
      <c r="T706" s="47"/>
    </row>
    <row r="707" spans="19:20">
      <c r="S707" s="47"/>
      <c r="T707" s="47"/>
    </row>
    <row r="708" spans="19:20">
      <c r="S708" s="47"/>
      <c r="T708" s="47"/>
    </row>
    <row r="709" spans="19:20">
      <c r="S709" s="47"/>
      <c r="T709" s="47"/>
    </row>
    <row r="710" spans="19:20">
      <c r="S710" s="47"/>
      <c r="T710" s="47"/>
    </row>
    <row r="711" spans="19:20">
      <c r="S711" s="47"/>
      <c r="T711" s="47"/>
    </row>
    <row r="712" spans="19:20">
      <c r="S712" s="47"/>
      <c r="T712" s="47"/>
    </row>
    <row r="713" spans="19:20">
      <c r="S713" s="47"/>
      <c r="T713" s="47"/>
    </row>
    <row r="714" spans="19:20">
      <c r="S714" s="47"/>
      <c r="T714" s="47"/>
    </row>
    <row r="715" spans="19:20">
      <c r="S715" s="47"/>
      <c r="T715" s="47"/>
    </row>
    <row r="716" spans="19:20">
      <c r="S716" s="47"/>
      <c r="T716" s="47"/>
    </row>
    <row r="717" spans="19:20">
      <c r="S717" s="47"/>
      <c r="T717" s="47"/>
    </row>
    <row r="718" spans="19:20">
      <c r="S718" s="47"/>
      <c r="T718" s="47"/>
    </row>
    <row r="719" spans="19:20">
      <c r="S719" s="47"/>
      <c r="T719" s="47"/>
    </row>
    <row r="720" spans="19:20">
      <c r="S720" s="47"/>
      <c r="T720" s="47"/>
    </row>
    <row r="721" spans="19:20">
      <c r="S721" s="47"/>
      <c r="T721" s="47"/>
    </row>
    <row r="722" spans="19:20">
      <c r="S722" s="47"/>
      <c r="T722" s="47"/>
    </row>
    <row r="723" spans="19:20">
      <c r="S723" s="47"/>
      <c r="T723" s="47"/>
    </row>
    <row r="724" spans="19:20">
      <c r="S724" s="47"/>
      <c r="T724" s="47"/>
    </row>
    <row r="725" spans="19:20">
      <c r="S725" s="47"/>
      <c r="T725" s="47"/>
    </row>
    <row r="726" spans="19:20">
      <c r="S726" s="47"/>
      <c r="T726" s="47"/>
    </row>
    <row r="727" spans="19:20">
      <c r="S727" s="47"/>
      <c r="T727" s="47"/>
    </row>
    <row r="728" spans="19:20">
      <c r="S728" s="47"/>
      <c r="T728" s="47"/>
    </row>
    <row r="729" spans="19:20">
      <c r="S729" s="47"/>
      <c r="T729" s="47"/>
    </row>
    <row r="730" spans="19:20">
      <c r="S730" s="47"/>
      <c r="T730" s="47"/>
    </row>
    <row r="731" spans="19:20">
      <c r="S731" s="47"/>
      <c r="T731" s="47"/>
    </row>
    <row r="732" spans="19:20">
      <c r="S732" s="47"/>
      <c r="T732" s="47"/>
    </row>
    <row r="733" spans="19:20">
      <c r="S733" s="47"/>
      <c r="T733" s="47"/>
    </row>
    <row r="734" spans="19:20">
      <c r="S734" s="47"/>
      <c r="T734" s="47"/>
    </row>
    <row r="735" spans="19:20">
      <c r="S735" s="47"/>
      <c r="T735" s="47"/>
    </row>
    <row r="736" spans="19:20">
      <c r="S736" s="47"/>
      <c r="T736" s="47"/>
    </row>
    <row r="737" spans="19:20">
      <c r="S737" s="47"/>
      <c r="T737" s="47"/>
    </row>
    <row r="738" spans="19:20">
      <c r="S738" s="47"/>
      <c r="T738" s="47"/>
    </row>
    <row r="739" spans="19:20">
      <c r="S739" s="47"/>
      <c r="T739" s="47"/>
    </row>
    <row r="740" spans="19:20">
      <c r="S740" s="47"/>
      <c r="T740" s="47"/>
    </row>
    <row r="741" spans="19:20">
      <c r="S741" s="47"/>
      <c r="T741" s="47"/>
    </row>
    <row r="742" spans="19:20">
      <c r="S742" s="47"/>
      <c r="T742" s="47"/>
    </row>
    <row r="743" spans="19:20">
      <c r="S743" s="47"/>
      <c r="T743" s="47"/>
    </row>
    <row r="744" spans="19:20">
      <c r="S744" s="47"/>
      <c r="T744" s="47"/>
    </row>
    <row r="745" spans="19:20">
      <c r="S745" s="47"/>
      <c r="T745" s="47"/>
    </row>
    <row r="746" spans="19:20">
      <c r="S746" s="47"/>
      <c r="T746" s="47"/>
    </row>
    <row r="747" spans="19:20">
      <c r="S747" s="47"/>
      <c r="T747" s="47"/>
    </row>
    <row r="748" spans="19:20">
      <c r="S748" s="47"/>
      <c r="T748" s="47"/>
    </row>
    <row r="749" spans="19:20">
      <c r="S749" s="47"/>
      <c r="T749" s="47"/>
    </row>
    <row r="750" spans="19:20">
      <c r="S750" s="47"/>
      <c r="T750" s="47"/>
    </row>
    <row r="751" spans="19:20">
      <c r="S751" s="47"/>
      <c r="T751" s="47"/>
    </row>
    <row r="752" spans="19:20">
      <c r="S752" s="47"/>
      <c r="T752" s="47"/>
    </row>
    <row r="753" spans="19:20">
      <c r="S753" s="47"/>
      <c r="T753" s="47"/>
    </row>
    <row r="754" spans="19:20">
      <c r="S754" s="47"/>
      <c r="T754" s="47"/>
    </row>
    <row r="755" spans="19:20">
      <c r="S755" s="47"/>
      <c r="T755" s="47"/>
    </row>
    <row r="756" spans="19:20">
      <c r="S756" s="47"/>
      <c r="T756" s="47"/>
    </row>
    <row r="757" spans="19:20">
      <c r="S757" s="47"/>
      <c r="T757" s="47"/>
    </row>
    <row r="758" spans="19:20">
      <c r="S758" s="47"/>
      <c r="T758" s="47"/>
    </row>
    <row r="759" spans="19:20">
      <c r="S759" s="47"/>
      <c r="T759" s="47"/>
    </row>
    <row r="760" spans="19:20">
      <c r="S760" s="47"/>
      <c r="T760" s="47"/>
    </row>
    <row r="761" spans="19:20">
      <c r="S761" s="47"/>
      <c r="T761" s="47"/>
    </row>
    <row r="762" spans="19:20">
      <c r="S762" s="47"/>
      <c r="T762" s="47"/>
    </row>
    <row r="763" spans="19:20">
      <c r="S763" s="47"/>
      <c r="T763" s="47"/>
    </row>
    <row r="764" spans="19:20">
      <c r="S764" s="47"/>
      <c r="T764" s="47"/>
    </row>
    <row r="765" spans="19:20">
      <c r="S765" s="47"/>
      <c r="T765" s="47"/>
    </row>
    <row r="766" spans="19:20">
      <c r="S766" s="47"/>
      <c r="T766" s="47"/>
    </row>
    <row r="767" spans="19:20">
      <c r="S767" s="47"/>
      <c r="T767" s="47"/>
    </row>
    <row r="768" spans="19:20">
      <c r="S768" s="47"/>
      <c r="T768" s="47"/>
    </row>
    <row r="769" spans="19:20">
      <c r="S769" s="47"/>
      <c r="T769" s="47"/>
    </row>
    <row r="770" spans="19:20">
      <c r="S770" s="47"/>
      <c r="T770" s="47"/>
    </row>
    <row r="771" spans="19:20">
      <c r="S771" s="47"/>
      <c r="T771" s="47"/>
    </row>
    <row r="772" spans="19:20">
      <c r="S772" s="47"/>
      <c r="T772" s="47"/>
    </row>
    <row r="773" spans="19:20">
      <c r="S773" s="47"/>
      <c r="T773" s="47"/>
    </row>
    <row r="774" spans="19:20">
      <c r="S774" s="47"/>
      <c r="T774" s="47"/>
    </row>
    <row r="775" spans="19:20">
      <c r="S775" s="47"/>
      <c r="T775" s="47"/>
    </row>
    <row r="776" spans="19:20">
      <c r="S776" s="47"/>
      <c r="T776" s="47"/>
    </row>
    <row r="777" spans="19:20">
      <c r="S777" s="47"/>
      <c r="T777" s="47"/>
    </row>
    <row r="778" spans="19:20">
      <c r="S778" s="47"/>
      <c r="T778" s="47"/>
    </row>
    <row r="779" spans="19:20">
      <c r="S779" s="47"/>
      <c r="T779" s="47"/>
    </row>
    <row r="780" spans="19:20">
      <c r="S780" s="47"/>
      <c r="T780" s="47"/>
    </row>
    <row r="781" spans="19:20">
      <c r="S781" s="47"/>
      <c r="T781" s="47"/>
    </row>
    <row r="782" spans="19:20">
      <c r="S782" s="47"/>
      <c r="T782" s="47"/>
    </row>
    <row r="783" spans="19:20">
      <c r="S783" s="47"/>
      <c r="T783" s="47"/>
    </row>
    <row r="784" spans="19:20">
      <c r="S784" s="47"/>
      <c r="T784" s="47"/>
    </row>
    <row r="785" spans="19:20">
      <c r="S785" s="47"/>
      <c r="T785" s="47"/>
    </row>
    <row r="786" spans="19:20">
      <c r="S786" s="47"/>
      <c r="T786" s="47"/>
    </row>
    <row r="787" spans="19:20">
      <c r="S787" s="47"/>
      <c r="T787" s="47"/>
    </row>
    <row r="788" spans="19:20">
      <c r="S788" s="47"/>
      <c r="T788" s="47"/>
    </row>
    <row r="789" spans="19:20">
      <c r="S789" s="47"/>
      <c r="T789" s="47"/>
    </row>
    <row r="790" spans="19:20">
      <c r="S790" s="47"/>
      <c r="T790" s="47"/>
    </row>
    <row r="791" spans="19:20">
      <c r="S791" s="47"/>
      <c r="T791" s="47"/>
    </row>
    <row r="792" spans="19:20">
      <c r="S792" s="47"/>
      <c r="T792" s="47"/>
    </row>
    <row r="793" spans="19:20">
      <c r="S793" s="47"/>
      <c r="T793" s="47"/>
    </row>
    <row r="794" spans="19:20">
      <c r="S794" s="47"/>
      <c r="T794" s="47"/>
    </row>
    <row r="795" spans="19:20">
      <c r="S795" s="47"/>
      <c r="T795" s="47"/>
    </row>
    <row r="796" spans="19:20">
      <c r="S796" s="47"/>
      <c r="T796" s="47"/>
    </row>
    <row r="797" spans="19:20">
      <c r="S797" s="47"/>
      <c r="T797" s="47"/>
    </row>
    <row r="798" spans="19:20">
      <c r="S798" s="47"/>
      <c r="T798" s="47"/>
    </row>
    <row r="799" spans="19:20">
      <c r="S799" s="47"/>
      <c r="T799" s="47"/>
    </row>
    <row r="800" spans="19:20">
      <c r="S800" s="47"/>
      <c r="T800" s="47"/>
    </row>
    <row r="801" spans="19:20">
      <c r="S801" s="47"/>
      <c r="T801" s="47"/>
    </row>
    <row r="802" spans="19:20">
      <c r="S802" s="47"/>
      <c r="T802" s="47"/>
    </row>
    <row r="803" spans="19:20">
      <c r="S803" s="47"/>
      <c r="T803" s="47"/>
    </row>
    <row r="804" spans="19:20">
      <c r="S804" s="47"/>
      <c r="T804" s="47"/>
    </row>
    <row r="805" spans="19:20">
      <c r="S805" s="47"/>
      <c r="T805" s="47"/>
    </row>
    <row r="806" spans="19:20">
      <c r="S806" s="47"/>
      <c r="T806" s="47"/>
    </row>
    <row r="807" spans="19:20">
      <c r="S807" s="47"/>
      <c r="T807" s="47"/>
    </row>
    <row r="808" spans="19:20">
      <c r="S808" s="47"/>
      <c r="T808" s="47"/>
    </row>
    <row r="809" spans="19:20">
      <c r="S809" s="47"/>
      <c r="T809" s="47"/>
    </row>
    <row r="810" spans="19:20">
      <c r="S810" s="47"/>
      <c r="T810" s="47"/>
    </row>
    <row r="811" spans="19:20">
      <c r="S811" s="47"/>
      <c r="T811" s="47"/>
    </row>
    <row r="812" spans="19:20">
      <c r="S812" s="47"/>
      <c r="T812" s="47"/>
    </row>
    <row r="813" spans="19:20">
      <c r="S813" s="47"/>
      <c r="T813" s="47"/>
    </row>
    <row r="814" spans="19:20">
      <c r="S814" s="47"/>
      <c r="T814" s="47"/>
    </row>
    <row r="815" spans="19:20">
      <c r="S815" s="47"/>
      <c r="T815" s="47"/>
    </row>
    <row r="816" spans="19:20">
      <c r="S816" s="47"/>
      <c r="T816" s="47"/>
    </row>
    <row r="817" spans="19:20">
      <c r="S817" s="47"/>
      <c r="T817" s="47"/>
    </row>
    <row r="818" spans="19:20">
      <c r="S818" s="47"/>
      <c r="T818" s="47"/>
    </row>
    <row r="819" spans="19:20">
      <c r="S819" s="47"/>
      <c r="T819" s="47"/>
    </row>
    <row r="820" spans="19:20">
      <c r="S820" s="47"/>
      <c r="T820" s="47"/>
    </row>
    <row r="821" spans="19:20">
      <c r="S821" s="47"/>
      <c r="T821" s="47"/>
    </row>
    <row r="822" spans="19:20">
      <c r="S822" s="47"/>
      <c r="T822" s="47"/>
    </row>
    <row r="823" spans="19:20">
      <c r="S823" s="47"/>
      <c r="T823" s="47"/>
    </row>
    <row r="824" spans="19:20">
      <c r="S824" s="47"/>
      <c r="T824" s="47"/>
    </row>
    <row r="825" spans="19:20">
      <c r="S825" s="47"/>
      <c r="T825" s="47"/>
    </row>
    <row r="826" spans="19:20">
      <c r="S826" s="47"/>
      <c r="T826" s="47"/>
    </row>
    <row r="827" spans="19:20">
      <c r="S827" s="47"/>
      <c r="T827" s="47"/>
    </row>
    <row r="828" spans="19:20">
      <c r="S828" s="47"/>
      <c r="T828" s="47"/>
    </row>
    <row r="829" spans="19:20">
      <c r="S829" s="47"/>
      <c r="T829" s="47"/>
    </row>
    <row r="830" spans="19:20">
      <c r="S830" s="47"/>
      <c r="T830" s="47"/>
    </row>
    <row r="831" spans="19:20">
      <c r="S831" s="47"/>
      <c r="T831" s="47"/>
    </row>
    <row r="832" spans="19:20">
      <c r="S832" s="47"/>
      <c r="T832" s="47"/>
    </row>
    <row r="833" spans="19:20">
      <c r="S833" s="47"/>
      <c r="T833" s="47"/>
    </row>
    <row r="834" spans="19:20">
      <c r="S834" s="47"/>
      <c r="T834" s="47"/>
    </row>
    <row r="835" spans="19:20">
      <c r="S835" s="47"/>
      <c r="T835" s="47"/>
    </row>
    <row r="836" spans="19:20">
      <c r="S836" s="47"/>
      <c r="T836" s="47"/>
    </row>
    <row r="837" spans="19:20">
      <c r="S837" s="47"/>
      <c r="T837" s="47"/>
    </row>
    <row r="838" spans="19:20">
      <c r="S838" s="47"/>
      <c r="T838" s="47"/>
    </row>
    <row r="839" spans="19:20">
      <c r="S839" s="47"/>
      <c r="T839" s="47"/>
    </row>
    <row r="840" spans="19:20">
      <c r="S840" s="47"/>
      <c r="T840" s="47"/>
    </row>
    <row r="841" spans="19:20">
      <c r="S841" s="47"/>
      <c r="T841" s="47"/>
    </row>
    <row r="842" spans="19:20">
      <c r="S842" s="47"/>
      <c r="T842" s="47"/>
    </row>
    <row r="843" spans="19:20">
      <c r="S843" s="47"/>
      <c r="T843" s="47"/>
    </row>
    <row r="844" spans="19:20">
      <c r="S844" s="47"/>
      <c r="T844" s="47"/>
    </row>
    <row r="845" spans="19:20">
      <c r="S845" s="47"/>
      <c r="T845" s="47"/>
    </row>
    <row r="846" spans="19:20">
      <c r="S846" s="47"/>
      <c r="T846" s="47"/>
    </row>
    <row r="847" spans="19:20">
      <c r="S847" s="47"/>
      <c r="T847" s="47"/>
    </row>
    <row r="848" spans="19:20">
      <c r="S848" s="47"/>
      <c r="T848" s="47"/>
    </row>
    <row r="849" spans="19:20">
      <c r="S849" s="47"/>
      <c r="T849" s="47"/>
    </row>
    <row r="850" spans="19:20">
      <c r="S850" s="47"/>
      <c r="T850" s="47"/>
    </row>
    <row r="851" spans="19:20">
      <c r="S851" s="47"/>
      <c r="T851" s="47"/>
    </row>
    <row r="852" spans="19:20">
      <c r="S852" s="47"/>
      <c r="T852" s="47"/>
    </row>
    <row r="853" spans="19:20">
      <c r="S853" s="47"/>
      <c r="T853" s="47"/>
    </row>
    <row r="854" spans="19:20">
      <c r="S854" s="47"/>
      <c r="T854" s="47"/>
    </row>
    <row r="855" spans="19:20">
      <c r="S855" s="47"/>
      <c r="T855" s="47"/>
    </row>
    <row r="856" spans="19:20">
      <c r="S856" s="47"/>
      <c r="T856" s="47"/>
    </row>
    <row r="857" spans="19:20">
      <c r="S857" s="47"/>
      <c r="T857" s="47"/>
    </row>
    <row r="858" spans="19:20">
      <c r="S858" s="47"/>
      <c r="T858" s="47"/>
    </row>
    <row r="859" spans="19:20">
      <c r="S859" s="47"/>
      <c r="T859" s="47"/>
    </row>
    <row r="860" spans="19:20">
      <c r="S860" s="47"/>
      <c r="T860" s="47"/>
    </row>
    <row r="861" spans="19:20">
      <c r="S861" s="47"/>
      <c r="T861" s="47"/>
    </row>
    <row r="862" spans="19:20">
      <c r="S862" s="47"/>
      <c r="T862" s="47"/>
    </row>
    <row r="863" spans="19:20">
      <c r="S863" s="47"/>
      <c r="T863" s="47"/>
    </row>
    <row r="864" spans="19:20">
      <c r="S864" s="47"/>
      <c r="T864" s="47"/>
    </row>
    <row r="865" spans="19:20">
      <c r="S865" s="47"/>
      <c r="T865" s="47"/>
    </row>
    <row r="866" spans="19:20">
      <c r="S866" s="47"/>
      <c r="T866" s="47"/>
    </row>
    <row r="867" spans="19:20">
      <c r="S867" s="47"/>
      <c r="T867" s="47"/>
    </row>
    <row r="868" spans="19:20">
      <c r="S868" s="47"/>
      <c r="T868" s="47"/>
    </row>
    <row r="869" spans="19:20">
      <c r="S869" s="47"/>
      <c r="T869" s="47"/>
    </row>
    <row r="870" spans="19:20">
      <c r="S870" s="47"/>
      <c r="T870" s="47"/>
    </row>
    <row r="871" spans="19:20">
      <c r="S871" s="47"/>
      <c r="T871" s="47"/>
    </row>
    <row r="872" spans="19:20">
      <c r="S872" s="47"/>
      <c r="T872" s="47"/>
    </row>
    <row r="873" spans="19:20">
      <c r="S873" s="47"/>
      <c r="T873" s="47"/>
    </row>
    <row r="874" spans="19:20">
      <c r="S874" s="47"/>
      <c r="T874" s="47"/>
    </row>
    <row r="875" spans="19:20">
      <c r="S875" s="47"/>
      <c r="T875" s="47"/>
    </row>
    <row r="876" spans="19:20">
      <c r="S876" s="47"/>
      <c r="T876" s="47"/>
    </row>
    <row r="877" spans="19:20">
      <c r="S877" s="47"/>
      <c r="T877" s="47"/>
    </row>
    <row r="878" spans="19:20">
      <c r="S878" s="47"/>
      <c r="T878" s="47"/>
    </row>
    <row r="879" spans="19:20">
      <c r="S879" s="47"/>
      <c r="T879" s="47"/>
    </row>
    <row r="880" spans="19:20">
      <c r="S880" s="47"/>
      <c r="T880" s="47"/>
    </row>
    <row r="881" spans="19:20">
      <c r="S881" s="47"/>
      <c r="T881" s="47"/>
    </row>
    <row r="882" spans="19:20">
      <c r="S882" s="47"/>
      <c r="T882" s="47"/>
    </row>
    <row r="883" spans="19:20">
      <c r="S883" s="47"/>
      <c r="T883" s="47"/>
    </row>
    <row r="884" spans="19:20">
      <c r="S884" s="47"/>
      <c r="T884" s="47"/>
    </row>
    <row r="885" spans="19:20">
      <c r="S885" s="47"/>
      <c r="T885" s="47"/>
    </row>
    <row r="886" spans="19:20">
      <c r="S886" s="47"/>
      <c r="T886" s="47"/>
    </row>
    <row r="887" spans="19:20">
      <c r="S887" s="47"/>
      <c r="T887" s="47"/>
    </row>
    <row r="888" spans="19:20">
      <c r="S888" s="47"/>
      <c r="T888" s="47"/>
    </row>
    <row r="889" spans="19:20">
      <c r="S889" s="47"/>
      <c r="T889" s="47"/>
    </row>
    <row r="890" spans="19:20">
      <c r="S890" s="47"/>
      <c r="T890" s="47"/>
    </row>
    <row r="891" spans="19:20">
      <c r="S891" s="47"/>
      <c r="T891" s="47"/>
    </row>
    <row r="892" spans="19:20">
      <c r="S892" s="47"/>
      <c r="T892" s="47"/>
    </row>
    <row r="893" spans="19:20">
      <c r="S893" s="47"/>
      <c r="T893" s="47"/>
    </row>
    <row r="894" spans="19:20">
      <c r="S894" s="47"/>
      <c r="T894" s="47"/>
    </row>
    <row r="895" spans="19:20">
      <c r="S895" s="47"/>
      <c r="T895" s="47"/>
    </row>
    <row r="896" spans="19:20">
      <c r="S896" s="47"/>
      <c r="T896" s="47"/>
    </row>
    <row r="897" spans="19:20">
      <c r="S897" s="47"/>
      <c r="T897" s="47"/>
    </row>
    <row r="898" spans="19:20">
      <c r="S898" s="47"/>
      <c r="T898" s="47"/>
    </row>
    <row r="899" spans="19:20">
      <c r="S899" s="47"/>
      <c r="T899" s="47"/>
    </row>
    <row r="900" spans="19:20">
      <c r="S900" s="47"/>
      <c r="T900" s="47"/>
    </row>
    <row r="901" spans="19:20">
      <c r="S901" s="47"/>
      <c r="T901" s="47"/>
    </row>
    <row r="902" spans="19:20">
      <c r="S902" s="47"/>
      <c r="T902" s="47"/>
    </row>
    <row r="903" spans="19:20">
      <c r="S903" s="47"/>
      <c r="T903" s="47"/>
    </row>
    <row r="904" spans="19:20">
      <c r="S904" s="47"/>
      <c r="T904" s="47"/>
    </row>
    <row r="905" spans="19:20">
      <c r="S905" s="47"/>
      <c r="T905" s="47"/>
    </row>
    <row r="906" spans="19:20">
      <c r="S906" s="47"/>
      <c r="T906" s="47"/>
    </row>
    <row r="907" spans="19:20">
      <c r="S907" s="47"/>
      <c r="T907" s="47"/>
    </row>
    <row r="908" spans="19:20">
      <c r="S908" s="47"/>
      <c r="T908" s="47"/>
    </row>
    <row r="909" spans="19:20">
      <c r="S909" s="47"/>
      <c r="T909" s="47"/>
    </row>
    <row r="910" spans="19:20">
      <c r="S910" s="47"/>
      <c r="T910" s="47"/>
    </row>
    <row r="911" spans="19:20">
      <c r="S911" s="47"/>
      <c r="T911" s="47"/>
    </row>
    <row r="912" spans="19:20">
      <c r="S912" s="47"/>
      <c r="T912" s="47"/>
    </row>
    <row r="913" spans="19:20">
      <c r="S913" s="47"/>
      <c r="T913" s="47"/>
    </row>
    <row r="914" spans="19:20">
      <c r="S914" s="47"/>
      <c r="T914" s="47"/>
    </row>
    <row r="915" spans="19:20">
      <c r="S915" s="47"/>
      <c r="T915" s="47"/>
    </row>
    <row r="916" spans="19:20">
      <c r="S916" s="47"/>
      <c r="T916" s="47"/>
    </row>
    <row r="917" spans="19:20">
      <c r="S917" s="47"/>
      <c r="T917" s="47"/>
    </row>
    <row r="918" spans="19:20">
      <c r="S918" s="47"/>
      <c r="T918" s="47"/>
    </row>
    <row r="919" spans="19:20">
      <c r="S919" s="47"/>
      <c r="T919" s="47"/>
    </row>
    <row r="920" spans="19:20">
      <c r="S920" s="47"/>
      <c r="T920" s="47"/>
    </row>
    <row r="921" spans="19:20">
      <c r="S921" s="47"/>
      <c r="T921" s="47"/>
    </row>
    <row r="922" spans="19:20">
      <c r="S922" s="47"/>
      <c r="T922" s="47"/>
    </row>
    <row r="923" spans="19:20">
      <c r="S923" s="47"/>
      <c r="T923" s="47"/>
    </row>
    <row r="924" spans="19:20">
      <c r="S924" s="47"/>
      <c r="T924" s="47"/>
    </row>
    <row r="925" spans="19:20">
      <c r="S925" s="47"/>
      <c r="T925" s="47"/>
    </row>
    <row r="926" spans="19:20">
      <c r="S926" s="47"/>
      <c r="T926" s="47"/>
    </row>
    <row r="927" spans="19:20">
      <c r="S927" s="47"/>
      <c r="T927" s="47"/>
    </row>
    <row r="928" spans="19:20">
      <c r="S928" s="47"/>
      <c r="T928" s="47"/>
    </row>
    <row r="929" spans="19:20">
      <c r="S929" s="47"/>
      <c r="T929" s="47"/>
    </row>
    <row r="930" spans="19:20">
      <c r="S930" s="47"/>
      <c r="T930" s="47"/>
    </row>
    <row r="931" spans="19:20">
      <c r="S931" s="47"/>
      <c r="T931" s="47"/>
    </row>
    <row r="932" spans="19:20">
      <c r="S932" s="47"/>
      <c r="T932" s="47"/>
    </row>
    <row r="933" spans="19:20">
      <c r="S933" s="47"/>
      <c r="T933" s="47"/>
    </row>
    <row r="934" spans="19:20">
      <c r="S934" s="47"/>
      <c r="T934" s="47"/>
    </row>
    <row r="935" spans="19:20">
      <c r="S935" s="47"/>
      <c r="T935" s="47"/>
    </row>
    <row r="936" spans="19:20">
      <c r="S936" s="47"/>
      <c r="T936" s="47"/>
    </row>
    <row r="937" spans="19:20">
      <c r="S937" s="47"/>
      <c r="T937" s="47"/>
    </row>
    <row r="938" spans="19:20">
      <c r="S938" s="47"/>
      <c r="T938" s="47"/>
    </row>
    <row r="939" spans="19:20">
      <c r="S939" s="47"/>
      <c r="T939" s="47"/>
    </row>
    <row r="940" spans="19:20">
      <c r="S940" s="47"/>
      <c r="T940" s="47"/>
    </row>
    <row r="941" spans="19:20">
      <c r="S941" s="47"/>
      <c r="T941" s="47"/>
    </row>
    <row r="942" spans="19:20">
      <c r="S942" s="47"/>
      <c r="T942" s="47"/>
    </row>
    <row r="943" spans="19:20">
      <c r="S943" s="47"/>
      <c r="T943" s="47"/>
    </row>
    <row r="944" spans="19:20">
      <c r="S944" s="47"/>
      <c r="T944" s="47"/>
    </row>
    <row r="945" spans="19:20">
      <c r="S945" s="47"/>
      <c r="T945" s="47"/>
    </row>
    <row r="946" spans="19:20">
      <c r="S946" s="47"/>
      <c r="T946" s="47"/>
    </row>
    <row r="947" spans="19:20">
      <c r="S947" s="47"/>
      <c r="T947" s="47"/>
    </row>
    <row r="948" spans="19:20">
      <c r="S948" s="47"/>
      <c r="T948" s="47"/>
    </row>
    <row r="949" spans="19:20">
      <c r="S949" s="47"/>
      <c r="T949" s="47"/>
    </row>
    <row r="950" spans="19:20">
      <c r="S950" s="47"/>
      <c r="T950" s="47"/>
    </row>
    <row r="951" spans="19:20">
      <c r="S951" s="47"/>
      <c r="T951" s="47"/>
    </row>
    <row r="952" spans="19:20">
      <c r="S952" s="47"/>
      <c r="T952" s="47"/>
    </row>
    <row r="953" spans="19:20">
      <c r="S953" s="47"/>
      <c r="T953" s="47"/>
    </row>
    <row r="954" spans="19:20">
      <c r="S954" s="47"/>
      <c r="T954" s="47"/>
    </row>
    <row r="955" spans="19:20">
      <c r="S955" s="47"/>
      <c r="T955" s="47"/>
    </row>
    <row r="956" spans="19:20">
      <c r="S956" s="47"/>
      <c r="T956" s="47"/>
    </row>
    <row r="957" spans="19:20">
      <c r="S957" s="47"/>
      <c r="T957" s="47"/>
    </row>
    <row r="958" spans="19:20">
      <c r="S958" s="47"/>
      <c r="T958" s="47"/>
    </row>
    <row r="959" spans="19:20">
      <c r="S959" s="47"/>
      <c r="T959" s="47"/>
    </row>
    <row r="960" spans="19:20">
      <c r="S960" s="47"/>
      <c r="T960" s="47"/>
    </row>
    <row r="961" spans="19:20">
      <c r="S961" s="47"/>
      <c r="T961" s="47"/>
    </row>
    <row r="962" spans="19:20">
      <c r="S962" s="47"/>
      <c r="T962" s="47"/>
    </row>
    <row r="963" spans="19:20">
      <c r="S963" s="47"/>
      <c r="T963" s="47"/>
    </row>
    <row r="964" spans="19:20">
      <c r="S964" s="47"/>
      <c r="T964" s="47"/>
    </row>
    <row r="965" spans="19:20">
      <c r="S965" s="47"/>
      <c r="T965" s="47"/>
    </row>
    <row r="966" spans="19:20">
      <c r="S966" s="47"/>
      <c r="T966" s="47"/>
    </row>
    <row r="967" spans="19:20">
      <c r="S967" s="47"/>
      <c r="T967" s="47"/>
    </row>
    <row r="968" spans="19:20">
      <c r="S968" s="47"/>
      <c r="T968" s="47"/>
    </row>
    <row r="969" spans="19:20">
      <c r="S969" s="47"/>
      <c r="T969" s="47"/>
    </row>
    <row r="970" spans="19:20">
      <c r="S970" s="47"/>
      <c r="T970" s="47"/>
    </row>
    <row r="971" spans="19:20">
      <c r="S971" s="47"/>
      <c r="T971" s="47"/>
    </row>
    <row r="972" spans="19:20">
      <c r="S972" s="47"/>
      <c r="T972" s="47"/>
    </row>
    <row r="973" spans="19:20">
      <c r="S973" s="47"/>
      <c r="T973" s="47"/>
    </row>
    <row r="974" spans="19:20">
      <c r="S974" s="47"/>
      <c r="T974" s="47"/>
    </row>
    <row r="975" spans="19:20">
      <c r="S975" s="47"/>
      <c r="T975" s="47"/>
    </row>
    <row r="976" spans="19:20">
      <c r="S976" s="47"/>
      <c r="T976" s="47"/>
    </row>
    <row r="977" spans="19:20">
      <c r="S977" s="47"/>
      <c r="T977" s="47"/>
    </row>
    <row r="978" spans="19:20">
      <c r="S978" s="47"/>
      <c r="T978" s="47"/>
    </row>
    <row r="979" spans="19:20">
      <c r="S979" s="47"/>
      <c r="T979" s="47"/>
    </row>
    <row r="980" spans="19:20">
      <c r="S980" s="47"/>
      <c r="T980" s="47"/>
    </row>
    <row r="981" spans="19:20">
      <c r="S981" s="47"/>
      <c r="T981" s="47"/>
    </row>
    <row r="982" spans="19:20">
      <c r="S982" s="47"/>
      <c r="T982" s="47"/>
    </row>
    <row r="983" spans="19:20">
      <c r="S983" s="47"/>
      <c r="T983" s="47"/>
    </row>
    <row r="984" spans="19:20">
      <c r="S984" s="47"/>
      <c r="T984" s="47"/>
    </row>
    <row r="985" spans="19:20">
      <c r="S985" s="47"/>
      <c r="T985" s="47"/>
    </row>
    <row r="986" spans="19:20">
      <c r="S986" s="47"/>
      <c r="T986" s="47"/>
    </row>
    <row r="987" spans="19:20">
      <c r="S987" s="47"/>
      <c r="T987" s="47"/>
    </row>
    <row r="988" spans="19:20">
      <c r="S988" s="47"/>
      <c r="T988" s="47"/>
    </row>
    <row r="989" spans="19:20">
      <c r="S989" s="47"/>
      <c r="T989" s="47"/>
    </row>
    <row r="990" spans="19:20">
      <c r="S990" s="47"/>
      <c r="T990" s="47"/>
    </row>
    <row r="991" spans="19:20">
      <c r="S991" s="47"/>
      <c r="T991" s="47"/>
    </row>
    <row r="992" spans="19:20">
      <c r="S992" s="47"/>
      <c r="T992" s="47"/>
    </row>
    <row r="993" spans="19:20">
      <c r="S993" s="47"/>
      <c r="T993" s="47"/>
    </row>
    <row r="994" spans="19:20">
      <c r="S994" s="47"/>
      <c r="T994" s="47"/>
    </row>
    <row r="995" spans="19:20">
      <c r="S995" s="47"/>
      <c r="T995" s="47"/>
    </row>
    <row r="996" spans="19:20">
      <c r="S996" s="47"/>
      <c r="T996" s="47"/>
    </row>
    <row r="997" spans="19:20">
      <c r="S997" s="47"/>
      <c r="T997" s="47"/>
    </row>
    <row r="998" spans="19:20">
      <c r="S998" s="47"/>
      <c r="T998" s="47"/>
    </row>
    <row r="999" spans="19:20">
      <c r="S999" s="47"/>
      <c r="T999" s="47"/>
    </row>
    <row r="1000" spans="19:20">
      <c r="S1000" s="47"/>
      <c r="T1000" s="47"/>
    </row>
    <row r="1001" spans="19:20">
      <c r="S1001" s="47"/>
      <c r="T1001" s="47"/>
    </row>
    <row r="1002" spans="19:20">
      <c r="S1002" s="47"/>
      <c r="T1002" s="47"/>
    </row>
    <row r="1003" spans="19:20">
      <c r="S1003" s="47"/>
      <c r="T1003" s="47"/>
    </row>
    <row r="1004" spans="19:20">
      <c r="S1004" s="47"/>
      <c r="T1004" s="47"/>
    </row>
    <row r="1005" spans="19:20">
      <c r="S1005" s="47"/>
      <c r="T1005" s="47"/>
    </row>
    <row r="1006" spans="19:20">
      <c r="S1006" s="47"/>
      <c r="T1006" s="47"/>
    </row>
    <row r="1007" spans="19:20">
      <c r="S1007" s="47"/>
      <c r="T1007" s="47"/>
    </row>
    <row r="1008" spans="19:20">
      <c r="S1008" s="47"/>
      <c r="T1008" s="47"/>
    </row>
    <row r="1009" spans="19:20">
      <c r="S1009" s="47"/>
      <c r="T1009" s="47"/>
    </row>
    <row r="1010" spans="19:20">
      <c r="S1010" s="47"/>
      <c r="T1010" s="47"/>
    </row>
    <row r="1011" spans="19:20">
      <c r="S1011" s="47"/>
      <c r="T1011" s="47"/>
    </row>
    <row r="1012" spans="19:20">
      <c r="S1012" s="47"/>
      <c r="T1012" s="47"/>
    </row>
    <row r="1013" spans="19:20">
      <c r="S1013" s="47"/>
      <c r="T1013" s="47"/>
    </row>
    <row r="1014" spans="19:20">
      <c r="S1014" s="47"/>
      <c r="T1014" s="47"/>
    </row>
    <row r="1015" spans="19:20">
      <c r="S1015" s="47"/>
      <c r="T1015" s="47"/>
    </row>
    <row r="1016" spans="19:20">
      <c r="S1016" s="47"/>
      <c r="T1016" s="47"/>
    </row>
    <row r="1017" spans="19:20">
      <c r="S1017" s="47"/>
      <c r="T1017" s="47"/>
    </row>
    <row r="1018" spans="19:20">
      <c r="S1018" s="47"/>
      <c r="T1018" s="47"/>
    </row>
    <row r="1019" spans="19:20">
      <c r="S1019" s="47"/>
      <c r="T1019" s="47"/>
    </row>
    <row r="1020" spans="19:20">
      <c r="S1020" s="47"/>
      <c r="T1020" s="47"/>
    </row>
    <row r="1021" spans="19:20">
      <c r="S1021" s="47"/>
      <c r="T1021" s="47"/>
    </row>
    <row r="1022" spans="19:20">
      <c r="S1022" s="47"/>
      <c r="T1022" s="47"/>
    </row>
    <row r="1023" spans="19:20">
      <c r="S1023" s="47"/>
      <c r="T1023" s="47"/>
    </row>
    <row r="1024" spans="19:20">
      <c r="S1024" s="47"/>
      <c r="T1024" s="47"/>
    </row>
    <row r="1025" spans="19:20">
      <c r="S1025" s="47"/>
      <c r="T1025" s="47"/>
    </row>
    <row r="1026" spans="19:20">
      <c r="S1026" s="47"/>
      <c r="T1026" s="47"/>
    </row>
    <row r="1027" spans="19:20">
      <c r="S1027" s="47"/>
      <c r="T1027" s="47"/>
    </row>
    <row r="1028" spans="19:20">
      <c r="S1028" s="47"/>
      <c r="T1028" s="47"/>
    </row>
    <row r="1029" spans="19:20">
      <c r="S1029" s="47"/>
      <c r="T1029" s="47"/>
    </row>
    <row r="1030" spans="19:20">
      <c r="S1030" s="47"/>
      <c r="T1030" s="47"/>
    </row>
    <row r="1031" spans="19:20">
      <c r="S1031" s="47"/>
      <c r="T1031" s="47"/>
    </row>
    <row r="1032" spans="19:20">
      <c r="S1032" s="47"/>
      <c r="T1032" s="47"/>
    </row>
    <row r="1033" spans="19:20">
      <c r="S1033" s="47"/>
      <c r="T1033" s="47"/>
    </row>
    <row r="1034" spans="19:20">
      <c r="S1034" s="47"/>
      <c r="T1034" s="47"/>
    </row>
    <row r="1035" spans="19:20">
      <c r="S1035" s="47"/>
      <c r="T1035" s="47"/>
    </row>
    <row r="1036" spans="19:20">
      <c r="S1036" s="47"/>
      <c r="T1036" s="47"/>
    </row>
    <row r="1037" spans="19:20">
      <c r="S1037" s="47"/>
      <c r="T1037" s="47"/>
    </row>
    <row r="1038" spans="19:20">
      <c r="S1038" s="47"/>
      <c r="T1038" s="47"/>
    </row>
    <row r="1039" spans="19:20">
      <c r="S1039" s="47"/>
      <c r="T1039" s="47"/>
    </row>
    <row r="1040" spans="19:20">
      <c r="S1040" s="47"/>
      <c r="T1040" s="47"/>
    </row>
    <row r="1041" spans="19:20">
      <c r="S1041" s="47"/>
      <c r="T1041" s="47"/>
    </row>
    <row r="1042" spans="19:20">
      <c r="S1042" s="47"/>
      <c r="T1042" s="47"/>
    </row>
    <row r="1043" spans="19:20">
      <c r="S1043" s="47"/>
      <c r="T1043" s="47"/>
    </row>
    <row r="1044" spans="19:20">
      <c r="S1044" s="47"/>
      <c r="T1044" s="47"/>
    </row>
    <row r="1045" spans="19:20">
      <c r="S1045" s="47"/>
      <c r="T1045" s="47"/>
    </row>
    <row r="1046" spans="19:20">
      <c r="S1046" s="47"/>
      <c r="T1046" s="47"/>
    </row>
    <row r="1047" spans="19:20">
      <c r="S1047" s="47"/>
      <c r="T1047" s="47"/>
    </row>
    <row r="1048" spans="19:20">
      <c r="S1048" s="47"/>
      <c r="T1048" s="47"/>
    </row>
    <row r="1049" spans="19:20">
      <c r="S1049" s="47"/>
      <c r="T1049" s="47"/>
    </row>
    <row r="1050" spans="19:20">
      <c r="S1050" s="47"/>
      <c r="T1050" s="47"/>
    </row>
    <row r="1051" spans="19:20">
      <c r="S1051" s="47"/>
      <c r="T1051" s="47"/>
    </row>
    <row r="1052" spans="19:20">
      <c r="S1052" s="47"/>
      <c r="T1052" s="47"/>
    </row>
    <row r="1053" spans="19:20">
      <c r="S1053" s="47"/>
      <c r="T1053" s="47"/>
    </row>
    <row r="1054" spans="19:20">
      <c r="S1054" s="47"/>
      <c r="T1054" s="47"/>
    </row>
    <row r="1055" spans="19:20">
      <c r="S1055" s="47"/>
      <c r="T1055" s="47"/>
    </row>
    <row r="1056" spans="19:20">
      <c r="S1056" s="47"/>
      <c r="T1056" s="47"/>
    </row>
    <row r="1057" spans="19:20">
      <c r="S1057" s="47"/>
      <c r="T1057" s="47"/>
    </row>
    <row r="1058" spans="19:20">
      <c r="S1058" s="47"/>
      <c r="T1058" s="47"/>
    </row>
    <row r="1059" spans="19:20">
      <c r="S1059" s="47"/>
      <c r="T1059" s="47"/>
    </row>
    <row r="1060" spans="19:20">
      <c r="S1060" s="47"/>
      <c r="T1060" s="47"/>
    </row>
    <row r="1061" spans="19:20">
      <c r="S1061" s="47"/>
      <c r="T1061" s="47"/>
    </row>
    <row r="1062" spans="19:20">
      <c r="S1062" s="47"/>
      <c r="T1062" s="47"/>
    </row>
    <row r="1063" spans="19:20">
      <c r="S1063" s="47"/>
      <c r="T1063" s="47"/>
    </row>
    <row r="1064" spans="19:20">
      <c r="S1064" s="47"/>
      <c r="T1064" s="47"/>
    </row>
    <row r="1065" spans="19:20">
      <c r="S1065" s="47"/>
      <c r="T1065" s="47"/>
    </row>
    <row r="1066" spans="19:20">
      <c r="S1066" s="47"/>
      <c r="T1066" s="47"/>
    </row>
    <row r="1067" spans="19:20">
      <c r="S1067" s="47"/>
      <c r="T1067" s="47"/>
    </row>
    <row r="1068" spans="19:20">
      <c r="S1068" s="47"/>
      <c r="T1068" s="47"/>
    </row>
    <row r="1069" spans="19:20">
      <c r="S1069" s="47"/>
      <c r="T1069" s="47"/>
    </row>
    <row r="1070" spans="19:20">
      <c r="S1070" s="47"/>
      <c r="T1070" s="47"/>
    </row>
    <row r="1071" spans="19:20">
      <c r="S1071" s="47"/>
      <c r="T1071" s="47"/>
    </row>
    <row r="1072" spans="19:20">
      <c r="S1072" s="47"/>
      <c r="T1072" s="47"/>
    </row>
    <row r="1073" spans="19:20">
      <c r="S1073" s="47"/>
      <c r="T1073" s="47"/>
    </row>
    <row r="1074" spans="19:20">
      <c r="S1074" s="47"/>
      <c r="T1074" s="47"/>
    </row>
    <row r="1075" spans="19:20">
      <c r="S1075" s="47"/>
      <c r="T1075" s="47"/>
    </row>
    <row r="1076" spans="19:20">
      <c r="S1076" s="47"/>
      <c r="T1076" s="47"/>
    </row>
    <row r="1077" spans="19:20">
      <c r="S1077" s="47"/>
      <c r="T1077" s="47"/>
    </row>
    <row r="1078" spans="19:20">
      <c r="S1078" s="47"/>
      <c r="T1078" s="47"/>
    </row>
    <row r="1079" spans="19:20">
      <c r="S1079" s="47"/>
      <c r="T1079" s="47"/>
    </row>
    <row r="1080" spans="19:20">
      <c r="S1080" s="47"/>
      <c r="T1080" s="47"/>
    </row>
    <row r="1081" spans="19:20">
      <c r="S1081" s="47"/>
      <c r="T1081" s="47"/>
    </row>
    <row r="1082" spans="19:20">
      <c r="S1082" s="47"/>
      <c r="T1082" s="47"/>
    </row>
    <row r="1083" spans="19:20">
      <c r="S1083" s="47"/>
      <c r="T1083" s="47"/>
    </row>
    <row r="1084" spans="19:20">
      <c r="S1084" s="47"/>
      <c r="T1084" s="47"/>
    </row>
    <row r="1085" spans="19:20">
      <c r="S1085" s="47"/>
      <c r="T1085" s="47"/>
    </row>
    <row r="1086" spans="19:20">
      <c r="S1086" s="47"/>
      <c r="T1086" s="47"/>
    </row>
    <row r="1087" spans="19:20">
      <c r="S1087" s="47"/>
      <c r="T1087" s="47"/>
    </row>
    <row r="1088" spans="19:20">
      <c r="S1088" s="47"/>
      <c r="T1088" s="47"/>
    </row>
    <row r="1089" spans="19:20">
      <c r="S1089" s="47"/>
      <c r="T1089" s="47"/>
    </row>
    <row r="1090" spans="19:20">
      <c r="S1090" s="47"/>
      <c r="T1090" s="47"/>
    </row>
    <row r="1091" spans="19:20">
      <c r="S1091" s="47"/>
      <c r="T1091" s="47"/>
    </row>
    <row r="1092" spans="19:20">
      <c r="S1092" s="47"/>
      <c r="T1092" s="47"/>
    </row>
    <row r="1093" spans="19:20">
      <c r="S1093" s="47"/>
      <c r="T1093" s="47"/>
    </row>
    <row r="1094" spans="19:20">
      <c r="S1094" s="47"/>
      <c r="T1094" s="47"/>
    </row>
    <row r="1095" spans="19:20">
      <c r="S1095" s="47"/>
      <c r="T1095" s="47"/>
    </row>
    <row r="1096" spans="19:20">
      <c r="S1096" s="47"/>
      <c r="T1096" s="47"/>
    </row>
    <row r="1097" spans="19:20">
      <c r="S1097" s="47"/>
      <c r="T1097" s="47"/>
    </row>
    <row r="1098" spans="19:20">
      <c r="S1098" s="47"/>
      <c r="T1098" s="47"/>
    </row>
    <row r="1099" spans="19:20">
      <c r="S1099" s="47"/>
      <c r="T1099" s="47"/>
    </row>
    <row r="1100" spans="19:20">
      <c r="S1100" s="47"/>
      <c r="T1100" s="47"/>
    </row>
    <row r="1101" spans="19:20">
      <c r="S1101" s="47"/>
      <c r="T1101" s="47"/>
    </row>
    <row r="1102" spans="19:20">
      <c r="S1102" s="47"/>
      <c r="T1102" s="47"/>
    </row>
    <row r="1103" spans="19:20">
      <c r="S1103" s="47"/>
      <c r="T1103" s="47"/>
    </row>
    <row r="1104" spans="19:20">
      <c r="S1104" s="47"/>
      <c r="T1104" s="47"/>
    </row>
    <row r="1105" spans="19:20">
      <c r="S1105" s="47"/>
      <c r="T1105" s="47"/>
    </row>
    <row r="1106" spans="19:20">
      <c r="S1106" s="47"/>
      <c r="T1106" s="47"/>
    </row>
    <row r="1107" spans="19:20">
      <c r="S1107" s="47"/>
      <c r="T1107" s="47"/>
    </row>
    <row r="1108" spans="19:20">
      <c r="S1108" s="47"/>
      <c r="T1108" s="47"/>
    </row>
    <row r="1109" spans="19:20">
      <c r="S1109" s="47"/>
      <c r="T1109" s="47"/>
    </row>
    <row r="1110" spans="19:20">
      <c r="S1110" s="47"/>
      <c r="T1110" s="47"/>
    </row>
    <row r="1111" spans="19:20">
      <c r="S1111" s="47"/>
      <c r="T1111" s="47"/>
    </row>
    <row r="1112" spans="19:20">
      <c r="S1112" s="47"/>
      <c r="T1112" s="47"/>
    </row>
    <row r="1113" spans="19:20">
      <c r="S1113" s="47"/>
      <c r="T1113" s="47"/>
    </row>
    <row r="1114" spans="19:20">
      <c r="S1114" s="47"/>
      <c r="T1114" s="47"/>
    </row>
    <row r="1115" spans="19:20">
      <c r="S1115" s="47"/>
      <c r="T1115" s="47"/>
    </row>
    <row r="1116" spans="19:20">
      <c r="S1116" s="47"/>
      <c r="T1116" s="47"/>
    </row>
    <row r="1117" spans="19:20">
      <c r="S1117" s="47"/>
      <c r="T1117" s="47"/>
    </row>
    <row r="1118" spans="19:20">
      <c r="S1118" s="47"/>
      <c r="T1118" s="47"/>
    </row>
    <row r="1119" spans="19:20">
      <c r="S1119" s="47"/>
      <c r="T1119" s="47"/>
    </row>
    <row r="1120" spans="19:20">
      <c r="S1120" s="47"/>
      <c r="T1120" s="47"/>
    </row>
    <row r="1121" spans="19:20">
      <c r="S1121" s="47"/>
      <c r="T1121" s="47"/>
    </row>
    <row r="1122" spans="19:20">
      <c r="S1122" s="47"/>
      <c r="T1122" s="47"/>
    </row>
    <row r="1123" spans="19:20">
      <c r="S1123" s="47"/>
      <c r="T1123" s="47"/>
    </row>
    <row r="1124" spans="19:20">
      <c r="S1124" s="47"/>
      <c r="T1124" s="47"/>
    </row>
    <row r="1125" spans="19:20">
      <c r="S1125" s="47"/>
      <c r="T1125" s="47"/>
    </row>
    <row r="1126" spans="19:20">
      <c r="S1126" s="47"/>
      <c r="T1126" s="47"/>
    </row>
    <row r="1127" spans="19:20">
      <c r="S1127" s="47"/>
      <c r="T1127" s="47"/>
    </row>
    <row r="1128" spans="19:20">
      <c r="S1128" s="47"/>
      <c r="T1128" s="47"/>
    </row>
    <row r="1129" spans="19:20">
      <c r="S1129" s="47"/>
      <c r="T1129" s="47"/>
    </row>
    <row r="1130" spans="19:20">
      <c r="S1130" s="47"/>
      <c r="T1130" s="47"/>
    </row>
    <row r="1131" spans="19:20">
      <c r="S1131" s="47"/>
      <c r="T1131" s="47"/>
    </row>
    <row r="1132" spans="19:20">
      <c r="S1132" s="47"/>
      <c r="T1132" s="47"/>
    </row>
    <row r="1133" spans="19:20">
      <c r="S1133" s="47"/>
      <c r="T1133" s="47"/>
    </row>
    <row r="1134" spans="19:20">
      <c r="S1134" s="47"/>
      <c r="T1134" s="47"/>
    </row>
    <row r="1135" spans="19:20">
      <c r="S1135" s="47"/>
      <c r="T1135" s="47"/>
    </row>
    <row r="1136" spans="19:20">
      <c r="S1136" s="47"/>
      <c r="T1136" s="47"/>
    </row>
    <row r="1137" spans="19:20">
      <c r="S1137" s="47"/>
      <c r="T1137" s="47"/>
    </row>
    <row r="1138" spans="19:20">
      <c r="S1138" s="47"/>
      <c r="T1138" s="47"/>
    </row>
    <row r="1139" spans="19:20">
      <c r="S1139" s="47"/>
      <c r="T1139" s="47"/>
    </row>
    <row r="1140" spans="19:20">
      <c r="S1140" s="47"/>
      <c r="T1140" s="47"/>
    </row>
    <row r="1141" spans="19:20">
      <c r="S1141" s="47"/>
      <c r="T1141" s="47"/>
    </row>
    <row r="1142" spans="19:20">
      <c r="S1142" s="47"/>
      <c r="T1142" s="47"/>
    </row>
    <row r="1143" spans="19:20">
      <c r="S1143" s="47"/>
      <c r="T1143" s="47"/>
    </row>
    <row r="1144" spans="19:20">
      <c r="S1144" s="47"/>
      <c r="T1144" s="47"/>
    </row>
    <row r="1145" spans="19:20">
      <c r="S1145" s="47"/>
      <c r="T1145" s="47"/>
    </row>
    <row r="1146" spans="19:20">
      <c r="S1146" s="47"/>
      <c r="T1146" s="47"/>
    </row>
    <row r="1147" spans="19:20">
      <c r="S1147" s="47"/>
      <c r="T1147" s="47"/>
    </row>
    <row r="1148" spans="19:20">
      <c r="S1148" s="47"/>
      <c r="T1148" s="47"/>
    </row>
    <row r="1149" spans="19:20">
      <c r="S1149" s="47"/>
      <c r="T1149" s="47"/>
    </row>
    <row r="1150" spans="19:20">
      <c r="S1150" s="47"/>
      <c r="T1150" s="47"/>
    </row>
    <row r="1151" spans="19:20">
      <c r="S1151" s="47"/>
      <c r="T1151" s="47"/>
    </row>
    <row r="1152" spans="19:20">
      <c r="S1152" s="47"/>
      <c r="T1152" s="47"/>
    </row>
    <row r="1153" spans="19:20">
      <c r="S1153" s="47"/>
      <c r="T1153" s="47"/>
    </row>
    <row r="1154" spans="19:20">
      <c r="S1154" s="47"/>
      <c r="T1154" s="47"/>
    </row>
    <row r="1155" spans="19:20">
      <c r="S1155" s="47"/>
      <c r="T1155" s="47"/>
    </row>
    <row r="1156" spans="19:20">
      <c r="S1156" s="47"/>
      <c r="T1156" s="47"/>
    </row>
    <row r="1157" spans="19:20">
      <c r="S1157" s="47"/>
      <c r="T1157" s="47"/>
    </row>
    <row r="1158" spans="19:20">
      <c r="S1158" s="47"/>
      <c r="T1158" s="47"/>
    </row>
    <row r="1159" spans="19:20">
      <c r="S1159" s="47"/>
      <c r="T1159" s="47"/>
    </row>
    <row r="1160" spans="19:20">
      <c r="S1160" s="47"/>
      <c r="T1160" s="47"/>
    </row>
    <row r="1161" spans="19:20">
      <c r="S1161" s="47"/>
      <c r="T1161" s="47"/>
    </row>
    <row r="1162" spans="19:20">
      <c r="S1162" s="47"/>
      <c r="T1162" s="47"/>
    </row>
    <row r="1163" spans="19:20">
      <c r="S1163" s="47"/>
      <c r="T1163" s="47"/>
    </row>
    <row r="1164" spans="19:20">
      <c r="S1164" s="47"/>
      <c r="T1164" s="47"/>
    </row>
    <row r="1165" spans="19:20">
      <c r="S1165" s="47"/>
      <c r="T1165" s="47"/>
    </row>
    <row r="1166" spans="19:20">
      <c r="S1166" s="47"/>
      <c r="T1166" s="47"/>
    </row>
    <row r="1167" spans="19:20">
      <c r="S1167" s="47"/>
      <c r="T1167" s="47"/>
    </row>
    <row r="1168" spans="19:20">
      <c r="S1168" s="47"/>
      <c r="T1168" s="47"/>
    </row>
    <row r="1169" spans="19:20">
      <c r="S1169" s="47"/>
      <c r="T1169" s="47"/>
    </row>
    <row r="1170" spans="19:20">
      <c r="S1170" s="47"/>
      <c r="T1170" s="47"/>
    </row>
    <row r="1171" spans="19:20">
      <c r="S1171" s="47"/>
      <c r="T1171" s="47"/>
    </row>
    <row r="1172" spans="19:20">
      <c r="S1172" s="47"/>
      <c r="T1172" s="47"/>
    </row>
    <row r="1173" spans="19:20">
      <c r="S1173" s="47"/>
      <c r="T1173" s="47"/>
    </row>
    <row r="1174" spans="19:20">
      <c r="S1174" s="47"/>
      <c r="T1174" s="47"/>
    </row>
    <row r="1175" spans="19:20">
      <c r="S1175" s="47"/>
      <c r="T1175" s="47"/>
    </row>
    <row r="1176" spans="19:20">
      <c r="S1176" s="47"/>
      <c r="T1176" s="47"/>
    </row>
    <row r="1177" spans="19:20">
      <c r="S1177" s="47"/>
      <c r="T1177" s="47"/>
    </row>
    <row r="1178" spans="19:20">
      <c r="S1178" s="47"/>
      <c r="T1178" s="47"/>
    </row>
    <row r="1179" spans="19:20">
      <c r="S1179" s="47"/>
      <c r="T1179" s="47"/>
    </row>
    <row r="1180" spans="19:20">
      <c r="S1180" s="47"/>
      <c r="T1180" s="47"/>
    </row>
    <row r="1181" spans="19:20">
      <c r="S1181" s="47"/>
      <c r="T1181" s="47"/>
    </row>
    <row r="1182" spans="19:20">
      <c r="S1182" s="47"/>
      <c r="T1182" s="47"/>
    </row>
    <row r="1183" spans="19:20">
      <c r="S1183" s="47"/>
      <c r="T1183" s="47"/>
    </row>
    <row r="1184" spans="19:20">
      <c r="S1184" s="47"/>
      <c r="T1184" s="47"/>
    </row>
    <row r="1185" spans="19:20">
      <c r="S1185" s="47"/>
      <c r="T1185" s="47"/>
    </row>
    <row r="1186" spans="19:20">
      <c r="S1186" s="47"/>
      <c r="T1186" s="47"/>
    </row>
    <row r="1187" spans="19:20">
      <c r="S1187" s="47"/>
      <c r="T1187" s="47"/>
    </row>
    <row r="1188" spans="19:20">
      <c r="S1188" s="47"/>
      <c r="T1188" s="47"/>
    </row>
    <row r="1189" spans="19:20">
      <c r="S1189" s="47"/>
      <c r="T1189" s="47"/>
    </row>
  </sheetData>
  <autoFilter ref="A1:T188" xr:uid="{00000000-0009-0000-0000-000005000000}"/>
  <phoneticPr fontId="30" type="noConversion"/>
  <dataValidations count="1">
    <dataValidation type="list" allowBlank="1" showInputMessage="1" showErrorMessage="1" sqref="N2:N988" xr:uid="{00000000-0002-0000-0500-000000000000}">
      <formula1>"Pending,Partially Sold,Sold Out,New,Reserved"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8"/>
  <sheetViews>
    <sheetView zoomScaleNormal="100" workbookViewId="0">
      <pane ySplit="7" topLeftCell="A8" activePane="bottomLeft" state="frozen"/>
      <selection pane="bottomLeft" activeCell="B24" sqref="B24"/>
    </sheetView>
  </sheetViews>
  <sheetFormatPr baseColWidth="10" defaultColWidth="8.83203125" defaultRowHeight="13.5" customHeight="1"/>
  <cols>
    <col min="1" max="1" width="12" style="6" customWidth="1"/>
    <col min="2" max="2" width="28.1640625" style="6" customWidth="1"/>
    <col min="3" max="3" width="24.5" style="6" customWidth="1"/>
    <col min="4" max="4" width="23.5" style="6" customWidth="1"/>
    <col min="5" max="5" width="26.83203125" style="6" customWidth="1"/>
    <col min="6" max="6" width="20.6640625" style="6" customWidth="1"/>
    <col min="7" max="7" width="29.5" style="6" customWidth="1"/>
    <col min="8" max="8" width="26.6640625" style="6" customWidth="1"/>
    <col min="9" max="16384" width="8.83203125" style="6"/>
  </cols>
  <sheetData>
    <row r="1" spans="1:8" ht="15" customHeight="1">
      <c r="A1" s="88" t="s">
        <v>1050</v>
      </c>
      <c r="B1" s="88"/>
    </row>
    <row r="2" spans="1:8" ht="13.5" customHeight="1">
      <c r="A2" s="8" t="s">
        <v>42</v>
      </c>
      <c r="B2" s="8" t="s">
        <v>1051</v>
      </c>
    </row>
    <row r="3" spans="1:8" ht="13.5" customHeight="1">
      <c r="A3" s="9" t="s">
        <v>49</v>
      </c>
      <c r="B3" s="69">
        <v>0.33339999999999997</v>
      </c>
    </row>
    <row r="4" spans="1:8" ht="13.5" customHeight="1">
      <c r="A4" s="11" t="s">
        <v>50</v>
      </c>
      <c r="B4" s="70">
        <v>0.3332</v>
      </c>
    </row>
    <row r="5" spans="1:8" ht="13.5" customHeight="1">
      <c r="A5" s="9" t="s">
        <v>51</v>
      </c>
      <c r="B5" s="69">
        <v>0.33339999999999997</v>
      </c>
    </row>
    <row r="7" spans="1:8" s="72" customFormat="1" ht="13.5" customHeight="1">
      <c r="A7" s="71" t="s">
        <v>42</v>
      </c>
      <c r="B7" s="71" t="s">
        <v>1052</v>
      </c>
      <c r="C7" s="71" t="s">
        <v>1053</v>
      </c>
      <c r="D7" s="71" t="s">
        <v>1054</v>
      </c>
      <c r="E7" s="71" t="s">
        <v>1055</v>
      </c>
      <c r="F7" s="71" t="s">
        <v>1056</v>
      </c>
      <c r="G7" s="71" t="s">
        <v>1057</v>
      </c>
      <c r="H7" s="71" t="s">
        <v>1058</v>
      </c>
    </row>
    <row r="8" spans="1:8" ht="13.5" customHeight="1">
      <c r="A8" s="9" t="s">
        <v>49</v>
      </c>
      <c r="B8" s="9">
        <f>IFERROR(SUMIF(Purchases!$B:$B,$A8,Purchases!$C:$C),0)</f>
        <v>252430</v>
      </c>
      <c r="C8" s="9">
        <f>SUM($B$8:$B$10)/3</f>
        <v>185449</v>
      </c>
      <c r="D8" s="9">
        <f>B8-C8</f>
        <v>66981</v>
      </c>
      <c r="E8" s="9">
        <f>IF(Summary!$B$6&gt;0, Summary!$B$6*VLOOKUP($A8,$A$3:$B$5,2,FALSE()),0)</f>
        <v>0</v>
      </c>
      <c r="F8" s="9">
        <f>D8+E8</f>
        <v>66981</v>
      </c>
      <c r="G8" s="9">
        <f>IFERROR(SUMIFS($E$13:$E$499,$D$13:$D$499,$A8,$B$13:$B$499,"Contribution"),0)+IFERROR(SUMIFS($E$13:$E$499,$D$13:$D$499,$A8,$B$13:$B$499,"Profit"),0)-IFERROR(SUMIFS($E$13:$E$499,$C$13:$C$499,$A8,$B$13:$B$499,"Contribution"),0)-IFERROR(SUMIFS($E$13:$E$499,$C$13:$C$499,$A8,$B$13:$B$499,"Profit"),0)</f>
        <v>18303.34</v>
      </c>
      <c r="H8" s="73">
        <f>F8-G8</f>
        <v>48677.66</v>
      </c>
    </row>
    <row r="9" spans="1:8" ht="13.5" customHeight="1">
      <c r="A9" s="11" t="s">
        <v>50</v>
      </c>
      <c r="B9" s="11">
        <f>IFERROR(SUMIF(Purchases!$B:$B,$A9,Purchases!$C:$C),0)</f>
        <v>271317</v>
      </c>
      <c r="C9" s="11">
        <f>SUM($B$8:$B$10)/3</f>
        <v>185449</v>
      </c>
      <c r="D9" s="11">
        <f>B9-C9</f>
        <v>85868</v>
      </c>
      <c r="E9" s="11">
        <f>IF(Summary!$B$6&gt;0, Summary!$B$6*VLOOKUP($A9,$A$3:$B$5,2,FALSE()),0)</f>
        <v>0</v>
      </c>
      <c r="F9" s="11">
        <f>D9+E9</f>
        <v>85868</v>
      </c>
      <c r="G9" s="11">
        <f>IFERROR(SUMIFS($E$13:$E$499,$D$13:$D$499,$A9,$B$13:$B$499,"Contribution"),0)+IFERROR(SUMIFS($E$13:$E$499,$D$13:$D$499,$A9,$B$13:$B$499,"Profit"),0)-IFERROR(SUMIFS($E$13:$E$499,$C$13:$C$499,$A9,$B$13:$B$499,"Contribution"),0)-IFERROR(SUMIFS($E$13:$E$499,$C$13:$C$499,$A9,$B$13:$B$499,"Profit"),0)</f>
        <v>41639.33</v>
      </c>
      <c r="H9" s="74">
        <f>F9-G9</f>
        <v>44228.67</v>
      </c>
    </row>
    <row r="10" spans="1:8" ht="13.5" customHeight="1">
      <c r="A10" s="9" t="s">
        <v>51</v>
      </c>
      <c r="B10" s="9">
        <f>IFERROR(SUMIF(Purchases!$B:$B,$A10,Purchases!$C:$C),0)</f>
        <v>32600</v>
      </c>
      <c r="C10" s="9">
        <f>SUM($B$8:$B$10)/3</f>
        <v>185449</v>
      </c>
      <c r="D10" s="9">
        <f>B10-C10</f>
        <v>-152849</v>
      </c>
      <c r="E10" s="9">
        <f>IF(Summary!$B$6&gt;0, Summary!$B$6*VLOOKUP($A10,$A$3:$B$5,2,FALSE()),0)</f>
        <v>0</v>
      </c>
      <c r="F10" s="9">
        <f>D10+E10</f>
        <v>-152849</v>
      </c>
      <c r="G10" s="9">
        <f>IFERROR(SUMIFS($E$13:$E$499,$D$13:$D$499,$A10,$B$13:$B$499,"Contribution"),0)+IFERROR(SUMIFS($E$13:$E$499,$D$13:$D$499,$A10,$B$13:$B$499,"Profit"),0)-IFERROR(SUMIFS($E$13:$E$499,$C$13:$C$499,$A10,$B$13:$B$499,"Contribution"),0)-IFERROR(SUMIFS($E$13:$E$499,$C$13:$C$499,$A10,$B$13:$B$499,"Profit"),0)</f>
        <v>-59942.67</v>
      </c>
      <c r="H10" s="73">
        <f>F10-G10</f>
        <v>-92906.33</v>
      </c>
    </row>
    <row r="12" spans="1:8" s="75" customFormat="1" ht="15.75" customHeight="1">
      <c r="A12" s="89" t="s">
        <v>1059</v>
      </c>
      <c r="B12" s="89"/>
      <c r="C12" s="89"/>
      <c r="D12" s="89"/>
      <c r="E12" s="89"/>
      <c r="F12" s="89"/>
    </row>
    <row r="13" spans="1:8" s="72" customFormat="1" ht="13.5" customHeight="1">
      <c r="A13" s="71" t="s">
        <v>98</v>
      </c>
      <c r="B13" s="71" t="s">
        <v>1060</v>
      </c>
      <c r="C13" s="71" t="s">
        <v>1061</v>
      </c>
      <c r="D13" s="71" t="s">
        <v>1062</v>
      </c>
      <c r="E13" s="71" t="s">
        <v>99</v>
      </c>
      <c r="F13" s="71" t="s">
        <v>100</v>
      </c>
    </row>
    <row r="14" spans="1:8" ht="13.5" customHeight="1">
      <c r="A14" s="76">
        <v>45952</v>
      </c>
      <c r="B14" s="9" t="s">
        <v>1063</v>
      </c>
      <c r="C14" s="9" t="s">
        <v>51</v>
      </c>
      <c r="D14" s="9" t="s">
        <v>49</v>
      </c>
      <c r="E14" s="69">
        <v>16032</v>
      </c>
      <c r="F14" s="9"/>
    </row>
    <row r="15" spans="1:8" ht="13.5" customHeight="1">
      <c r="A15" s="77">
        <v>45952</v>
      </c>
      <c r="B15" s="11" t="s">
        <v>1063</v>
      </c>
      <c r="C15" s="11" t="s">
        <v>51</v>
      </c>
      <c r="D15" s="11" t="s">
        <v>50</v>
      </c>
      <c r="E15" s="70">
        <v>21859</v>
      </c>
      <c r="F15" s="11"/>
    </row>
    <row r="16" spans="1:8" ht="13.5" customHeight="1">
      <c r="A16" s="76">
        <v>45954</v>
      </c>
      <c r="B16" s="9" t="s">
        <v>150</v>
      </c>
      <c r="C16" s="9" t="s">
        <v>49</v>
      </c>
      <c r="D16" s="9" t="s">
        <v>51</v>
      </c>
      <c r="E16" s="69">
        <v>28826.524000000001</v>
      </c>
      <c r="F16" s="9"/>
    </row>
    <row r="17" spans="1:6" ht="13.5" customHeight="1">
      <c r="A17" s="77">
        <v>45954</v>
      </c>
      <c r="B17" s="11" t="s">
        <v>150</v>
      </c>
      <c r="C17" s="11" t="s">
        <v>49</v>
      </c>
      <c r="D17" s="11" t="s">
        <v>50</v>
      </c>
      <c r="E17" s="70">
        <v>32606.952000000001</v>
      </c>
      <c r="F17" s="11"/>
    </row>
    <row r="18" spans="1:6" ht="13.5" customHeight="1">
      <c r="A18" s="76">
        <v>45970</v>
      </c>
      <c r="B18" s="9" t="s">
        <v>1063</v>
      </c>
      <c r="C18" s="9" t="s">
        <v>50</v>
      </c>
      <c r="D18" s="9" t="s">
        <v>51</v>
      </c>
      <c r="E18" s="69">
        <v>3209.34</v>
      </c>
      <c r="F18" s="9"/>
    </row>
    <row r="19" spans="1:6" ht="13.5" customHeight="1">
      <c r="A19" s="77">
        <v>45970</v>
      </c>
      <c r="B19" s="11" t="s">
        <v>1063</v>
      </c>
      <c r="C19" s="11" t="s">
        <v>50</v>
      </c>
      <c r="D19" s="11" t="s">
        <v>49</v>
      </c>
      <c r="E19" s="70">
        <v>411</v>
      </c>
      <c r="F19" s="11"/>
    </row>
    <row r="20" spans="1:6" ht="13.5" customHeight="1">
      <c r="A20" s="76">
        <v>45973</v>
      </c>
      <c r="B20" s="9" t="s">
        <v>1063</v>
      </c>
      <c r="C20" s="9" t="s">
        <v>50</v>
      </c>
      <c r="D20" s="9" t="s">
        <v>51</v>
      </c>
      <c r="E20" s="69">
        <v>905</v>
      </c>
      <c r="F20" s="9"/>
    </row>
    <row r="21" spans="1:6" ht="13.5" customHeight="1">
      <c r="A21" s="77">
        <v>45973</v>
      </c>
      <c r="B21" s="11" t="s">
        <v>1063</v>
      </c>
      <c r="C21" s="11" t="s">
        <v>49</v>
      </c>
      <c r="D21" s="11" t="s">
        <v>51</v>
      </c>
      <c r="E21" s="70">
        <v>904</v>
      </c>
      <c r="F21" s="11"/>
    </row>
    <row r="22" spans="1:6" ht="13.5" customHeight="1">
      <c r="A22" s="76">
        <v>46058</v>
      </c>
      <c r="B22" s="9" t="s">
        <v>1063</v>
      </c>
      <c r="C22" s="9" t="s">
        <v>51</v>
      </c>
      <c r="D22" s="9" t="s">
        <v>50</v>
      </c>
      <c r="E22" s="69">
        <v>27014</v>
      </c>
      <c r="F22" s="9"/>
    </row>
    <row r="23" spans="1:6" ht="13.5" customHeight="1">
      <c r="A23" s="77">
        <v>46059</v>
      </c>
      <c r="B23" s="11" t="s">
        <v>150</v>
      </c>
      <c r="C23" s="11" t="s">
        <v>49</v>
      </c>
      <c r="D23" s="11" t="s">
        <v>51</v>
      </c>
      <c r="E23" s="70">
        <v>30266</v>
      </c>
      <c r="F23" s="11"/>
    </row>
    <row r="24" spans="1:6" ht="13.5" customHeight="1">
      <c r="A24" s="76">
        <v>46059</v>
      </c>
      <c r="B24" s="9" t="s">
        <v>1063</v>
      </c>
      <c r="C24" s="9" t="s">
        <v>49</v>
      </c>
      <c r="D24" s="9" t="s">
        <v>50</v>
      </c>
      <c r="E24" s="69">
        <v>2225</v>
      </c>
      <c r="F24" s="9"/>
    </row>
    <row r="25" spans="1:6" ht="13.5" customHeight="1">
      <c r="A25" s="77">
        <v>46059</v>
      </c>
      <c r="B25" s="11" t="s">
        <v>150</v>
      </c>
      <c r="C25" s="11" t="s">
        <v>49</v>
      </c>
      <c r="D25" s="11" t="s">
        <v>50</v>
      </c>
      <c r="E25" s="70">
        <v>32354</v>
      </c>
      <c r="F25" s="11"/>
    </row>
    <row r="26" spans="1:6" ht="13.5" customHeight="1">
      <c r="A26" s="76">
        <v>46093</v>
      </c>
      <c r="B26" s="9" t="s">
        <v>1063</v>
      </c>
      <c r="C26" s="9" t="s">
        <v>50</v>
      </c>
      <c r="D26" s="9" t="s">
        <v>49</v>
      </c>
      <c r="E26" s="69">
        <v>4933.33</v>
      </c>
      <c r="F26" s="9"/>
    </row>
    <row r="27" spans="1:6" ht="13.5" customHeight="1">
      <c r="A27" s="77">
        <v>46093</v>
      </c>
      <c r="B27" s="11" t="s">
        <v>1063</v>
      </c>
      <c r="C27" s="11" t="s">
        <v>51</v>
      </c>
      <c r="D27" s="11" t="s">
        <v>49</v>
      </c>
      <c r="E27" s="70">
        <v>56.01</v>
      </c>
      <c r="F27" s="11"/>
    </row>
    <row r="28" spans="1:6" ht="13.5" customHeight="1">
      <c r="A28" s="76">
        <v>46093</v>
      </c>
      <c r="B28" s="9" t="s">
        <v>150</v>
      </c>
      <c r="C28" s="9" t="s">
        <v>49</v>
      </c>
      <c r="D28" s="9" t="s">
        <v>51</v>
      </c>
      <c r="E28" s="69">
        <v>6630.46</v>
      </c>
      <c r="F28" s="9"/>
    </row>
    <row r="29" spans="1:6" ht="13.5" customHeight="1">
      <c r="A29" s="77">
        <v>46093</v>
      </c>
      <c r="B29" s="11" t="s">
        <v>150</v>
      </c>
      <c r="C29" s="11" t="s">
        <v>49</v>
      </c>
      <c r="D29" s="11" t="s">
        <v>50</v>
      </c>
      <c r="E29" s="70">
        <v>6626.09</v>
      </c>
      <c r="F29" s="11"/>
    </row>
    <row r="30" spans="1:6" ht="13.5" customHeight="1">
      <c r="A30" s="9"/>
      <c r="B30" s="9"/>
      <c r="C30" s="9"/>
      <c r="D30" s="9"/>
      <c r="E30" s="9"/>
      <c r="F30" s="9"/>
    </row>
    <row r="31" spans="1:6" ht="13.5" customHeight="1">
      <c r="A31" s="11"/>
      <c r="B31" s="11"/>
      <c r="C31" s="11"/>
      <c r="D31" s="11"/>
      <c r="E31" s="11"/>
      <c r="F31" s="11"/>
    </row>
    <row r="32" spans="1:6" ht="13.5" customHeight="1">
      <c r="A32" s="9"/>
      <c r="B32" s="9"/>
      <c r="C32" s="9"/>
      <c r="D32" s="9"/>
      <c r="E32" s="9"/>
      <c r="F32" s="9"/>
    </row>
    <row r="33" spans="1:6" ht="13.5" customHeight="1">
      <c r="A33" s="11"/>
      <c r="B33" s="11"/>
      <c r="C33" s="11"/>
      <c r="D33" s="11"/>
      <c r="E33" s="11"/>
      <c r="F33" s="11"/>
    </row>
    <row r="58" spans="2:2" ht="13.5" customHeight="1">
      <c r="B58" s="6" t="s">
        <v>1064</v>
      </c>
    </row>
  </sheetData>
  <mergeCells count="2">
    <mergeCell ref="A1:B1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zoomScaleNormal="100" workbookViewId="0">
      <pane ySplit="3" topLeftCell="A4" activePane="bottomLeft" state="frozen"/>
      <selection pane="bottomLeft" activeCell="B49" sqref="B49"/>
    </sheetView>
  </sheetViews>
  <sheetFormatPr baseColWidth="10" defaultColWidth="8.83203125" defaultRowHeight="13.5" customHeight="1"/>
  <cols>
    <col min="1" max="1" width="73.1640625" style="6" customWidth="1"/>
    <col min="2" max="2" width="29.6640625" style="6" customWidth="1"/>
    <col min="3" max="3" width="8" style="6" customWidth="1"/>
    <col min="4" max="4" width="21.6640625" style="6" customWidth="1"/>
    <col min="5" max="5" width="21.5" style="6" customWidth="1"/>
    <col min="6" max="6" width="34.33203125" style="6" customWidth="1"/>
    <col min="7" max="7" width="28" style="6" customWidth="1"/>
    <col min="8" max="16384" width="8.83203125" style="6"/>
  </cols>
  <sheetData>
    <row r="1" spans="1:7" ht="13.5" customHeight="1">
      <c r="A1" s="78" t="s">
        <v>1065</v>
      </c>
    </row>
    <row r="3" spans="1:7" s="72" customFormat="1" ht="13.5" customHeight="1">
      <c r="A3" s="71" t="s">
        <v>42</v>
      </c>
      <c r="B3" s="71" t="s">
        <v>1066</v>
      </c>
      <c r="C3" s="71" t="s">
        <v>1051</v>
      </c>
      <c r="D3" s="71" t="s">
        <v>1067</v>
      </c>
      <c r="E3" s="71" t="s">
        <v>1068</v>
      </c>
      <c r="F3" s="71" t="s">
        <v>1069</v>
      </c>
      <c r="G3" s="71" t="s">
        <v>1070</v>
      </c>
    </row>
    <row r="4" spans="1:7" ht="13.5" customHeight="1">
      <c r="A4" s="9" t="s">
        <v>49</v>
      </c>
      <c r="B4" s="9">
        <f>IFERROR(SUMIFS(Sales!$C:$C,Sales!$E:$E,$A4,Sales!$I:$I,"Completed"),0)</f>
        <v>416139</v>
      </c>
      <c r="C4" s="9">
        <f>VLOOKUP($A4,PartnerShares!$A$3:$B$5,2,FALSE())</f>
        <v>0.33339999999999997</v>
      </c>
      <c r="D4" s="9">
        <f>Summary!$B$4*C4</f>
        <v>162006.72819999998</v>
      </c>
      <c r="E4" s="9">
        <f>B4-D4</f>
        <v>254132.27180000002</v>
      </c>
      <c r="F4" s="9">
        <f>IFERROR(SUMIFS(PartnerShares!$E$13:$E$499,PartnerShares!$D$13:$D$499,$A4,PartnerShares!$B$13:$B$499,"Cash"),0)-IFERROR(SUMIFS(PartnerShares!$E$13:$E$499,PartnerShares!$C$13:$C$499,$A4,PartnerShares!$B$13:$B$499,"Cash"),0)</f>
        <v>-137310.02600000001</v>
      </c>
      <c r="G4" s="73">
        <f>E4+F4</f>
        <v>116822.2458</v>
      </c>
    </row>
    <row r="5" spans="1:7" ht="13.5" customHeight="1">
      <c r="A5" s="11" t="s">
        <v>50</v>
      </c>
      <c r="B5" s="11">
        <f>IFERROR(SUMIFS(Sales!$C:$C,Sales!$E:$E,$A5,Sales!$I:$I,"Completed"),0)</f>
        <v>54624</v>
      </c>
      <c r="C5" s="11">
        <f>VLOOKUP($A5,PartnerShares!$A$3:$B$5,2,FALSE())</f>
        <v>0.3332</v>
      </c>
      <c r="D5" s="11">
        <f>Summary!$B$4*C5</f>
        <v>161909.5436</v>
      </c>
      <c r="E5" s="11">
        <f>B5-D5</f>
        <v>-107285.5436</v>
      </c>
      <c r="F5" s="11">
        <f>IFERROR(SUMIFS(PartnerShares!$E$13:$E$499,PartnerShares!$D$13:$D$499,$A5,PartnerShares!$B$13:$B$499,"Cash"),0)-IFERROR(SUMIFS(PartnerShares!$E$13:$E$499,PartnerShares!$C$13:$C$499,$A5,PartnerShares!$B$13:$B$499,"Cash"),0)</f>
        <v>71587.042000000001</v>
      </c>
      <c r="G5" s="74">
        <f>E5+F5</f>
        <v>-35698.501600000003</v>
      </c>
    </row>
    <row r="6" spans="1:7" ht="13.5" customHeight="1">
      <c r="A6" s="9" t="s">
        <v>51</v>
      </c>
      <c r="B6" s="9">
        <f>IFERROR(SUMIFS(Sales!$C:$C,Sales!$E:$E,$A6,Sales!$I:$I,"Completed"),0)</f>
        <v>12530</v>
      </c>
      <c r="C6" s="9">
        <f>VLOOKUP($A6,PartnerShares!$A$3:$B$5,2,FALSE())</f>
        <v>0.33339999999999997</v>
      </c>
      <c r="D6" s="9">
        <f>Summary!$B$4*C6</f>
        <v>162006.72819999998</v>
      </c>
      <c r="E6" s="9">
        <f>B6-D6</f>
        <v>-149476.72819999998</v>
      </c>
      <c r="F6" s="9">
        <f>IFERROR(SUMIFS(PartnerShares!$E$13:$E$499,PartnerShares!$D$13:$D$499,$A6,PartnerShares!$B$13:$B$499,"Cash"),0)-IFERROR(SUMIFS(PartnerShares!$E$13:$E$499,PartnerShares!$C$13:$C$499,$A6,PartnerShares!$B$13:$B$499,"Cash"),0)</f>
        <v>65722.984000000011</v>
      </c>
      <c r="G6" s="73">
        <f>E6+F6</f>
        <v>-83753.744199999972</v>
      </c>
    </row>
    <row r="9" spans="1:7" ht="13.5" customHeight="1">
      <c r="A9" s="6" t="s">
        <v>0</v>
      </c>
    </row>
    <row r="10" spans="1:7" ht="13.5" customHeight="1">
      <c r="A10" s="6" t="s">
        <v>1071</v>
      </c>
    </row>
    <row r="11" spans="1:7" ht="13.5" customHeight="1">
      <c r="A11" s="6" t="s">
        <v>1072</v>
      </c>
    </row>
    <row r="12" spans="1:7" ht="13.5" customHeight="1">
      <c r="A12" s="6" t="s">
        <v>1073</v>
      </c>
    </row>
    <row r="13" spans="1:7" ht="13.5" customHeight="1">
      <c r="A13" s="6" t="s">
        <v>1074</v>
      </c>
    </row>
    <row r="14" spans="1:7" ht="13.5" customHeight="1">
      <c r="A14" s="6" t="s">
        <v>1075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Summary</vt:lpstr>
      <vt:lpstr>Dashboard</vt:lpstr>
      <vt:lpstr>Purchases</vt:lpstr>
      <vt:lpstr>Sales</vt:lpstr>
      <vt:lpstr>INVENTORY</vt:lpstr>
      <vt:lpstr>PartnerShares</vt:lpstr>
      <vt:lpstr>Cash 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Anoop Premachandran</cp:lastModifiedBy>
  <cp:revision>6</cp:revision>
  <dcterms:created xsi:type="dcterms:W3CDTF">2025-10-03T20:28:25Z</dcterms:created>
  <dcterms:modified xsi:type="dcterms:W3CDTF">2026-08-03T03:29:53Z</dcterms:modified>
  <dc:language>en-US</dc:language>
</cp:coreProperties>
</file>