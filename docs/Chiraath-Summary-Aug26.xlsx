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88CB7011-580A-8F42-9B00-0A7BBA060129}"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INVENTORY!$A$1:$T$188</definedName>
    <definedName name="_xlnm._FilterDatabase" localSheetId="3" hidden="1">Purchases!$A$1:$D$32</definedName>
    <definedName name="_xlnm._FilterDatabase" localSheetId="4" hidden="1">Sales!$A$1:$I$301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27" i="6" l="1"/>
  <c r="I227" i="6"/>
  <c r="J227" i="6"/>
  <c r="K227" i="6"/>
  <c r="H228" i="6"/>
  <c r="I228" i="6"/>
  <c r="J228" i="6"/>
  <c r="K228" i="6"/>
  <c r="H229" i="6"/>
  <c r="I229" i="6"/>
  <c r="J229" i="6"/>
  <c r="K229" i="6"/>
  <c r="H230" i="6"/>
  <c r="I230" i="6"/>
  <c r="J230" i="6"/>
  <c r="K230" i="6"/>
  <c r="H231" i="6"/>
  <c r="I231" i="6"/>
  <c r="J231" i="6"/>
  <c r="K231" i="6"/>
  <c r="H232" i="6"/>
  <c r="I232" i="6"/>
  <c r="J232" i="6"/>
  <c r="K232" i="6"/>
  <c r="H233" i="6"/>
  <c r="I233" i="6"/>
  <c r="J233" i="6"/>
  <c r="K233" i="6"/>
  <c r="I234" i="6"/>
  <c r="J234" i="6"/>
  <c r="K234" i="6"/>
  <c r="H235" i="6"/>
  <c r="I235" i="6"/>
  <c r="J235" i="6"/>
  <c r="K235" i="6"/>
  <c r="H236" i="6"/>
  <c r="I236" i="6"/>
  <c r="H237" i="6"/>
  <c r="I237" i="6"/>
  <c r="J237" i="6"/>
  <c r="K237" i="6"/>
  <c r="H238" i="6"/>
  <c r="I238" i="6"/>
  <c r="H223" i="6"/>
  <c r="I223" i="6"/>
  <c r="J223" i="6"/>
  <c r="K223" i="6"/>
  <c r="H224" i="6"/>
  <c r="I224" i="6"/>
  <c r="J224" i="6"/>
  <c r="K224" i="6"/>
  <c r="H225" i="6"/>
  <c r="I225" i="6"/>
  <c r="J225" i="6"/>
  <c r="K225" i="6"/>
  <c r="H226" i="6"/>
  <c r="I226" i="6"/>
  <c r="J226" i="6"/>
  <c r="K226" i="6"/>
  <c r="F6" i="8"/>
  <c r="C6" i="8"/>
  <c r="B6" i="8"/>
  <c r="B28" i="2" s="1"/>
  <c r="F5" i="8"/>
  <c r="C5" i="8"/>
  <c r="B5" i="8"/>
  <c r="B27" i="2" s="1"/>
  <c r="F4" i="8"/>
  <c r="C4" i="8"/>
  <c r="B4" i="8"/>
  <c r="B26" i="2" s="1"/>
  <c r="G10" i="7"/>
  <c r="B10" i="7"/>
  <c r="B20" i="2" s="1"/>
  <c r="G9" i="7"/>
  <c r="B9" i="7"/>
  <c r="B19" i="2" s="1"/>
  <c r="G8" i="7"/>
  <c r="B8" i="7"/>
  <c r="B18" i="2" s="1"/>
  <c r="I222" i="6"/>
  <c r="J222" i="6" s="1"/>
  <c r="H222" i="6"/>
  <c r="I221" i="6"/>
  <c r="K221" i="6" s="1"/>
  <c r="H221" i="6"/>
  <c r="I220" i="6"/>
  <c r="J220" i="6" s="1"/>
  <c r="H220" i="6"/>
  <c r="I219" i="6"/>
  <c r="K219" i="6" s="1"/>
  <c r="H219" i="6"/>
  <c r="I218" i="6"/>
  <c r="J218" i="6" s="1"/>
  <c r="H218" i="6"/>
  <c r="I217" i="6"/>
  <c r="K217" i="6" s="1"/>
  <c r="H217" i="6"/>
  <c r="I216" i="6"/>
  <c r="J216" i="6" s="1"/>
  <c r="H216" i="6"/>
  <c r="I215" i="6"/>
  <c r="K215" i="6" s="1"/>
  <c r="H215" i="6"/>
  <c r="I214" i="6"/>
  <c r="J214" i="6" s="1"/>
  <c r="H214" i="6"/>
  <c r="I213" i="6"/>
  <c r="K213" i="6" s="1"/>
  <c r="H213" i="6"/>
  <c r="I212" i="6"/>
  <c r="J212" i="6" s="1"/>
  <c r="H212" i="6"/>
  <c r="I211" i="6"/>
  <c r="K211" i="6" s="1"/>
  <c r="H211" i="6"/>
  <c r="I210" i="6"/>
  <c r="J210" i="6" s="1"/>
  <c r="H210" i="6"/>
  <c r="I209" i="6"/>
  <c r="K209" i="6" s="1"/>
  <c r="H209" i="6"/>
  <c r="I208" i="6"/>
  <c r="J208" i="6" s="1"/>
  <c r="H208" i="6"/>
  <c r="I207" i="6"/>
  <c r="K207" i="6" s="1"/>
  <c r="H207" i="6"/>
  <c r="I206" i="6"/>
  <c r="J206" i="6" s="1"/>
  <c r="H206" i="6"/>
  <c r="I205" i="6"/>
  <c r="K205" i="6" s="1"/>
  <c r="H205" i="6"/>
  <c r="I204" i="6"/>
  <c r="J204" i="6" s="1"/>
  <c r="H204" i="6"/>
  <c r="I203" i="6"/>
  <c r="K203" i="6" s="1"/>
  <c r="H203" i="6"/>
  <c r="I202" i="6"/>
  <c r="J202" i="6" s="1"/>
  <c r="H202" i="6"/>
  <c r="I201" i="6"/>
  <c r="K201" i="6" s="1"/>
  <c r="H201" i="6"/>
  <c r="I200" i="6"/>
  <c r="J200" i="6" s="1"/>
  <c r="H200" i="6"/>
  <c r="I199" i="6"/>
  <c r="K199" i="6" s="1"/>
  <c r="H199" i="6"/>
  <c r="I198" i="6"/>
  <c r="J198" i="6" s="1"/>
  <c r="H198" i="6"/>
  <c r="I197" i="6"/>
  <c r="K197" i="6" s="1"/>
  <c r="H197" i="6"/>
  <c r="I196" i="6"/>
  <c r="J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36" i="6" l="1"/>
  <c r="K236" i="6"/>
  <c r="K238" i="6"/>
  <c r="J238"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6" i="6"/>
  <c r="K198" i="6"/>
  <c r="K200" i="6"/>
  <c r="K202" i="6"/>
  <c r="K204" i="6"/>
  <c r="K206" i="6"/>
  <c r="K208" i="6"/>
  <c r="K210" i="6"/>
  <c r="K212" i="6"/>
  <c r="K214" i="6"/>
  <c r="K216" i="6"/>
  <c r="K218" i="6"/>
  <c r="K220" i="6"/>
  <c r="K222" i="6"/>
  <c r="C10" i="7"/>
  <c r="C20" i="2" s="1"/>
  <c r="D4" i="8"/>
  <c r="C26" i="2" s="1"/>
  <c r="C9" i="7"/>
  <c r="C8" i="7"/>
  <c r="C18" i="2" s="1"/>
  <c r="J183" i="6"/>
  <c r="J185" i="6"/>
  <c r="J187" i="6"/>
  <c r="J189" i="6"/>
  <c r="J191" i="6"/>
  <c r="J193" i="6"/>
  <c r="J195" i="6"/>
  <c r="J197" i="6"/>
  <c r="J199" i="6"/>
  <c r="J201" i="6"/>
  <c r="J203" i="6"/>
  <c r="J205" i="6"/>
  <c r="J207" i="6"/>
  <c r="J209" i="6"/>
  <c r="J211" i="6"/>
  <c r="J213" i="6"/>
  <c r="J215" i="6"/>
  <c r="J217" i="6"/>
  <c r="J219" i="6"/>
  <c r="J221"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<sst xmlns="http://schemas.openxmlformats.org/spreadsheetml/2006/main" count="3211" uniqueCount="1272">
  <si>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</si>
  <si>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</si>
  <si>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</si>
  <si>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</si>
  <si>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</si>
  <si>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</si>
  <si>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</si>
  <si>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</si>
  <si>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</si>
  <si>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</si>
  <si>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</si>
  <si>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</si>
  <si>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</si>
  <si>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</si>
  <si>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</si>
  <si>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</si>
  <si>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</si>
  <si>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</si>
  <si>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</si>
  <si>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</si>
  <si>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</si>
  <si>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</si>
  <si>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</si>
  <si>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</si>
  <si>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</si>
  <si>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</si>
  <si>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</si>
  <si>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</si>
  <si>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</si>
  <si>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</si>
  <si>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</si>
  <si>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</si>
  <si>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</si>
  <si>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</si>
  <si>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</si>
  <si>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</si>
  <si>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</si>
  <si>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</si>
  <si>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</si>
  <si>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</si>
  <si>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</si>
  <si>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</si>
  <si>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</si>
  <si>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</si>
  <si>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</si>
  <si>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</si>
  <si>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</si>
  <si>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</si>
  <si>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</si>
  <si>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</si>
  <si>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</si>
  <si>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</si>
  <si>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</si>
  <si>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</si>
  <si>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</si>
  <si>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</si>
  <si>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</si>
  <si>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</si>
  <si>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</si>
  <si>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</si>
  <si>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</si>
  <si>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</si>
  <si>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</si>
  <si>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</si>
  <si>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</si>
  <si>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</si>
  <si>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</si>
  <si>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</si>
  <si>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</si>
  <si>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</si>
  <si>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</si>
  <si>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</si>
  <si>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</si>
  <si>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</si>
  <si>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</si>
  <si>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</si>
  <si>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</si>
  <si>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</si>
  <si>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</si>
  <si>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</si>
  <si>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</si>
  <si>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</si>
  <si>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</si>
  <si>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</si>
  <si>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</si>
  <si>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</si>
  <si>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</si>
  <si>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</si>
  <si>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</si>
  <si>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</si>
  <si>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</si>
  <si>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</si>
  <si>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</si>
  <si>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</si>
  <si>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</si>
  <si>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</si>
  <si>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</si>
  <si>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</si>
  <si>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</si>
  <si>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</si>
  <si>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</si>
  <si>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</si>
  <si>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</si>
  <si>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</si>
  <si>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</si>
  <si>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</si>
  <si>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</si>
  <si>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</si>
  <si>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</si>
  <si>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</si>
  <si>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</si>
  <si>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</si>
  <si>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</si>
  <si>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</si>
  <si>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</si>
  <si>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</si>
  <si>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</si>
  <si>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</si>
  <si>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</si>
  <si>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</si>
  <si>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</si>
  <si>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</si>
  <si>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</si>
  <si>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</si>
  <si>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</si>
  <si>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</si>
  <si>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</si>
  <si>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</si>
  <si>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</si>
  <si>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</si>
  <si>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</si>
  <si>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</si>
  <si>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</si>
  <si>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</si>
  <si>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</si>
  <si>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</si>
  <si>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</si>
  <si>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</si>
  <si>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</si>
  <si>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</si>
  <si>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</si>
  <si>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</si>
  <si>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</si>
  <si>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</si>
  <si>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</si>
  <si>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</si>
  <si>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</si>
  <si>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</si>
  <si>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</si>
  <si>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</si>
  <si>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</si>
  <si>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</si>
  <si>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</si>
  <si>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</si>
  <si>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</si>
  <si>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</si>
  <si>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</si>
  <si>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</si>
  <si>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</si>
  <si>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</si>
  <si>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</si>
  <si>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</si>
  <si>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</si>
  <si>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</si>
  <si>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</si>
  <si>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</si>
  <si>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</si>
  <si>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</si>
  <si>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</si>
  <si>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</si>
  <si>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</si>
  <si>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</si>
  <si>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</si>
  <si>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</si>
  <si>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</si>
  <si>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</si>
  <si>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</si>
  <si>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</si>
  <si>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</si>
  <si>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</si>
  <si>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</si>
  <si>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</si>
  <si>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</si>
  <si>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</si>
  <si>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</si>
  <si>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</si>
  <si>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</si>
  <si>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</si>
  <si>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</si>
  <si>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</si>
  <si>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</si>
  <si>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</si>
  <si>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</si>
  <si>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</si>
  <si>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</si>
  <si>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</si>
  <si>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</si>
  <si>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</si>
  <si>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</si>
  <si>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</si>
  <si>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</si>
  <si>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</si>
  <si>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</si>
  <si>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</si>
  <si>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</si>
  <si>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</si>
  <si>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</si>
  <si>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</si>
  <si>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</si>
  <si>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</si>
  <si>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</si>
  <si>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</si>
  <si>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</si>
  <si>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</si>
  <si>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</si>
  <si>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</si>
  <si>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</si>
  <si>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</si>
  <si>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</si>
  <si>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</si>
  <si>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</si>
  <si>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</si>
  <si>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</si>
  <si>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</si>
  <si>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</si>
  <si>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</si>
  <si>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</si>
  <si>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</si>
  <si>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</si>
  <si>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</si>
  <si>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</si>
  <si>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</si>
  <si>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</si>
  <si>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</si>
  <si>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</si>
  <si>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</si>
  <si>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</si>
  <si>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</si>
  <si>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</si>
  <si>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</si>
  <si>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</si>
  <si>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</si>
  <si>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</si>
  <si>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</si>
  <si>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</si>
  <si>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</si>
  <si>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</si>
  <si>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</si>
  <si>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</si>
  <si>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</si>
  <si>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</si>
  <si>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</si>
  <si>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</si>
  <si>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</si>
  <si>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</si>
  <si>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</si>
  <si>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</si>
  <si>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</si>
  <si>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</si>
  <si>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</si>
  <si>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</si>
  <si>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</si>
  <si>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</si>
  <si>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</si>
  <si>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</si>
  <si>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</si>
  <si>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</si>
  <si>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</si>
  <si>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</si>
  <si>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</si>
  <si>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</si>
  <si>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</si>
  <si>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</si>
  <si>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</si>
  <si>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</si>
  <si>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</si>
  <si>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</si>
  <si>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</si>
  <si>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</si>
  <si>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</si>
  <si>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</si>
  <si>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</si>
  <si>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</si>
  <si>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</si>
  <si>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</si>
  <si>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</si>
  <si>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</si>
  <si>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</si>
  <si>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</si>
  <si>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</si>
  <si>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</si>
  <si>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</si>
  <si>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</si>
  <si>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</si>
  <si>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</si>
  <si>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</si>
  <si>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</si>
  <si>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</si>
  <si>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</si>
  <si>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</si>
  <si>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</si>
  <si>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</si>
  <si>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</si>
  <si>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</si>
  <si>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</si>
  <si>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</si>
  <si>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</si>
  <si>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</si>
  <si>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</si>
  <si>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</si>
  <si>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</si>
  <si>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</si>
  <si>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</si>
  <si>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</si>
  <si>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</si>
  <si>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</si>
  <si>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</si>
  <si>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</si>
  <si>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</si>
  <si>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</si>
  <si>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</si>
  <si>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</si>
  <si>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</si>
  <si>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</si>
  <si>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</si>
  <si>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</si>
  <si>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</si>
  <si>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</si>
  <si>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</si>
  <si>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</si>
  <si>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</si>
  <si>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</si>
  <si>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</si>
  <si>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</si>
  <si>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</si>
  <si>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</si>
  <si>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</si>
  <si>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</si>
  <si>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</si>
  <si>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</si>
  <si>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</si>
  <si>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</si>
  <si>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</si>
  <si>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</si>
  <si>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</si>
  <si>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</si>
  <si>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</si>
  <si>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</si>
  <si>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</si>
  <si>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</si>
  <si>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</si>
  <si>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</si>
  <si>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</si>
  <si>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</si>
  <si>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</si>
  <si>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</si>
  <si>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</si>
  <si>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</si>
  <si>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</si>
  <si>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</si>
  <si>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</si>
  <si>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</si>
  <si>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</si>
  <si>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</si>
  <si>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</si>
  <si>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</si>
  <si>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</si>
  <si>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</si>
  <si>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</si>
  <si>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</si>
  <si>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</si>
  <si>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</si>
  <si>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</si>
  <si>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</si>
  <si>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</si>
  <si>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</si>
  <si>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</si>
  <si>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</si>
  <si>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</si>
  <si>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</si>
  <si>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</si>
  <si>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</si>
  <si>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</si>
  <si>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</si>
  <si>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</si>
  <si>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</si>
  <si>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</si>
  <si>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</si>
  <si>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</si>
  <si>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</si>
  <si>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</si>
  <si>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</si>
  <si>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</si>
  <si>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</si>
  <si>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</si>
  <si>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</si>
  <si>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</si>
  <si>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</si>
  <si>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</si>
  <si>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</si>
  <si>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</si>
  <si>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</si>
  <si>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</si>
  <si>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</si>
  <si>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</si>
  <si>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</si>
  <si>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</si>
  <si>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</si>
  <si>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</si>
  <si>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</si>
  <si>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</si>
  <si>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</si>
  <si>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</si>
  <si>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</si>
  <si>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</si>
  <si>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</si>
  <si>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</si>
  <si>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</si>
  <si>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</si>
  <si>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</si>
  <si>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</si>
  <si>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</si>
  <si>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</si>
  <si>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</si>
  <si>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</si>
  <si>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</si>
  <si>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</si>
  <si>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</si>
  <si>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</si>
  <si>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</si>
  <si>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</si>
  <si>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</si>
  <si>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</si>
  <si>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</si>
  <si>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</si>
  <si>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</si>
  <si>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</si>
  <si>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</si>
  <si>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</si>
  <si>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</si>
  <si>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</si>
  <si>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</si>
  <si>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</si>
  <si>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</si>
  <si>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</si>
  <si>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</si>
  <si>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</si>
  <si>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</si>
  <si>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</si>
  <si>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</si>
  <si>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</si>
  <si>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</si>
  <si>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</si>
  <si>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</si>
  <si>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</si>
  <si>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</si>
  <si>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</si>
  <si>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</si>
  <si>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</si>
  <si>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</si>
  <si>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</si>
  <si>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</si>
  <si>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</si>
  <si>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</si>
  <si>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</si>
  <si>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</si>
  <si>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</si>
  <si>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</si>
  <si>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</si>
  <si>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</si>
  <si>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</si>
  <si>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</si>
  <si>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</si>
  <si>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</si>
  <si>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</si>
  <si>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</si>
  <si>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</si>
  <si>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</si>
  <si>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</si>
  <si>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</si>
  <si>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</si>
  <si>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</si>
  <si>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</si>
  <si>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</si>
  <si>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</si>
  <si>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</si>
  <si>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</si>
  <si>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</si>
  <si>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</si>
  <si>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</si>
  <si>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</si>
  <si>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</si>
  <si>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</si>
  <si>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</si>
  <si>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</si>
  <si>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</si>
  <si>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</si>
  <si>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</si>
  <si>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</si>
  <si>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</si>
  <si>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</si>
  <si>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</si>
  <si>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</si>
  <si>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</si>
  <si>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</si>
  <si>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</si>
  <si>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</si>
  <si>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</si>
  <si>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</si>
  <si>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</si>
  <si>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</si>
  <si>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</si>
  <si>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</si>
  <si>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</si>
  <si>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</si>
  <si>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</si>
  <si>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</si>
  <si>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</si>
  <si>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</si>
  <si>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</si>
  <si>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</si>
  <si>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</si>
  <si>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</si>
  <si>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</si>
  <si>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</si>
  <si>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</si>
  <si>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</si>
  <si>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</si>
  <si>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</si>
  <si>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</si>
  <si>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</si>
  <si>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</si>
  <si>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</si>
  <si>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</si>
  <si>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</si>
  <si>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</si>
  <si>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</si>
  <si>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</si>
  <si>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</si>
  <si>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</si>
  <si>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</si>
  <si>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</si>
  <si>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</si>
  <si>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</si>
  <si>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</si>
  <si>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</si>
  <si>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</si>
  <si>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</si>
  <si>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</si>
  <si>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</si>
  <si>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</si>
  <si>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</si>
  <si>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</si>
  <si>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</si>
  <si>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</si>
  <si>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</si>
  <si>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</si>
  <si>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</si>
  <si>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</si>
  <si>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</si>
  <si>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</si>
  <si>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</si>
  <si>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</si>
  <si>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</si>
  <si>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</si>
  <si>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</si>
  <si>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</si>
  <si>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</si>
  <si>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</si>
  <si>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</si>
  <si>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</si>
  <si>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</si>
  <si>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</si>
  <si>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</si>
  <si>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</si>
  <si>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</si>
  <si>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</si>
  <si>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</si>
  <si>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</si>
  <si>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</si>
  <si>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</si>
  <si>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</si>
  <si>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</si>
  <si>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</si>
  <si>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</si>
  <si>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</si>
  <si>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</si>
  <si>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</si>
  <si>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</si>
  <si>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</si>
  <si>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</si>
  <si>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</si>
  <si>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</si>
  <si>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</si>
  <si>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</si>
  <si>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</si>
  <si>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</si>
  <si>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</si>
  <si>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</si>
  <si>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</si>
  <si>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</si>
  <si>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</si>
  <si>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</si>
  <si>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</si>
  <si>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</si>
  <si>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</si>
  <si>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</si>
  <si>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</si>
  <si>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</si>
  <si>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</si>
  <si>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</si>
  <si>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</si>
  <si>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</si>
  <si>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</si>
  <si>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</si>
  <si>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</si>
  <si>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</si>
  <si>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</si>
  <si>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</si>
  <si>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</si>
  <si>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</si>
  <si>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</si>
  <si>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</si>
  <si>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</si>
  <si>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</si>
  <si>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</si>
  <si>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</si>
  <si>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</si>
  <si>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</si>
  <si>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</si>
  <si>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</si>
  <si>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</si>
  <si>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</si>
  <si>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</si>
  <si>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</si>
  <si>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</si>
  <si>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</si>
  <si>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</si>
  <si>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</si>
  <si>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</si>
  <si>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</si>
  <si>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</si>
  <si>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</si>
  <si>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</si>
  <si>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</si>
  <si>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</si>
  <si>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</si>
  <si>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</si>
  <si>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</si>
  <si>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</si>
  <si>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</si>
  <si>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</si>
  <si>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</si>
  <si>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</si>
  <si>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</si>
  <si>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</si>
  <si>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</si>
  <si>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</si>
  <si>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</si>
  <si>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</si>
  <si>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</si>
  <si>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</si>
  <si>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</si>
  <si>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</si>
  <si>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</si>
  <si>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</si>
  <si>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</si>
  <si>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</si>
  <si>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</si>
  <si>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</si>
  <si>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</si>
  <si>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</si>
  <si>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</si>
  <si>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</si>
  <si>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</si>
  <si>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</si>
  <si>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</si>
  <si>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</si>
  <si>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</si>
  <si>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</si>
  <si>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</si>
  <si>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</si>
  <si>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</si>
  <si>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</si>
  <si>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</si>
  <si>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</si>
  <si>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</si>
  <si>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</si>
  <si>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</si>
  <si>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</si>
  <si>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</si>
  <si>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</si>
  <si>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</si>
  <si>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</si>
  <si>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</si>
  <si>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</si>
  <si>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</si>
  <si>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</si>
  <si>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</si>
  <si>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</si>
  <si>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</si>
  <si>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</si>
  <si>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</si>
  <si>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</si>
  <si>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</si>
  <si>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</si>
  <si>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</si>
  <si>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</si>
  <si>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</si>
  <si>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</si>
  <si>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</si>
  <si>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</si>
  <si>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</si>
  <si>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</si>
  <si>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</si>
  <si>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</si>
  <si>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</si>
  <si>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</si>
  <si>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</si>
  <si>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</si>
  <si>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</si>
  <si>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</si>
  <si>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</si>
  <si>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</si>
  <si>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</si>
  <si>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</si>
  <si>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</si>
  <si>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</si>
  <si>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</si>
  <si>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</si>
  <si>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</si>
  <si>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</si>
  <si>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</si>
  <si>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</si>
  <si>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</si>
  <si>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</si>
  <si>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</si>
  <si>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</si>
  <si>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</si>
  <si>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</si>
  <si>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</si>
  <si>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</si>
  <si>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</si>
  <si>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</si>
  <si>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</si>
  <si>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</si>
  <si>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</si>
  <si>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</si>
  <si>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</si>
  <si>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</si>
  <si>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</si>
  <si>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</si>
  <si>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</si>
  <si>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</si>
  <si>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</si>
  <si>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</si>
  <si>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</si>
  <si>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</si>
  <si>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</si>
  <si>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</si>
  <si>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</si>
  <si>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</si>
  <si>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</si>
  <si>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</si>
  <si>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</si>
  <si>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</si>
  <si>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</si>
  <si>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</si>
  <si>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</si>
  <si>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</si>
  <si>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</si>
  <si>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</si>
  <si>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</si>
  <si>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</si>
  <si>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</si>
  <si>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</si>
  <si>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</si>
  <si>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</si>
  <si>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</si>
  <si>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</si>
  <si>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</si>
  <si>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</si>
  <si>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</si>
  <si>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</si>
  <si>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</si>
  <si>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</si>
  <si>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</si>
  <si>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</si>
  <si>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</si>
  <si>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</si>
  <si>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</si>
  <si>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</si>
  <si>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</si>
  <si>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</si>
  <si>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</si>
  <si>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</si>
  <si>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</si>
  <si>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</si>
  <si>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</si>
  <si>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</si>
  <si>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</si>
  <si>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</si>
  <si>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</si>
  <si>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</si>
  <si>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</si>
  <si>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</si>
  <si>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</si>
  <si>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</si>
  <si>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</si>
  <si>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</si>
  <si>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</si>
  <si>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</si>
  <si>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</si>
  <si>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</si>
  <si>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</si>
  <si>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</si>
  <si>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</si>
  <si>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</si>
  <si>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</si>
  <si>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</si>
  <si>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</si>
  <si>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</si>
  <si>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</si>
  <si>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</si>
  <si>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</si>
  <si>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</si>
  <si>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</si>
  <si>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</si>
  <si>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</si>
  <si>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</si>
  <si>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</si>
  <si>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</si>
  <si>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</si>
  <si>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</si>
  <si>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</si>
  <si>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</si>
  <si>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</si>
  <si>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</si>
  <si>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</si>
  <si>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</si>
  <si>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</si>
  <si>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</si>
  <si>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</si>
  <si>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</si>
  <si>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</si>
  <si>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</si>
  <si>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</si>
  <si>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</si>
  <si>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</si>
  <si>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</si>
  <si>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</si>
  <si>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</si>
  <si>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</si>
  <si>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</si>
  <si>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</si>
  <si>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</si>
  <si>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</si>
  <si>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</si>
  <si>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</si>
  <si>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</si>
  <si>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</si>
  <si>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</si>
  <si>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</si>
  <si>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</si>
  <si>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</si>
  <si>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</si>
  <si>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</si>
  <si>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</si>
  <si>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</si>
  <si>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</si>
  <si>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</si>
  <si>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</si>
  <si>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</si>
  <si>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</si>
  <si>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</si>
  <si>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</si>
  <si>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</si>
  <si>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</si>
  <si>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</si>
  <si>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</si>
  <si>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</si>
  <si>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</si>
  <si>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</si>
  <si>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</si>
  <si>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</si>
  <si>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</si>
  <si>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</si>
  <si>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</si>
  <si>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</si>
  <si>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</si>
  <si>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</si>
  <si>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</si>
  <si>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</si>
  <si>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</si>
  <si>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</si>
  <si>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</si>
  <si>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</si>
  <si>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</si>
  <si>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</si>
  <si>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</si>
  <si>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</si>
  <si>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</si>
  <si>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</si>
  <si>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</si>
  <si>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</si>
  <si>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</si>
  <si>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</si>
  <si>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</si>
  <si>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</si>
  <si>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</si>
  <si>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</si>
  <si>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</si>
  <si>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</si>
  <si>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</si>
  <si>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</si>
  <si>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</si>
  <si>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</si>
  <si>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</si>
  <si>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</si>
  <si>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</si>
  <si>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</si>
  <si>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</si>
  <si>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</si>
  <si>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</si>
  <si>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</si>
  <si>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</si>
  <si>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</si>
  <si>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Revathi, Simi Sudhir</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</si>
  <si>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</si>
  <si>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</si>
  <si>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</si>
  <si>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</si>
  <si>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</si>
  <si>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</si>
  <si>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</si>
  <si>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</si>
  <si>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</si>
  <si>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</si>
  <si>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</si>
  <si>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</si>
  <si>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</si>
  <si>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</si>
  <si>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</si>
  <si>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</si>
  <si>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</si>
  <si>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</si>
  <si>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</si>
  <si>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</si>
  <si>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</si>
  <si>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</si>
  <si>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</si>
  <si>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</si>
  <si>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</si>
  <si>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</si>
  <si>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</si>
  <si>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</si>
  <si>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</si>
  <si>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</si>
  <si>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</si>
  <si>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</si>
  <si>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</si>
  <si>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</si>
  <si>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</si>
  <si>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</si>
  <si>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</si>
  <si>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</si>
  <si>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</si>
  <si>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</si>
  <si>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</si>
  <si>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</si>
  <si>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</si>
  <si>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</si>
  <si>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</si>
  <si>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</si>
  <si>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</si>
  <si>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</si>
  <si>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</si>
  <si>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</si>
  <si>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</si>
  <si>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</si>
  <si>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</si>
  <si>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</si>
  <si>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</si>
  <si>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</si>
  <si>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Cotton Saree Collections (Jari Check)</t>
  </si>
  <si>
    <t>Light blue/onion peel, brown/dark maroon, black/light green</t>
  </si>
  <si>
    <t>CHR-194</t>
  </si>
  <si>
    <t>Cotton Saree Collections (Tower Check)</t>
  </si>
  <si>
    <t>Denny - Light Blue</t>
  </si>
  <si>
    <t>Green, pink, navy blue, dark navy, dark maroon, red, orange</t>
  </si>
  <si>
    <t>CHR-195</t>
  </si>
  <si>
    <t>Cotton Saree Collections (Body Jergai)</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</si>
  <si>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</si>
  <si>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</si>
  <si>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</si>
  <si>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</si>
  <si>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</si>
  <si>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</si>
  <si>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</si>
  <si>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</si>
  <si>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</si>
  <si>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</si>
  <si>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</si>
  <si>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</si>
  <si>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</si>
  <si>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</si>
  <si>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</si>
  <si>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</si>
  <si>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</si>
  <si>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</si>
  <si>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</si>
  <si>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</si>
  <si>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</si>
  <si>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</si>
  <si>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</si>
  <si>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</si>
  <si>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</si>
  <si>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</si>
  <si>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</si>
  <si>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</si>
  <si>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</si>
  <si>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</si>
  <si>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</si>
  <si>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</si>
  <si>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</si>
  <si>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</si>
  <si>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</si>
  <si>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</si>
  <si>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</si>
  <si>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</si>
  <si>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</si>
  <si>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</si>
  <si>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</si>
  <si>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</si>
  <si>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</si>
  <si>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</si>
  <si>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</si>
  <si>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</si>
  <si>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</si>
  <si>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</si>
  <si>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</si>
  <si>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</si>
  <si>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</si>
  <si>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</si>
  <si>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</si>
  <si>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</si>
  <si>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</si>
  <si>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</si>
  <si>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</si>
  <si>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</si>
  <si>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</si>
  <si>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</si>
  <si>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</si>
  <si>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</si>
  <si>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</si>
  <si>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</si>
  <si>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</si>
  <si>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</si>
  <si>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</si>
  <si>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</si>
  <si>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</si>
  <si>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</si>
  <si>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</si>
  <si>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</si>
  <si>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</si>
  <si>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</si>
  <si>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</si>
  <si>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</si>
  <si>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</si>
  <si>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</si>
  <si>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</si>
  <si>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</si>
  <si>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</si>
  <si>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</si>
  <si>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</si>
  <si>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</si>
  <si>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</si>
  <si>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</si>
  <si>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</si>
  <si>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</si>
  <si>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</si>
  <si>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</si>
  <si>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</si>
  <si>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</si>
  <si>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</si>
  <si>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</si>
  <si>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</si>
  <si>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</si>
  <si>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</si>
  <si>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</si>
  <si>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Navy/blue &amp; maroon/grey - Navya</t>
  </si>
  <si>
    <t>Green/Navy, Red/maroon, Dark green/Navy</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</si>
  <si>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</si>
  <si>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</si>
  <si>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</si>
  <si>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</si>
  <si>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</si>
  <si>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</si>
  <si>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</si>
  <si>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</si>
  <si>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</si>
  <si>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</si>
  <si>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Peacok Blue/Maroon - 1,
Navy Blue/Maroon - 2,
Grey/Blue - 1, Purple/Green - 1</t>
  </si>
  <si>
    <t>Sherin - Maroon/navy blue(1099), Lakshmi - Navy Blue &amp; Maroon, Jaimy - Peacok Blue/Maroon, Shinoob Cousin - Lavender/Violet, Shinoob friend - Peacok Blue/Maroon(1200)</t>
  </si>
  <si>
    <t>CHR-174 Matka new design Peacok Blue/Maroon</t>
  </si>
  <si>
    <t>CHR-201 Blue</t>
  </si>
  <si>
    <t>Komalavalli</t>
  </si>
  <si>
    <t>Banarasi bulk order - Komappas</t>
  </si>
  <si>
    <t>Parrot Green Banarasi bulk order</t>
  </si>
  <si>
    <t>Jisha Bank</t>
  </si>
  <si>
    <t>Shinoob School - 1500(XXL)</t>
  </si>
  <si>
    <t>M, L, XL</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</si>
  <si>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</si>
  <si>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</si>
  <si>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</si>
  <si>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</si>
  <si>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</si>
  <si>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</si>
  <si>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</si>
  <si>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</si>
  <si>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</si>
  <si>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</si>
  <si>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</si>
  <si>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</si>
  <si>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Bank of baroda customer 2</t>
  </si>
  <si>
    <t>Shylaja Bank</t>
  </si>
  <si>
    <t>CHR-153 (XXL), CHR-155 (XXL), CHR-51(XXL) - 1000 advance</t>
  </si>
  <si>
    <t>Sruthi (1300) - L, Bank of baroda customer - M</t>
  </si>
  <si>
    <t>Susmi (1200) - L
Sreelakshmi (1000) - XL, Prema (1000) - XXL, bank of baroda customer 2- M</t>
  </si>
  <si>
    <t>Parrot Green Banarasi bulk order advance</t>
  </si>
  <si>
    <t>Renju R S</t>
  </si>
  <si>
    <t>CHR-187 - Banarasi Silk (Golden Yellow Blue)</t>
  </si>
  <si>
    <t>CHR-76 (XXL Plus white salwar) - 1100 advance, 200 balance</t>
  </si>
  <si>
    <t>CHR-87 Red Salwar with Elephant print, CHR-58 Wine Red Salwar (1000 advance, 1350 balance)</t>
  </si>
  <si>
    <t>Urmila</t>
  </si>
  <si>
    <t>Preeha Rajeevan</t>
  </si>
  <si>
    <t>Chithra - XL, Shanu - XXL (1350)</t>
  </si>
  <si>
    <t>CHR-154 Dark Brown Salwar with mirrion work - XL</t>
  </si>
  <si>
    <t>Gokul</t>
  </si>
  <si>
    <t>CHR-201 Tusser Saree Maroon &amp; Blue</t>
  </si>
  <si>
    <t>Anjumol Canada</t>
  </si>
  <si>
    <t>Gincy Jibi</t>
  </si>
  <si>
    <t>Green/maroon - Rajitha Teacher,  chikku green - Razia Salim, Rust Orange/Coffee Brown - Nishida, Chikku Maroon(1200) - Nishida, Komalavalli - Red/green, peacock blue/navy - returned, mustard/blue - girija(1200)</t>
  </si>
  <si>
    <t>Golden yellow &amp; green triangle, Red &amp; Green</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</si>
  <si>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</si>
  <si>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</si>
  <si>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</si>
  <si>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</si>
  <si>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</si>
  <si>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</si>
  <si>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</si>
  <si>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</si>
  <si>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</si>
  <si>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Navy, rani pink, olive green(2)</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</si>
  <si>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</si>
  <si>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</si>
  <si>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</si>
  <si>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</si>
  <si>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</si>
  <si>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</si>
  <si>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</si>
  <si>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</si>
  <si>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</si>
  <si>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</si>
  <si>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</si>
  <si>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</si>
  <si>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</si>
  <si>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</si>
  <si>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</si>
  <si>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</si>
  <si>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</si>
  <si>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</si>
  <si>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</si>
  <si>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</si>
  <si>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</si>
  <si>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</si>
  <si>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</si>
  <si>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</si>
  <si>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</si>
  <si>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</si>
  <si>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</si>
  <si>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</si>
  <si>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</si>
  <si>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</si>
  <si>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</si>
  <si>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</si>
  <si>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</si>
  <si>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</si>
  <si>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</si>
  <si>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</si>
  <si>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</si>
  <si>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</si>
  <si>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</si>
  <si>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</si>
  <si>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</si>
  <si>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</si>
  <si>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</si>
  <si>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</si>
  <si>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</si>
  <si>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Latha - Red, Shylaja - Purple, Jisha - Red</t>
  </si>
  <si>
    <t>Yellow/Orange(4), Green, Blue</t>
  </si>
  <si>
    <t>CHR-111 white cotton salwar, Banarasi golden yellow blue</t>
  </si>
  <si>
    <t>Teena mathew - Paeach</t>
  </si>
  <si>
    <t>pink, light green, light blue</t>
  </si>
  <si>
    <t>Niroop</t>
  </si>
  <si>
    <t>CHR-192 Small temple design</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</si>
  <si>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</si>
  <si>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</si>
  <si>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</si>
  <si>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</si>
  <si>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</si>
  <si>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</si>
  <si>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</si>
  <si>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</si>
  <si>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</si>
  <si>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</si>
  <si>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</si>
  <si>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</si>
  <si>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</si>
  <si>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</si>
  <si>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</si>
  <si>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</si>
  <si>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</si>
  <si>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</si>
  <si>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</si>
  <si>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</si>
  <si>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</si>
  <si>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</si>
  <si>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</si>
  <si>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</si>
  <si>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</si>
  <si>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</si>
  <si>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</si>
  <si>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</si>
  <si>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</si>
  <si>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</si>
  <si>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</si>
  <si>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</si>
  <si>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</si>
  <si>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</si>
  <si>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</si>
  <si>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Black, Maroon, Violet, Rani Pink, Olive Green, Navy Blue</t>
  </si>
  <si>
    <t>Golden (Different Designs)</t>
  </si>
  <si>
    <t>-</t>
  </si>
  <si>
    <t>White with Butterfly (Different Border Colors)</t>
  </si>
  <si>
    <t>Blue, Beige/Green, Orange/Maroon</t>
  </si>
  <si>
    <t>Pink with Silver Butas, Black/Red, Wine/Green, Yellow/Black</t>
  </si>
  <si>
    <t>Green, Red, Olive Green</t>
  </si>
  <si>
    <t>Blue, Pink, Black</t>
  </si>
  <si>
    <t>1479 - Jiji Fried</t>
  </si>
  <si>
    <t>CHR-214 - Yellow/Blue Chanderi Silk</t>
  </si>
  <si>
    <t>CHR-182 (Yellow Linen Saree with Lotus, CHR-217 cream/gold with stars and paisley &amp; cream/gold with flowers - 1000 advance, 900 - pending</t>
  </si>
  <si>
    <t>CHR-212 - Purple, CHR-215 - Green and Maroon with golden design, CHR-172 - Kathakali - 1000 advance, 2000 pending</t>
  </si>
  <si>
    <t>Asha Sharath (Haritha Karma Sena Bulk Order)</t>
  </si>
  <si>
    <t>Asha Sharath (Haritha Karma Sena Bulk - 6 pieces)</t>
  </si>
  <si>
    <t>Parrot Green Banarasi - 6 pieces from bulk</t>
  </si>
  <si>
    <t>Asha Sandran</t>
  </si>
  <si>
    <t>Jisha Bank, Asha Sandran</t>
  </si>
  <si>
    <t>CHR-232 - Kerala Saree</t>
  </si>
  <si>
    <t>Jiji Friend</t>
  </si>
  <si>
    <t>Prabha Chidambaram - Purple/Green</t>
  </si>
  <si>
    <t>CHR-223 - Purple/Green, CHR-229 - Black</t>
  </si>
  <si>
    <t>Blue, Wine</t>
  </si>
  <si>
    <t>Prabha Chidambaram - Green</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</si>
  <si>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</si>
  <si>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</si>
  <si>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</si>
  <si>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Asha Sharath (Haritha Karma Sena Bulk - 11 pieces)</t>
  </si>
  <si>
    <t>Parrot Green Banarasi - 11 pieces from bulk</t>
  </si>
  <si>
    <t>1250 X 6, 1250 X 11</t>
  </si>
  <si>
    <t>Renju</t>
  </si>
  <si>
    <t>CHR-212 - Red, CHR-214 - Yellow/Blue Chanderi Silk - 1380 advance for the returned saree, 920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</si>
</sst>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317</c:v>
                </c:pt>
                <c:pt idx="1">
                  <c:v>96</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204</c:v>
                </c:pt>
                <c:pt idx="1">
                  <c:v>54</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57128</c:v>
                </c:pt>
                <c:pt idx="1">
                  <c:v>150163.43666666665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9387</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61746</c:v>
                </c:pt>
                <c:pt idx="7">
                  <c:v>26489</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-40454</c:v>
                </c:pt>
                <c:pt idx="7">
                  <c:v>17102</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418</c:v>
                </c:pt>
                <c:pt idx="1">
                  <c:v>261</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565734</v>
      </c>
      <c r="E3" s="8" t="s">
        <v>42</v>
      </c>
      <c r="F3" s="8" t="s">
        <v>43</v>
      </c>
    </row>
    <row r="4" spans="1:6" ht="13.5" customHeight="1">
      <c r="A4" s="9" t="s">
        <v>44</v>
      </c>
      <c r="B4" s="10">
        <f>SUMIFS(Sales!C:C, Sales!I:I, "Completed")</f>
        <v>499953</v>
      </c>
      <c r="E4" s="9" t="str">
        <f>PartnerShares!A3</f>
        <v>Rajna</v>
      </c>
      <c r="F4" s="10">
        <f>PartnerShares!B3</f>
        <v>0.33339999999999997</v>
      </c>
    </row>
    <row r="5" spans="1:6" ht="13.5" customHeight="1">
      <c r="A5" s="11" t="s">
        <v>45</v>
      </c>
      <c r="B5" s="12">
        <f>SUM(Sales!C:C)</f>
        <v>516733</v>
      </c>
      <c r="E5" s="11" t="str">
        <f>PartnerShares!A4</f>
        <v>Anoop</v>
      </c>
      <c r="F5" s="12">
        <f>PartnerShares!B4</f>
        <v>0.3332</v>
      </c>
    </row>
    <row r="6" spans="1:6" ht="13.5" customHeight="1">
      <c r="A6" s="9" t="s">
        <v>46</v>
      </c>
      <c r="B6" s="10">
        <f>B4-B3</f>
        <v>-65781</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54935.66</v>
      </c>
      <c r="C10" s="9"/>
    </row>
    <row r="11" spans="1:6" ht="13.5" customHeight="1">
      <c r="A11" s="11" t="s">
        <v>50</v>
      </c>
      <c r="B11" s="14">
        <f>PartnerShares!H9</f>
        <v>41099.67</v>
      </c>
      <c r="C11" s="11"/>
    </row>
    <row r="12" spans="1:6" ht="13.5" customHeight="1">
      <c r="A12" s="9" t="s">
        <v>51</v>
      </c>
      <c r="B12" s="13">
        <f>PartnerShares!H10</f>
        <v>-96035.33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261817</v>
      </c>
      <c r="C18" s="10">
        <f>PartnerShares!C8</f>
        <v>188578</v>
      </c>
      <c r="D18" s="10">
        <f>PartnerShares!D8</f>
        <v>73239</v>
      </c>
      <c r="E18" s="10">
        <f>IFERROR(SUMIFS(PartnerShares!$E$14:$E$500,PartnerShares!$D$14:$D$500,$A18,PartnerShares!$B$14:$B$500,"Contribution"),0)-IFERROR(SUMIFS(PartnerShares!$E$14:$E$500,PartnerShares!$C$14:$C$500,$A18,PartnerShares!$B$14:$B$500,"Contribution"),0)</f>
        <v>18303.34</v>
      </c>
      <c r="F18" s="13">
        <f>D18-E18</f>
        <v>54935.66</v>
      </c>
      <c r="G18" s="16" t="str">
        <f>IF(ROUND(F18,0)&gt;0,"Receive ₹"&amp;TEXT(ABS(F18),"#,##0"),IF(ROUND(F18,0)&lt;0,"Pay ₹"&amp;TEXT(ABS(F18),"#,##0"),"✓ Settled"))</f>
        <v>Receive ₹54,936</v>
      </c>
    </row>
    <row r="19" spans="1:7" ht="13.5" customHeight="1">
      <c r="A19" s="11" t="str">
        <f>PartnerShares!A9</f>
        <v>Anoop</v>
      </c>
      <c r="B19" s="12">
        <f>PartnerShares!B9</f>
        <v>271317</v>
      </c>
      <c r="C19" s="12">
        <f>PartnerShares!C9</f>
        <v>188578</v>
      </c>
      <c r="D19" s="12">
        <f>PartnerShares!D9</f>
        <v>82739</v>
      </c>
      <c r="E19" s="12">
        <f>IFERROR(SUMIFS(PartnerShares!$E$14:$E$500,PartnerShares!$D$14:$D$500,$A19,PartnerShares!$B$14:$B$500,"Contribution"),0)-IFERROR(SUMIFS(PartnerShares!$E$14:$E$500,PartnerShares!$C$14:$C$500,$A19,PartnerShares!$B$14:$B$500,"Contribution"),0)</f>
        <v>41639.33</v>
      </c>
      <c r="F19" s="14">
        <f>D19-E19</f>
        <v>41099.67</v>
      </c>
      <c r="G19" s="17" t="str">
        <f>IF(ROUND(F19,0)&gt;0,"Receive ₹"&amp;TEXT(ABS(F19),"#,##0"),IF(ROUND(F19,0)&lt;0,"Pay ₹"&amp;TEXT(ABS(F19),"#,##0"),"✓ Settled"))</f>
        <v>Receive ₹41,100</v>
      </c>
    </row>
    <row r="20" spans="1:7" ht="13.5" customHeight="1">
      <c r="A20" s="9" t="str">
        <f>PartnerShares!A10</f>
        <v>Rameez</v>
      </c>
      <c r="B20" s="10">
        <f>PartnerShares!B10</f>
        <v>32600</v>
      </c>
      <c r="C20" s="10">
        <f>PartnerShares!C10</f>
        <v>188578</v>
      </c>
      <c r="D20" s="10">
        <f>PartnerShares!D10</f>
        <v>-155978</v>
      </c>
      <c r="E20" s="10">
        <f>IFERROR(SUMIFS(PartnerShares!$E$14:$E$500,PartnerShares!$D$14:$D$500,$A20,PartnerShares!$B$14:$B$500,"Contribution"),0)-IFERROR(SUMIFS(PartnerShares!$E$14:$E$500,PartnerShares!$C$14:$C$500,$A20,PartnerShares!$B$14:$B$500,"Contribution"),0)</f>
        <v>-59942.67</v>
      </c>
      <c r="F20" s="13">
        <f>D20-E20</f>
        <v>-96035.33</v>
      </c>
      <c r="G20" s="17" t="str">
        <f>IF(ROUND(F20,0)&gt;0,"Receive ₹"&amp;TEXT(ABS(F20),"#,##0"),IF(ROUND(F20,0)&lt;0,"Pay ₹"&amp;TEXT(ABS(F20),"#,##0"),"✓ Settled"))</f>
        <v>Pay ₹96,035</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432799</v>
      </c>
      <c r="C26" s="10">
        <f>'Cash Pool'!D4</f>
        <v>166684.3302</v>
      </c>
      <c r="D26" s="10">
        <f>'Cash Pool'!E4</f>
        <v>266114.66980000003</v>
      </c>
      <c r="E26" s="10">
        <f>'Cash Pool'!F4</f>
        <v>-137310.02600000001</v>
      </c>
      <c r="F26" s="13">
        <f>'Cash Pool'!G4</f>
        <v>128804.64380000002</v>
      </c>
      <c r="G26" s="17" t="str">
        <f>IF(ROUND(F26,0)&gt;0,"Pay ₹"&amp;TEXT(ABS(F26),"#,##0"),IF(ROUND(F26,0)&lt;0,"Receive ₹"&amp;TEXT(ABS(F26),"#,##0"),"✓ Settled"))</f>
        <v>Pay ₹128,805</v>
      </c>
    </row>
    <row r="27" spans="1:7" ht="13.5" customHeight="1">
      <c r="A27" s="11" t="str">
        <f>'Cash Pool'!A5</f>
        <v>Anoop</v>
      </c>
      <c r="B27" s="12">
        <f>'Cash Pool'!B5</f>
        <v>54624</v>
      </c>
      <c r="C27" s="12">
        <f>'Cash Pool'!D5</f>
        <v>166584.33960000001</v>
      </c>
      <c r="D27" s="12">
        <f>'Cash Pool'!E5</f>
        <v>-111960.33960000001</v>
      </c>
      <c r="E27" s="12">
        <f>'Cash Pool'!F5</f>
        <v>71587.042000000001</v>
      </c>
      <c r="F27" s="14">
        <f>'Cash Pool'!G5</f>
        <v>-40373.297600000005</v>
      </c>
      <c r="G27" s="18" t="str">
        <f>IF(ROUND(F27,0)&gt;0,"Pay ₹"&amp;TEXT(ABS(F27),"#,##0"),IF(ROUND(F27,0)&lt;0,"Receive ₹"&amp;TEXT(ABS(F27),"#,##0"),"✓ Settled"))</f>
        <v>Receive ₹40,373</v>
      </c>
    </row>
    <row r="28" spans="1:7" ht="13.5" customHeight="1">
      <c r="A28" s="9" t="str">
        <f>'Cash Pool'!A6</f>
        <v>Rameez</v>
      </c>
      <c r="B28" s="10">
        <f>'Cash Pool'!B6</f>
        <v>12530</v>
      </c>
      <c r="C28" s="10">
        <f>'Cash Pool'!D6</f>
        <v>166684.3302</v>
      </c>
      <c r="D28" s="10">
        <f>'Cash Pool'!E6</f>
        <v>-154154.3302</v>
      </c>
      <c r="E28" s="10">
        <f>'Cash Pool'!F6</f>
        <v>65722.984000000011</v>
      </c>
      <c r="F28" s="13">
        <f>'Cash Pool'!G6</f>
        <v>-88431.346199999985</v>
      </c>
      <c r="G28" s="16" t="str">
        <f>IF(ROUND(F28,0)&gt;0,"Pay ₹"&amp;TEXT(ABS(F28),"#,##0"),IF(ROUND(F28,0)&lt;0,"Receive ₹"&amp;TEXT(ABS(F28),"#,##0"),"✓ Settled"))</f>
        <v>Receive ₹88,431</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46239</v>
      </c>
    </row>
    <row r="5" spans="1:8" ht="15" customHeight="1">
      <c r="A5" s="19" t="s">
        <v>41</v>
      </c>
      <c r="B5" s="21">
        <f>Summary!B3</f>
        <v>565734</v>
      </c>
      <c r="D5" s="19" t="s">
        <v>69</v>
      </c>
      <c r="E5" s="21">
        <f>Summary!B4</f>
        <v>499953</v>
      </c>
    </row>
    <row r="6" spans="1:8" ht="15" customHeight="1">
      <c r="A6" s="19" t="s">
        <v>70</v>
      </c>
      <c r="B6" s="21">
        <f>Summary!B6</f>
        <v>-65781</v>
      </c>
      <c r="D6" s="19" t="s">
        <v>71</v>
      </c>
      <c r="E6" s="21">
        <f>SUMIFS(INVENTORY!K:K, INVENTORY!N:N, "&lt;&gt;Sold Out")</f>
        <v>197482.63666666666</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IFERROR(SUMPRODUCT((TEXT(Sales!$A$2:$A$994,"MMM")=$A10)*(YEAR(Sales!$A$2:$A$994)=$B$7)*Sales!$C$2:$C$994),0)</f>
        <v>45448</v>
      </c>
      <c r="D10" s="21">
        <f t="shared" ref="D10:D21" si="0">C10-B10</f>
        <v>-1863</v>
      </c>
      <c r="F10" s="25" t="s">
        <v>80</v>
      </c>
      <c r="G10" s="21">
        <f>SUM(INVENTORY!F:F)</f>
        <v>418</v>
      </c>
    </row>
    <row r="11" spans="1:8" ht="15" customHeight="1">
      <c r="A11" s="26" t="s">
        <v>81</v>
      </c>
      <c r="B11" s="27">
        <f>IFERROR(SUMPRODUCT((TEXT(Purchases!$A$2:$A$998,"MMM")=$A11)*(YEAR(Purchases!$A$2:$A$998)=$B$7)*Purchases!$C$2:$C$998),0)</f>
        <v>5152</v>
      </c>
      <c r="C11" s="27">
        <f>IFERROR(SUMPRODUCT((TEXT(Sales!$A$2:$A$994,"MMM")=$A11)*(YEAR(Sales!$A$2:$A$994)=$B$7)*Sales!$C$2:$C$994),0)</f>
        <v>19089</v>
      </c>
      <c r="D11" s="27">
        <f t="shared" si="0"/>
        <v>13937</v>
      </c>
      <c r="F11" s="26" t="s">
        <v>82</v>
      </c>
      <c r="G11" s="27">
        <f>SUM(INVENTORY!G:G)</f>
        <v>261</v>
      </c>
    </row>
    <row r="12" spans="1:8" ht="15" customHeight="1">
      <c r="A12" s="25" t="s">
        <v>83</v>
      </c>
      <c r="B12" s="21">
        <f>IFERROR(SUMPRODUCT((TEXT(Purchases!$A$2:$A$998,"MMM")=$A12)*(YEAR(Purchases!$A$2:$A$998)=$B$7)*Purchases!$C$2:$C$998),0)</f>
        <v>22172</v>
      </c>
      <c r="C12" s="21">
        <f>IFERROR(SUMPRODUCT((TEXT(Sales!$A$2:$A$994,"MMM")=$A12)*(YEAR(Sales!$A$2:$A$994)=$B$7)*Sales!$C$2:$C$994),0)</f>
        <v>16248</v>
      </c>
      <c r="D12" s="21">
        <f t="shared" si="0"/>
        <v>-5924</v>
      </c>
    </row>
    <row r="13" spans="1:8" ht="15" customHeight="1">
      <c r="A13" s="26" t="s">
        <v>84</v>
      </c>
      <c r="B13" s="27">
        <f>IFERROR(SUMPRODUCT((TEXT(Purchases!$A$2:$A$998,"MMM")=$A13)*(YEAR(Purchases!$A$2:$A$998)=$B$7)*Purchases!$C$2:$C$998),0)</f>
        <v>71002</v>
      </c>
      <c r="C13" s="27">
        <f>IFERROR(SUMPRODUCT((TEXT(Sales!$A$2:$A$994,"MMM")=$A13)*(YEAR(Sales!$A$2:$A$994)=$B$7)*Sales!$C$2:$C$994),0)</f>
        <v>54177</v>
      </c>
      <c r="D13" s="27">
        <f t="shared" si="0"/>
        <v>-16825</v>
      </c>
    </row>
    <row r="14" spans="1:8" ht="15" customHeight="1">
      <c r="A14" s="25" t="s">
        <v>85</v>
      </c>
      <c r="B14" s="21">
        <f>IFERROR(SUMPRODUCT((TEXT(Purchases!$A$2:$A$998,"MMM")=$A14)*(YEAR(Purchases!$A$2:$A$998)=$B$7)*Purchases!$C$2:$C$998),0)</f>
        <v>4449</v>
      </c>
      <c r="C14" s="21">
        <f>IFERROR(SUMPRODUCT((TEXT(Sales!$A$2:$A$994,"MMM")=$A14)*(YEAR(Sales!$A$2:$A$994)=$B$7)*Sales!$C$2:$C$994),0)</f>
        <v>54624</v>
      </c>
      <c r="D14" s="21">
        <f t="shared" si="0"/>
        <v>50175</v>
      </c>
    </row>
    <row r="15" spans="1:8" ht="15" customHeight="1">
      <c r="A15" s="26" t="s">
        <v>86</v>
      </c>
      <c r="B15" s="27">
        <f>IFERROR(SUMPRODUCT((TEXT(Purchases!$A$2:$A$998,"MMM")=$A15)*(YEAR(Purchases!$A$2:$A$998)=$B$7)*Purchases!$C$2:$C$998),0)</f>
        <v>99043</v>
      </c>
      <c r="C15" s="27">
        <f>IFERROR(SUMPRODUCT((TEXT(Sales!$A$2:$A$994,"MMM")=$A15)*(YEAR(Sales!$A$2:$A$994)=$B$7)*Sales!$C$2:$C$994),0)</f>
        <v>72885</v>
      </c>
      <c r="D15" s="27">
        <f t="shared" si="0"/>
        <v>-26158</v>
      </c>
    </row>
    <row r="16" spans="1:8" ht="15" customHeight="1">
      <c r="A16" s="25" t="s">
        <v>87</v>
      </c>
      <c r="B16" s="21">
        <f>IFERROR(SUMPRODUCT((TEXT(Purchases!$A$2:$A$998,"MMM")=$A16)*(YEAR(Purchases!$A$2:$A$998)=$B$7)*Purchases!$C$2:$C$998),0)</f>
        <v>102200</v>
      </c>
      <c r="C16" s="21">
        <f>IFERROR(SUMPRODUCT((TEXT(Sales!$A$2:$A$994,"MMM")=$A16)*(YEAR(Sales!$A$2:$A$994)=$B$7)*Sales!$C$2:$C$994),0)</f>
        <v>61746</v>
      </c>
      <c r="D16" s="21">
        <f t="shared" si="0"/>
        <v>-40454</v>
      </c>
    </row>
    <row r="17" spans="1:4" ht="15" customHeight="1">
      <c r="A17" s="26" t="s">
        <v>88</v>
      </c>
      <c r="B17" s="27">
        <f>IFERROR(SUMPRODUCT((TEXT(Purchases!$A$2:$A$998,"MMM")=$A17)*(YEAR(Purchases!$A$2:$A$998)=$B$7)*Purchases!$C$2:$C$998),0)</f>
        <v>9387</v>
      </c>
      <c r="C17" s="27">
        <f>IFERROR(SUMPRODUCT((TEXT(Sales!$A$2:$A$994,"MMM")=$A17)*(YEAR(Sales!$A$2:$A$994)=$B$7)*Sales!$C$2:$C$994),0)</f>
        <v>26489</v>
      </c>
      <c r="D17" s="27">
        <f t="shared" si="0"/>
        <v>17102</v>
      </c>
    </row>
    <row r="18" spans="1:4" ht="15" customHeight="1">
      <c r="A18" s="25" t="s">
        <v>89</v>
      </c>
      <c r="B18" s="21">
        <f>IFERROR(SUMPRODUCT((TEXT(Purchases!$A$2:$A$998,"MMM")=$A18)*(YEAR(Purchases!$A$2:$A$998)=$B$7)*Purchases!$C$2:$C$998),0)</f>
        <v>0</v>
      </c>
      <c r="C18" s="21">
        <f>IFERROR(SUMPRODUCT((TEXT(Sales!$A$2:$A$994,"MMM")=$A18)*(YEAR(Sales!$A$2:$A$994)=$B$7)*Sales!$C$2:$C$994),0)</f>
        <v>0</v>
      </c>
      <c r="D18" s="21">
        <f t="shared" si="0"/>
        <v>0</v>
      </c>
    </row>
    <row r="19" spans="1:4" ht="15" customHeight="1">
      <c r="A19" s="26" t="s">
        <v>90</v>
      </c>
      <c r="B19" s="27">
        <f>IFERROR(SUMPRODUCT((TEXT(Purchases!$A$2:$A$998,"MMM")=$A19)*(YEAR(Purchases!$A$2:$A$998)=$B$7)*Purchases!$C$2:$C$998),0)</f>
        <v>0</v>
      </c>
      <c r="C19" s="27">
        <f>IFERROR(SUMPRODUCT((TEXT(Sales!$A$2:$A$994,"MMM")=$A19)*(YEAR(Sales!$A$2:$A$994)=$B$7)*Sales!$C$2:$C$994),0)</f>
        <v>0</v>
      </c>
      <c r="D19" s="27">
        <f t="shared" si="0"/>
        <v>0</v>
      </c>
    </row>
    <row r="20" spans="1:4" ht="15" customHeight="1">
      <c r="A20" s="25" t="s">
        <v>91</v>
      </c>
      <c r="B20" s="21">
        <f>IFERROR(SUMPRODUCT((TEXT(Purchases!$A$2:$A$998,"MMM")=$A20)*(YEAR(Purchases!$A$2:$A$998)=$B$7)*Purchases!$C$2:$C$998),0)</f>
        <v>0</v>
      </c>
      <c r="C20" s="21">
        <f>IFERROR(SUMPRODUCT((TEXT(Sales!$A$2:$A$994,"MMM")=$A20)*(YEAR(Sales!$A$2:$A$994)=$B$7)*Sales!$C$2:$C$994),0)</f>
        <v>0</v>
      </c>
      <c r="D20" s="21">
        <f t="shared" si="0"/>
        <v>0</v>
      </c>
    </row>
    <row r="21" spans="1:4" ht="15" customHeight="1">
      <c r="A21" s="26" t="s">
        <v>92</v>
      </c>
      <c r="B21" s="27">
        <f>IFERROR(SUMPRODUCT((TEXT(Purchases!$A$2:$A$998,"MMM")=$A21)*(YEAR(Purchases!$A$2:$A$998)=$B$7)*Purchases!$C$2:$C$998),0)</f>
        <v>0</v>
      </c>
      <c r="C21" s="27">
        <f>IFERROR(SUMPRODUCT((TEXT(Sales!$A$2:$A$994,"MMM")=$A21)*(YEAR(Sales!$A$2:$A$994)=$B$7)*Sales!$C$2:$C$994),0)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317</v>
      </c>
      <c r="H47" s="30">
        <f>SUMIF(INVENTORY!C:C, F47, INVENTORY!G:G)</f>
        <v>204</v>
      </c>
      <c r="J47" s="30" t="s">
        <v>96</v>
      </c>
      <c r="K47" s="31">
        <f t="array" ref="K47">SUMPRODUCT((INVENTORY!$C$2:$C$477=J47)*(INVENTORY!$D$2:$D$477)*(INVENTORY!$G$2:$G$477))</f>
        <v>57128</v>
      </c>
    </row>
    <row r="48" spans="6:11" ht="15" customHeight="1">
      <c r="F48" s="29" t="s">
        <v>96</v>
      </c>
      <c r="G48" s="30">
        <f>SUMIF(INVENTORY!C:C, F48, INVENTORY!F:F)</f>
        <v>96</v>
      </c>
      <c r="H48" s="30">
        <f>SUMIF(INVENTORY!C:C, F48, INVENTORY!G:G)</f>
        <v>54</v>
      </c>
      <c r="J48" s="30" t="s">
        <v>95</v>
      </c>
      <c r="K48" s="31">
        <f t="array" ref="K48">SUMPRODUCT((INVENTORY!$C$2:$C$477=J48)*(INVENTORY!$D$2:$D$477)*(INVENTORY!$G$2:$G$477))</f>
        <v>150163.43666666665</v>
      </c>
    </row>
    <row r="49" spans="5:12" ht="15" customHeight="1">
      <c r="F49" s="29" t="s">
        <v>97</v>
      </c>
      <c r="G49" s="30">
        <f>SUMIF(INVENTORY!C:C, F49, INVENTORY!F:F)</f>
        <v>5</v>
      </c>
      <c r="H49" s="30">
        <f>SUMIF(INVENTORY!C:C, F49, INVENTORY!G:G)</f>
        <v>3</v>
      </c>
      <c r="J49" s="30" t="s">
        <v>97</v>
      </c>
      <c r="K49" s="31">
        <f t="array" ref="K49">SUMPRODUCT((INVENTORY!$C$2:$C$477=J49)*(INVENTORY!$D$2:$D$477)*(INVENTORY!$G$2:$G$477))</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D107" sqref="D107"/>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1107</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1145</v>
      </c>
    </row>
    <row r="97" spans="1:4" ht="15" customHeight="1">
      <c r="A97" s="38">
        <v>46218</v>
      </c>
      <c r="B97" s="39" t="s">
        <v>49</v>
      </c>
      <c r="C97" s="40">
        <v>1375</v>
      </c>
      <c r="D97" s="39" t="s">
        <v>1146</v>
      </c>
    </row>
    <row r="98" spans="1:4" ht="15" customHeight="1">
      <c r="A98" s="35">
        <v>46219</v>
      </c>
      <c r="B98" s="36" t="s">
        <v>49</v>
      </c>
      <c r="C98" s="37">
        <v>189</v>
      </c>
      <c r="D98" s="36" t="s">
        <v>1147</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c r="B107" s="39"/>
      <c r="C107" s="40"/>
      <c r="D107" s="39"/>
    </row>
    <row r="108" spans="1:4" ht="15" customHeight="1">
      <c r="A108" s="35"/>
      <c r="B108" s="36"/>
      <c r="C108" s="37"/>
      <c r="D108" s="36"/>
    </row>
    <row r="109" spans="1:4" ht="15" customHeight="1">
      <c r="A109" s="38"/>
      <c r="B109" s="39"/>
      <c r="C109" s="40"/>
      <c r="D109" s="39"/>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I329"/>
  <sheetViews>
    <sheetView zoomScale="130" zoomScaleNormal="130" workbookViewId="0">
      <pane ySplit="1" topLeftCell="A203" activePane="bottomLeft" state="frozen"/>
      <selection pane="bottomLeft" activeCell="H294" sqref="H29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hidden="1">
      <c r="A2" s="82">
        <v>45900</v>
      </c>
      <c r="B2" s="44" t="s">
        <v>146</v>
      </c>
      <c r="C2" s="83">
        <v>1250</v>
      </c>
      <c r="D2" s="44" t="s">
        <v>147</v>
      </c>
      <c r="E2" s="44" t="s">
        <v>49</v>
      </c>
      <c r="F2" s="44"/>
      <c r="G2" s="44"/>
      <c r="H2" s="44"/>
      <c r="I2" s="44" t="s">
        <v>148</v>
      </c>
    </row>
    <row r="3" spans="1:9" ht="14" hidden="1">
      <c r="A3" s="84">
        <v>45900</v>
      </c>
      <c r="B3" s="45" t="s">
        <v>149</v>
      </c>
      <c r="C3" s="85">
        <v>1600</v>
      </c>
      <c r="D3" s="45" t="s">
        <v>150</v>
      </c>
      <c r="E3" s="45" t="s">
        <v>49</v>
      </c>
      <c r="F3" s="45"/>
      <c r="G3" s="45"/>
      <c r="H3" s="45"/>
      <c r="I3" s="45" t="s">
        <v>148</v>
      </c>
    </row>
    <row r="4" spans="1:9" ht="14" hidden="1">
      <c r="A4" s="82">
        <v>45900</v>
      </c>
      <c r="B4" s="44" t="s">
        <v>151</v>
      </c>
      <c r="C4" s="83">
        <v>1800</v>
      </c>
      <c r="D4" s="44" t="s">
        <v>150</v>
      </c>
      <c r="E4" s="44" t="s">
        <v>49</v>
      </c>
      <c r="F4" s="44"/>
      <c r="G4" s="44"/>
      <c r="H4" s="44"/>
      <c r="I4" s="44" t="s">
        <v>148</v>
      </c>
    </row>
    <row r="5" spans="1:9" ht="14" hidden="1">
      <c r="A5" s="84">
        <v>45900</v>
      </c>
      <c r="B5" s="45" t="s">
        <v>152</v>
      </c>
      <c r="C5" s="85">
        <v>2000</v>
      </c>
      <c r="D5" s="45" t="s">
        <v>147</v>
      </c>
      <c r="E5" s="45" t="s">
        <v>49</v>
      </c>
      <c r="F5" s="45"/>
      <c r="G5" s="45"/>
      <c r="H5" s="45"/>
      <c r="I5" s="45" t="s">
        <v>148</v>
      </c>
    </row>
    <row r="6" spans="1:9" ht="14" hidden="1">
      <c r="A6" s="82">
        <v>45900</v>
      </c>
      <c r="B6" s="44" t="s">
        <v>153</v>
      </c>
      <c r="C6" s="83">
        <v>1600</v>
      </c>
      <c r="D6" s="44" t="s">
        <v>150</v>
      </c>
      <c r="E6" s="44" t="s">
        <v>49</v>
      </c>
      <c r="F6" s="44"/>
      <c r="G6" s="44"/>
      <c r="H6" s="44"/>
      <c r="I6" s="44" t="s">
        <v>148</v>
      </c>
    </row>
    <row r="7" spans="1:9" ht="14" hidden="1">
      <c r="A7" s="84">
        <v>45900</v>
      </c>
      <c r="B7" s="45" t="s">
        <v>154</v>
      </c>
      <c r="C7" s="85">
        <v>750</v>
      </c>
      <c r="D7" s="45" t="s">
        <v>147</v>
      </c>
      <c r="E7" s="45" t="s">
        <v>49</v>
      </c>
      <c r="F7" s="45"/>
      <c r="G7" s="45"/>
      <c r="H7" s="45"/>
      <c r="I7" s="45" t="s">
        <v>148</v>
      </c>
    </row>
    <row r="8" spans="1:9" ht="14" hidden="1">
      <c r="A8" s="82">
        <v>45900</v>
      </c>
      <c r="B8" s="44" t="s">
        <v>155</v>
      </c>
      <c r="C8" s="83">
        <v>3600</v>
      </c>
      <c r="D8" s="44" t="s">
        <v>147</v>
      </c>
      <c r="E8" s="44" t="s">
        <v>49</v>
      </c>
      <c r="F8" s="44"/>
      <c r="G8" s="44"/>
      <c r="H8" s="44"/>
      <c r="I8" s="44" t="s">
        <v>148</v>
      </c>
    </row>
    <row r="9" spans="1:9" ht="14" hidden="1">
      <c r="A9" s="84">
        <v>45901</v>
      </c>
      <c r="B9" s="45" t="s">
        <v>155</v>
      </c>
      <c r="C9" s="85">
        <v>1000</v>
      </c>
      <c r="D9" s="45" t="s">
        <v>147</v>
      </c>
      <c r="E9" s="45" t="s">
        <v>49</v>
      </c>
      <c r="F9" s="45"/>
      <c r="G9" s="45"/>
      <c r="H9" s="45"/>
      <c r="I9" s="45" t="s">
        <v>148</v>
      </c>
    </row>
    <row r="10" spans="1:9" ht="14" hidden="1">
      <c r="A10" s="82">
        <v>45902</v>
      </c>
      <c r="B10" s="44" t="s">
        <v>156</v>
      </c>
      <c r="C10" s="83">
        <v>2000</v>
      </c>
      <c r="D10" s="44" t="s">
        <v>147</v>
      </c>
      <c r="E10" s="44" t="s">
        <v>49</v>
      </c>
      <c r="F10" s="44"/>
      <c r="G10" s="44"/>
      <c r="H10" s="44"/>
      <c r="I10" s="44" t="s">
        <v>148</v>
      </c>
    </row>
    <row r="11" spans="1:9" ht="14" hidden="1">
      <c r="A11" s="84">
        <v>45903</v>
      </c>
      <c r="B11" s="45" t="s">
        <v>157</v>
      </c>
      <c r="C11" s="85">
        <v>3400</v>
      </c>
      <c r="D11" s="45" t="s">
        <v>147</v>
      </c>
      <c r="E11" s="45" t="s">
        <v>49</v>
      </c>
      <c r="F11" s="45"/>
      <c r="G11" s="45"/>
      <c r="H11" s="45"/>
      <c r="I11" s="45" t="s">
        <v>148</v>
      </c>
    </row>
    <row r="12" spans="1:9" ht="14" hidden="1">
      <c r="A12" s="82">
        <v>45904</v>
      </c>
      <c r="B12" s="44" t="s">
        <v>158</v>
      </c>
      <c r="C12" s="83">
        <v>2500</v>
      </c>
      <c r="D12" s="44" t="s">
        <v>159</v>
      </c>
      <c r="E12" s="44" t="s">
        <v>49</v>
      </c>
      <c r="F12" s="44"/>
      <c r="G12" s="44"/>
      <c r="H12" s="44"/>
      <c r="I12" s="44" t="s">
        <v>148</v>
      </c>
    </row>
    <row r="13" spans="1:9" ht="14" hidden="1">
      <c r="A13" s="84">
        <v>45905</v>
      </c>
      <c r="B13" s="45" t="s">
        <v>160</v>
      </c>
      <c r="C13" s="85">
        <v>4000</v>
      </c>
      <c r="D13" s="45" t="s">
        <v>147</v>
      </c>
      <c r="E13" s="45" t="s">
        <v>49</v>
      </c>
      <c r="F13" s="45"/>
      <c r="G13" s="45"/>
      <c r="H13" s="45"/>
      <c r="I13" s="45" t="s">
        <v>148</v>
      </c>
    </row>
    <row r="14" spans="1:9" ht="14" hidden="1">
      <c r="A14" s="82">
        <v>45906</v>
      </c>
      <c r="B14" s="44" t="s">
        <v>161</v>
      </c>
      <c r="C14" s="83">
        <v>8000</v>
      </c>
      <c r="D14" s="44" t="s">
        <v>147</v>
      </c>
      <c r="E14" s="44" t="s">
        <v>49</v>
      </c>
      <c r="F14" s="44"/>
      <c r="G14" s="44"/>
      <c r="H14" s="44"/>
      <c r="I14" s="44" t="s">
        <v>148</v>
      </c>
    </row>
    <row r="15" spans="1:9" ht="14" hidden="1">
      <c r="A15" s="84">
        <v>45907</v>
      </c>
      <c r="B15" s="45" t="s">
        <v>152</v>
      </c>
      <c r="C15" s="85">
        <v>1300</v>
      </c>
      <c r="D15" s="45" t="s">
        <v>162</v>
      </c>
      <c r="E15" s="45" t="s">
        <v>49</v>
      </c>
      <c r="F15" s="45"/>
      <c r="G15" s="45"/>
      <c r="H15" s="45"/>
      <c r="I15" s="45" t="s">
        <v>148</v>
      </c>
    </row>
    <row r="16" spans="1:9" ht="14" hidden="1">
      <c r="A16" s="82">
        <v>45908</v>
      </c>
      <c r="B16" s="44" t="s">
        <v>163</v>
      </c>
      <c r="C16" s="83">
        <v>900</v>
      </c>
      <c r="D16" s="44" t="s">
        <v>150</v>
      </c>
      <c r="E16" s="44" t="s">
        <v>49</v>
      </c>
      <c r="F16" s="44"/>
      <c r="G16" s="44"/>
      <c r="H16" s="44"/>
      <c r="I16" s="44" t="s">
        <v>148</v>
      </c>
    </row>
    <row r="17" spans="1:9" ht="14" hidden="1">
      <c r="A17" s="84">
        <v>45909</v>
      </c>
      <c r="B17" s="45" t="s">
        <v>164</v>
      </c>
      <c r="C17" s="85">
        <v>750</v>
      </c>
      <c r="D17" s="45" t="s">
        <v>159</v>
      </c>
      <c r="E17" s="45" t="s">
        <v>49</v>
      </c>
      <c r="F17" s="45"/>
      <c r="G17" s="45"/>
      <c r="H17" s="45"/>
      <c r="I17" s="45" t="s">
        <v>148</v>
      </c>
    </row>
    <row r="18" spans="1:9" ht="14" hidden="1">
      <c r="A18" s="82">
        <v>45910</v>
      </c>
      <c r="B18" s="44" t="s">
        <v>165</v>
      </c>
      <c r="C18" s="83">
        <v>700</v>
      </c>
      <c r="D18" s="44" t="s">
        <v>159</v>
      </c>
      <c r="E18" s="44" t="s">
        <v>49</v>
      </c>
      <c r="F18" s="44"/>
      <c r="G18" s="44"/>
      <c r="H18" s="44"/>
      <c r="I18" s="44" t="s">
        <v>148</v>
      </c>
    </row>
    <row r="19" spans="1:9" ht="14" hidden="1">
      <c r="A19" s="84">
        <v>45911</v>
      </c>
      <c r="B19" s="45" t="s">
        <v>166</v>
      </c>
      <c r="C19" s="85">
        <v>2900</v>
      </c>
      <c r="D19" s="45" t="s">
        <v>147</v>
      </c>
      <c r="E19" s="45" t="s">
        <v>49</v>
      </c>
      <c r="F19" s="45"/>
      <c r="G19" s="45"/>
      <c r="H19" s="45"/>
      <c r="I19" s="45" t="s">
        <v>148</v>
      </c>
    </row>
    <row r="20" spans="1:9" ht="14" hidden="1">
      <c r="A20" s="82">
        <v>45912</v>
      </c>
      <c r="B20" s="44" t="s">
        <v>167</v>
      </c>
      <c r="C20" s="83">
        <v>2600</v>
      </c>
      <c r="D20" s="44" t="s">
        <v>159</v>
      </c>
      <c r="E20" s="44" t="s">
        <v>49</v>
      </c>
      <c r="F20" s="44"/>
      <c r="G20" s="44"/>
      <c r="H20" s="44"/>
      <c r="I20" s="44" t="s">
        <v>148</v>
      </c>
    </row>
    <row r="21" spans="1:9" ht="14" hidden="1">
      <c r="A21" s="84">
        <v>45913</v>
      </c>
      <c r="B21" s="45" t="s">
        <v>168</v>
      </c>
      <c r="C21" s="85">
        <v>900</v>
      </c>
      <c r="D21" s="45" t="s">
        <v>159</v>
      </c>
      <c r="E21" s="45" t="s">
        <v>49</v>
      </c>
      <c r="F21" s="45"/>
      <c r="G21" s="45"/>
      <c r="H21" s="45"/>
      <c r="I21" s="45" t="s">
        <v>148</v>
      </c>
    </row>
    <row r="22" spans="1:9" ht="14" hidden="1">
      <c r="A22" s="82">
        <v>45914</v>
      </c>
      <c r="B22" s="44" t="s">
        <v>169</v>
      </c>
      <c r="C22" s="83">
        <v>1000</v>
      </c>
      <c r="D22" s="44" t="s">
        <v>147</v>
      </c>
      <c r="E22" s="44" t="s">
        <v>49</v>
      </c>
      <c r="F22" s="44"/>
      <c r="G22" s="44"/>
      <c r="H22" s="44"/>
      <c r="I22" s="44" t="s">
        <v>148</v>
      </c>
    </row>
    <row r="23" spans="1:9" ht="14" hidden="1">
      <c r="A23" s="84">
        <v>45915</v>
      </c>
      <c r="B23" s="45" t="s">
        <v>170</v>
      </c>
      <c r="C23" s="85">
        <v>1800</v>
      </c>
      <c r="D23" s="45" t="s">
        <v>147</v>
      </c>
      <c r="E23" s="45" t="s">
        <v>49</v>
      </c>
      <c r="F23" s="45"/>
      <c r="G23" s="45"/>
      <c r="H23" s="45"/>
      <c r="I23" s="45" t="s">
        <v>148</v>
      </c>
    </row>
    <row r="24" spans="1:9" ht="14" hidden="1">
      <c r="A24" s="82">
        <v>45916</v>
      </c>
      <c r="B24" s="44" t="s">
        <v>171</v>
      </c>
      <c r="C24" s="83">
        <v>1600</v>
      </c>
      <c r="D24" s="44" t="s">
        <v>147</v>
      </c>
      <c r="E24" s="44" t="s">
        <v>49</v>
      </c>
      <c r="F24" s="44"/>
      <c r="G24" s="44"/>
      <c r="H24" s="44"/>
      <c r="I24" s="44" t="s">
        <v>148</v>
      </c>
    </row>
    <row r="25" spans="1:9" ht="14" hidden="1">
      <c r="A25" s="84">
        <v>45917</v>
      </c>
      <c r="B25" s="45" t="s">
        <v>172</v>
      </c>
      <c r="C25" s="85">
        <v>800</v>
      </c>
      <c r="D25" s="45" t="s">
        <v>150</v>
      </c>
      <c r="E25" s="45" t="s">
        <v>49</v>
      </c>
      <c r="F25" s="45"/>
      <c r="G25" s="45"/>
      <c r="H25" s="45"/>
      <c r="I25" s="45" t="s">
        <v>148</v>
      </c>
    </row>
    <row r="26" spans="1:9" ht="14" hidden="1">
      <c r="A26" s="82">
        <v>45917</v>
      </c>
      <c r="B26" s="44" t="s">
        <v>172</v>
      </c>
      <c r="C26" s="83">
        <v>1300</v>
      </c>
      <c r="D26" s="44" t="s">
        <v>150</v>
      </c>
      <c r="E26" s="44" t="s">
        <v>49</v>
      </c>
      <c r="F26" s="44"/>
      <c r="G26" s="44"/>
      <c r="H26" s="44"/>
      <c r="I26" s="44" t="s">
        <v>148</v>
      </c>
    </row>
    <row r="27" spans="1:9" ht="14" hidden="1">
      <c r="A27" s="84">
        <v>45918</v>
      </c>
      <c r="B27" s="45" t="s">
        <v>173</v>
      </c>
      <c r="C27" s="85">
        <v>1500</v>
      </c>
      <c r="D27" s="45" t="s">
        <v>147</v>
      </c>
      <c r="E27" s="45" t="s">
        <v>49</v>
      </c>
      <c r="F27" s="45"/>
      <c r="G27" s="45"/>
      <c r="H27" s="45"/>
      <c r="I27" s="45" t="s">
        <v>148</v>
      </c>
    </row>
    <row r="28" spans="1:9" ht="14" hidden="1">
      <c r="A28" s="82">
        <v>45919</v>
      </c>
      <c r="B28" s="44" t="s">
        <v>174</v>
      </c>
      <c r="C28" s="83">
        <v>1400</v>
      </c>
      <c r="D28" s="44" t="s">
        <v>147</v>
      </c>
      <c r="E28" s="44" t="s">
        <v>49</v>
      </c>
      <c r="F28" s="44"/>
      <c r="G28" s="44"/>
      <c r="H28" s="44"/>
      <c r="I28" s="44" t="s">
        <v>148</v>
      </c>
    </row>
    <row r="29" spans="1:9" ht="14" hidden="1">
      <c r="A29" s="84">
        <v>45920</v>
      </c>
      <c r="B29" s="45" t="s">
        <v>175</v>
      </c>
      <c r="C29" s="85">
        <v>3500</v>
      </c>
      <c r="D29" s="45" t="s">
        <v>147</v>
      </c>
      <c r="E29" s="45" t="s">
        <v>49</v>
      </c>
      <c r="F29" s="45"/>
      <c r="G29" s="45"/>
      <c r="H29" s="45"/>
      <c r="I29" s="45" t="s">
        <v>148</v>
      </c>
    </row>
    <row r="30" spans="1:9" ht="14" hidden="1">
      <c r="A30" s="82">
        <v>45921</v>
      </c>
      <c r="B30" s="44" t="s">
        <v>176</v>
      </c>
      <c r="C30" s="83">
        <v>2400</v>
      </c>
      <c r="D30" s="44" t="s">
        <v>150</v>
      </c>
      <c r="E30" s="44" t="s">
        <v>49</v>
      </c>
      <c r="F30" s="44"/>
      <c r="G30" s="44"/>
      <c r="H30" s="44"/>
      <c r="I30" s="44" t="s">
        <v>148</v>
      </c>
    </row>
    <row r="31" spans="1:9" ht="14" hidden="1">
      <c r="A31" s="84">
        <v>45922</v>
      </c>
      <c r="B31" s="45" t="s">
        <v>177</v>
      </c>
      <c r="C31" s="85">
        <v>1000</v>
      </c>
      <c r="D31" s="45" t="s">
        <v>150</v>
      </c>
      <c r="E31" s="45" t="s">
        <v>49</v>
      </c>
      <c r="F31" s="45"/>
      <c r="G31" s="45"/>
      <c r="H31" s="45"/>
      <c r="I31" s="45" t="s">
        <v>148</v>
      </c>
    </row>
    <row r="32" spans="1:9" ht="14" hidden="1">
      <c r="A32" s="82">
        <v>45924</v>
      </c>
      <c r="B32" s="44" t="s">
        <v>178</v>
      </c>
      <c r="C32" s="83">
        <v>2500</v>
      </c>
      <c r="D32" s="44" t="s">
        <v>162</v>
      </c>
      <c r="E32" s="44" t="s">
        <v>49</v>
      </c>
      <c r="F32" s="44"/>
      <c r="G32" s="44"/>
      <c r="H32" s="44"/>
      <c r="I32" s="44" t="s">
        <v>148</v>
      </c>
    </row>
    <row r="33" spans="1:9" ht="14" hidden="1">
      <c r="A33" s="84">
        <v>45924</v>
      </c>
      <c r="B33" s="45" t="s">
        <v>179</v>
      </c>
      <c r="C33" s="85">
        <v>9250</v>
      </c>
      <c r="D33" s="45" t="s">
        <v>162</v>
      </c>
      <c r="E33" s="45" t="s">
        <v>49</v>
      </c>
      <c r="F33" s="45"/>
      <c r="G33" s="45"/>
      <c r="H33" s="45"/>
      <c r="I33" s="45" t="s">
        <v>148</v>
      </c>
    </row>
    <row r="34" spans="1:9" ht="14" hidden="1">
      <c r="A34" s="82">
        <v>45930</v>
      </c>
      <c r="B34" s="44" t="s">
        <v>169</v>
      </c>
      <c r="C34" s="83">
        <v>3800</v>
      </c>
      <c r="D34" s="44" t="s">
        <v>180</v>
      </c>
      <c r="E34" s="44" t="s">
        <v>51</v>
      </c>
      <c r="F34" s="44"/>
      <c r="G34" s="44"/>
      <c r="H34" s="44"/>
      <c r="I34" s="44" t="s">
        <v>148</v>
      </c>
    </row>
    <row r="35" spans="1:9" ht="14" hidden="1">
      <c r="A35" s="84">
        <v>45933.931944444397</v>
      </c>
      <c r="B35" s="45" t="s">
        <v>181</v>
      </c>
      <c r="C35" s="85">
        <v>800</v>
      </c>
      <c r="D35" s="45" t="s">
        <v>162</v>
      </c>
      <c r="E35" s="45" t="s">
        <v>49</v>
      </c>
      <c r="F35" s="45"/>
      <c r="G35" s="45"/>
      <c r="H35" s="45"/>
      <c r="I35" s="45" t="s">
        <v>148</v>
      </c>
    </row>
    <row r="36" spans="1:9" ht="14" hidden="1">
      <c r="A36" s="82">
        <v>45934.931944386597</v>
      </c>
      <c r="B36" s="44" t="s">
        <v>182</v>
      </c>
      <c r="C36" s="83">
        <v>1600</v>
      </c>
      <c r="D36" s="44" t="s">
        <v>147</v>
      </c>
      <c r="E36" s="44" t="s">
        <v>49</v>
      </c>
      <c r="F36" s="44"/>
      <c r="G36" s="44"/>
      <c r="H36" s="44"/>
      <c r="I36" s="44" t="s">
        <v>148</v>
      </c>
    </row>
    <row r="37" spans="1:9" ht="14" hidden="1">
      <c r="A37" s="84">
        <v>45935.931944386597</v>
      </c>
      <c r="B37" s="45" t="s">
        <v>183</v>
      </c>
      <c r="C37" s="85">
        <v>5900</v>
      </c>
      <c r="D37" s="45" t="s">
        <v>162</v>
      </c>
      <c r="E37" s="45" t="s">
        <v>49</v>
      </c>
      <c r="F37" s="45"/>
      <c r="G37" s="45"/>
      <c r="H37" s="45"/>
      <c r="I37" s="45" t="s">
        <v>148</v>
      </c>
    </row>
    <row r="38" spans="1:9" ht="14" hidden="1">
      <c r="A38" s="82">
        <v>45939.931944444397</v>
      </c>
      <c r="B38" s="44" t="s">
        <v>175</v>
      </c>
      <c r="C38" s="83">
        <v>3000</v>
      </c>
      <c r="D38" s="44" t="s">
        <v>162</v>
      </c>
      <c r="E38" s="44" t="s">
        <v>49</v>
      </c>
      <c r="F38" s="44"/>
      <c r="G38" s="44"/>
      <c r="H38" s="44"/>
      <c r="I38" s="44" t="s">
        <v>148</v>
      </c>
    </row>
    <row r="39" spans="1:9" ht="14" hidden="1">
      <c r="A39" s="84">
        <v>45939.931944444397</v>
      </c>
      <c r="B39" s="45" t="s">
        <v>184</v>
      </c>
      <c r="C39" s="85">
        <v>800</v>
      </c>
      <c r="D39" s="45" t="s">
        <v>162</v>
      </c>
      <c r="E39" s="45" t="s">
        <v>49</v>
      </c>
      <c r="F39" s="45"/>
      <c r="G39" s="45"/>
      <c r="H39" s="45"/>
      <c r="I39" s="45" t="s">
        <v>148</v>
      </c>
    </row>
    <row r="40" spans="1:9" ht="14" hidden="1">
      <c r="A40" s="82">
        <v>45945</v>
      </c>
      <c r="B40" s="44" t="s">
        <v>185</v>
      </c>
      <c r="C40" s="83">
        <v>1560</v>
      </c>
      <c r="D40" s="44" t="s">
        <v>162</v>
      </c>
      <c r="E40" s="44" t="s">
        <v>49</v>
      </c>
      <c r="F40" s="44"/>
      <c r="G40" s="44"/>
      <c r="H40" s="44"/>
      <c r="I40" s="44" t="s">
        <v>148</v>
      </c>
    </row>
    <row r="41" spans="1:9" ht="14" hidden="1">
      <c r="A41" s="84">
        <v>45946</v>
      </c>
      <c r="B41" s="45" t="s">
        <v>186</v>
      </c>
      <c r="C41" s="85">
        <v>1400</v>
      </c>
      <c r="D41" s="45" t="s">
        <v>162</v>
      </c>
      <c r="E41" s="45" t="s">
        <v>49</v>
      </c>
      <c r="F41" s="45"/>
      <c r="G41" s="45"/>
      <c r="H41" s="45"/>
      <c r="I41" s="45" t="s">
        <v>148</v>
      </c>
    </row>
    <row r="42" spans="1:9" ht="14" hidden="1">
      <c r="A42" s="82">
        <v>45946</v>
      </c>
      <c r="B42" s="44" t="s">
        <v>151</v>
      </c>
      <c r="C42" s="83">
        <v>3000</v>
      </c>
      <c r="D42" s="44" t="s">
        <v>162</v>
      </c>
      <c r="E42" s="44" t="s">
        <v>49</v>
      </c>
      <c r="F42" s="44"/>
      <c r="G42" s="44"/>
      <c r="H42" s="44"/>
      <c r="I42" s="44" t="s">
        <v>148</v>
      </c>
    </row>
    <row r="43" spans="1:9" ht="14" hidden="1">
      <c r="A43" s="84">
        <v>45947</v>
      </c>
      <c r="B43" s="45" t="s">
        <v>187</v>
      </c>
      <c r="C43" s="85">
        <v>1799</v>
      </c>
      <c r="D43" s="45" t="s">
        <v>162</v>
      </c>
      <c r="E43" s="45" t="s">
        <v>49</v>
      </c>
      <c r="F43" s="45"/>
      <c r="G43" s="45"/>
      <c r="H43" s="45"/>
      <c r="I43" s="45" t="s">
        <v>148</v>
      </c>
    </row>
    <row r="44" spans="1:9" ht="14" hidden="1">
      <c r="A44" s="82">
        <v>45948</v>
      </c>
      <c r="B44" s="44" t="s">
        <v>158</v>
      </c>
      <c r="C44" s="83">
        <v>1400</v>
      </c>
      <c r="D44" s="44" t="s">
        <v>162</v>
      </c>
      <c r="E44" s="44" t="s">
        <v>49</v>
      </c>
      <c r="F44" s="44"/>
      <c r="G44" s="44"/>
      <c r="H44" s="44"/>
      <c r="I44" s="44" t="s">
        <v>148</v>
      </c>
    </row>
    <row r="45" spans="1:9" ht="14" hidden="1">
      <c r="A45" s="84">
        <v>45949</v>
      </c>
      <c r="B45" s="45" t="s">
        <v>188</v>
      </c>
      <c r="C45" s="85">
        <v>1400</v>
      </c>
      <c r="D45" s="45" t="s">
        <v>162</v>
      </c>
      <c r="E45" s="45" t="s">
        <v>49</v>
      </c>
      <c r="F45" s="45"/>
      <c r="G45" s="45"/>
      <c r="H45" s="45"/>
      <c r="I45" s="45" t="s">
        <v>148</v>
      </c>
    </row>
    <row r="46" spans="1:9" ht="14" hidden="1">
      <c r="A46" s="82">
        <v>45950</v>
      </c>
      <c r="B46" s="44" t="s">
        <v>189</v>
      </c>
      <c r="C46" s="83">
        <v>600</v>
      </c>
      <c r="D46" s="44" t="s">
        <v>162</v>
      </c>
      <c r="E46" s="44" t="s">
        <v>49</v>
      </c>
      <c r="F46" s="44"/>
      <c r="G46" s="44"/>
      <c r="H46" s="44"/>
      <c r="I46" s="44" t="s">
        <v>148</v>
      </c>
    </row>
    <row r="47" spans="1:9" ht="14" hidden="1">
      <c r="A47" s="84">
        <v>45951</v>
      </c>
      <c r="B47" s="45" t="s">
        <v>190</v>
      </c>
      <c r="C47" s="85">
        <v>1000</v>
      </c>
      <c r="D47" s="45" t="s">
        <v>162</v>
      </c>
      <c r="E47" s="45" t="s">
        <v>49</v>
      </c>
      <c r="F47" s="45"/>
      <c r="G47" s="45"/>
      <c r="H47" s="45"/>
      <c r="I47" s="45" t="s">
        <v>148</v>
      </c>
    </row>
    <row r="48" spans="1:9" ht="14" hidden="1">
      <c r="A48" s="82">
        <v>45964</v>
      </c>
      <c r="B48" s="44" t="s">
        <v>189</v>
      </c>
      <c r="C48" s="83">
        <v>1500</v>
      </c>
      <c r="D48" s="44" t="s">
        <v>147</v>
      </c>
      <c r="E48" s="44" t="s">
        <v>49</v>
      </c>
      <c r="F48" s="44"/>
      <c r="G48" s="44"/>
      <c r="H48" s="44"/>
      <c r="I48" s="44" t="s">
        <v>148</v>
      </c>
    </row>
    <row r="49" spans="1:9" ht="14" hidden="1">
      <c r="A49" s="84">
        <v>45963</v>
      </c>
      <c r="B49" s="45" t="s">
        <v>189</v>
      </c>
      <c r="C49" s="85">
        <v>1600</v>
      </c>
      <c r="D49" s="45" t="s">
        <v>162</v>
      </c>
      <c r="E49" s="45" t="s">
        <v>49</v>
      </c>
      <c r="F49" s="45"/>
      <c r="G49" s="45"/>
      <c r="H49" s="45"/>
      <c r="I49" s="45" t="s">
        <v>148</v>
      </c>
    </row>
    <row r="50" spans="1:9" ht="14" hidden="1">
      <c r="A50" s="82">
        <v>45982</v>
      </c>
      <c r="B50" s="44" t="s">
        <v>191</v>
      </c>
      <c r="C50" s="83">
        <v>1600</v>
      </c>
      <c r="D50" s="44" t="s">
        <v>162</v>
      </c>
      <c r="E50" s="44" t="s">
        <v>49</v>
      </c>
      <c r="F50" s="44"/>
      <c r="G50" s="44"/>
      <c r="H50" s="44"/>
      <c r="I50" s="44" t="s">
        <v>148</v>
      </c>
    </row>
    <row r="51" spans="1:9" ht="14" hidden="1">
      <c r="A51" s="84">
        <v>45983</v>
      </c>
      <c r="B51" s="45" t="s">
        <v>192</v>
      </c>
      <c r="C51" s="85">
        <v>1400</v>
      </c>
      <c r="D51" s="45" t="s">
        <v>162</v>
      </c>
      <c r="E51" s="45" t="s">
        <v>49</v>
      </c>
      <c r="F51" s="45"/>
      <c r="G51" s="45"/>
      <c r="H51" s="45"/>
      <c r="I51" s="45" t="s">
        <v>148</v>
      </c>
    </row>
    <row r="52" spans="1:9" ht="14" hidden="1">
      <c r="A52" s="82">
        <v>45984</v>
      </c>
      <c r="B52" s="44" t="s">
        <v>193</v>
      </c>
      <c r="C52" s="83">
        <v>1600</v>
      </c>
      <c r="D52" s="44" t="s">
        <v>162</v>
      </c>
      <c r="E52" s="44" t="s">
        <v>49</v>
      </c>
      <c r="F52" s="44"/>
      <c r="G52" s="44"/>
      <c r="H52" s="44"/>
      <c r="I52" s="44" t="s">
        <v>148</v>
      </c>
    </row>
    <row r="53" spans="1:9" ht="14" hidden="1">
      <c r="A53" s="84">
        <v>45985</v>
      </c>
      <c r="B53" s="45" t="s">
        <v>191</v>
      </c>
      <c r="C53" s="85">
        <v>1600</v>
      </c>
      <c r="D53" s="45" t="s">
        <v>162</v>
      </c>
      <c r="E53" s="45" t="s">
        <v>49</v>
      </c>
      <c r="F53" s="46"/>
      <c r="G53" s="46"/>
      <c r="H53" s="46"/>
      <c r="I53" s="45" t="s">
        <v>148</v>
      </c>
    </row>
    <row r="54" spans="1:9" ht="13.5" hidden="1" customHeight="1">
      <c r="A54" s="82">
        <v>45986</v>
      </c>
      <c r="B54" s="44" t="s">
        <v>194</v>
      </c>
      <c r="C54" s="83">
        <v>4900</v>
      </c>
      <c r="D54" s="44" t="s">
        <v>162</v>
      </c>
      <c r="E54" s="44" t="s">
        <v>49</v>
      </c>
      <c r="F54" s="44"/>
      <c r="G54" s="44"/>
      <c r="H54" s="44" t="s">
        <v>195</v>
      </c>
      <c r="I54" s="44" t="s">
        <v>148</v>
      </c>
    </row>
    <row r="55" spans="1:9" ht="15.75" hidden="1" customHeight="1">
      <c r="A55" s="84">
        <v>45992</v>
      </c>
      <c r="B55" s="45" t="s">
        <v>196</v>
      </c>
      <c r="C55" s="85">
        <v>4500</v>
      </c>
      <c r="D55" s="45" t="s">
        <v>162</v>
      </c>
      <c r="E55" s="45" t="s">
        <v>49</v>
      </c>
      <c r="F55" s="46"/>
      <c r="G55" s="46"/>
      <c r="H55" s="46" t="s">
        <v>195</v>
      </c>
      <c r="I55" s="45" t="s">
        <v>148</v>
      </c>
    </row>
    <row r="56" spans="1:9" ht="13.5" hidden="1" customHeight="1">
      <c r="A56" s="82">
        <v>45992</v>
      </c>
      <c r="B56" s="44" t="s">
        <v>197</v>
      </c>
      <c r="C56" s="83">
        <v>1600</v>
      </c>
      <c r="D56" s="44" t="s">
        <v>162</v>
      </c>
      <c r="E56" s="44" t="s">
        <v>49</v>
      </c>
      <c r="F56" s="44"/>
      <c r="G56" s="44"/>
      <c r="H56" s="44" t="s">
        <v>198</v>
      </c>
      <c r="I56" s="44" t="s">
        <v>148</v>
      </c>
    </row>
    <row r="57" spans="1:9" ht="15.75" hidden="1" customHeight="1">
      <c r="A57" s="84">
        <v>45996</v>
      </c>
      <c r="B57" s="45" t="s">
        <v>199</v>
      </c>
      <c r="C57" s="85">
        <v>1500</v>
      </c>
      <c r="D57" s="45" t="s">
        <v>162</v>
      </c>
      <c r="E57" s="45" t="s">
        <v>49</v>
      </c>
      <c r="F57" s="46"/>
      <c r="G57" s="46"/>
      <c r="H57" s="46" t="s">
        <v>200</v>
      </c>
      <c r="I57" s="45" t="s">
        <v>148</v>
      </c>
    </row>
    <row r="58" spans="1:9" ht="42" hidden="1" customHeight="1">
      <c r="A58" s="82">
        <v>45996</v>
      </c>
      <c r="B58" s="44" t="s">
        <v>201</v>
      </c>
      <c r="C58" s="83">
        <v>7500</v>
      </c>
      <c r="D58" s="44" t="s">
        <v>162</v>
      </c>
      <c r="E58" s="44" t="s">
        <v>49</v>
      </c>
      <c r="F58" s="44"/>
      <c r="G58" s="44"/>
      <c r="H58" s="44" t="s">
        <v>202</v>
      </c>
      <c r="I58" s="44" t="s">
        <v>148</v>
      </c>
    </row>
    <row r="59" spans="1:9" ht="15.75" hidden="1" customHeight="1">
      <c r="A59" s="84">
        <v>45996</v>
      </c>
      <c r="B59" s="45" t="s">
        <v>173</v>
      </c>
      <c r="C59" s="85">
        <v>1400</v>
      </c>
      <c r="D59" s="45" t="s">
        <v>150</v>
      </c>
      <c r="E59" s="45" t="s">
        <v>49</v>
      </c>
      <c r="F59" s="46"/>
      <c r="G59" s="46"/>
      <c r="H59" s="46" t="s">
        <v>203</v>
      </c>
      <c r="I59" s="45" t="s">
        <v>148</v>
      </c>
    </row>
    <row r="60" spans="1:9" ht="13.5" hidden="1" customHeight="1">
      <c r="A60" s="82">
        <v>46007</v>
      </c>
      <c r="B60" s="44" t="s">
        <v>204</v>
      </c>
      <c r="C60" s="83">
        <v>699</v>
      </c>
      <c r="D60" s="44" t="s">
        <v>205</v>
      </c>
      <c r="E60" s="44" t="s">
        <v>49</v>
      </c>
      <c r="F60" s="44"/>
      <c r="G60" s="44"/>
      <c r="H60" s="44" t="s">
        <v>206</v>
      </c>
      <c r="I60" s="44" t="s">
        <v>148</v>
      </c>
    </row>
    <row r="61" spans="1:9" ht="15.75" hidden="1" customHeight="1">
      <c r="A61" s="84">
        <v>46008</v>
      </c>
      <c r="B61" s="45" t="s">
        <v>151</v>
      </c>
      <c r="C61" s="85">
        <v>1400</v>
      </c>
      <c r="D61" s="45" t="s">
        <v>180</v>
      </c>
      <c r="E61" s="45" t="s">
        <v>49</v>
      </c>
      <c r="F61" s="46" t="s">
        <v>207</v>
      </c>
      <c r="G61" s="46"/>
      <c r="H61" s="46" t="s">
        <v>208</v>
      </c>
      <c r="I61" s="45" t="s">
        <v>148</v>
      </c>
    </row>
    <row r="62" spans="1:9" ht="13.5" hidden="1" customHeight="1">
      <c r="A62" s="82">
        <v>46008</v>
      </c>
      <c r="B62" s="44" t="s">
        <v>209</v>
      </c>
      <c r="C62" s="83">
        <v>1380</v>
      </c>
      <c r="D62" s="44" t="s">
        <v>162</v>
      </c>
      <c r="E62" s="44" t="s">
        <v>49</v>
      </c>
      <c r="F62" s="44"/>
      <c r="G62" s="44"/>
      <c r="H62" s="44" t="s">
        <v>210</v>
      </c>
      <c r="I62" s="44" t="s">
        <v>148</v>
      </c>
    </row>
    <row r="63" spans="1:9" ht="15.75" hidden="1" customHeight="1">
      <c r="A63" s="84">
        <v>46008</v>
      </c>
      <c r="B63" s="45" t="s">
        <v>191</v>
      </c>
      <c r="C63" s="85">
        <v>1380</v>
      </c>
      <c r="D63" s="45" t="s">
        <v>162</v>
      </c>
      <c r="E63" s="45" t="s">
        <v>49</v>
      </c>
      <c r="F63" s="46"/>
      <c r="G63" s="46"/>
      <c r="H63" s="46" t="s">
        <v>211</v>
      </c>
      <c r="I63" s="45" t="s">
        <v>148</v>
      </c>
    </row>
    <row r="64" spans="1:9" ht="15.75" hidden="1" customHeight="1">
      <c r="A64" s="84">
        <v>46008</v>
      </c>
      <c r="B64" s="45" t="s">
        <v>173</v>
      </c>
      <c r="C64" s="85">
        <v>700</v>
      </c>
      <c r="D64" s="45" t="s">
        <v>162</v>
      </c>
      <c r="E64" s="45" t="s">
        <v>49</v>
      </c>
      <c r="F64" s="46"/>
      <c r="G64" s="46"/>
      <c r="H64" s="46" t="s">
        <v>212</v>
      </c>
      <c r="I64" s="45" t="s">
        <v>148</v>
      </c>
    </row>
    <row r="65" spans="1:9" ht="13.5" hidden="1" customHeight="1">
      <c r="A65" s="82">
        <v>46009</v>
      </c>
      <c r="B65" s="44" t="s">
        <v>177</v>
      </c>
      <c r="C65" s="83">
        <v>2100</v>
      </c>
      <c r="D65" s="44" t="s">
        <v>150</v>
      </c>
      <c r="E65" s="44" t="s">
        <v>49</v>
      </c>
      <c r="F65" s="44"/>
      <c r="G65" s="44"/>
      <c r="H65" s="44" t="s">
        <v>213</v>
      </c>
      <c r="I65" s="44" t="s">
        <v>148</v>
      </c>
    </row>
    <row r="66" spans="1:9" ht="15.75" hidden="1" customHeight="1">
      <c r="A66" s="84">
        <v>46010</v>
      </c>
      <c r="B66" s="45" t="s">
        <v>214</v>
      </c>
      <c r="C66" s="85">
        <v>1380</v>
      </c>
      <c r="D66" s="45" t="s">
        <v>180</v>
      </c>
      <c r="E66" s="45" t="s">
        <v>49</v>
      </c>
      <c r="F66" s="46"/>
      <c r="G66" s="46"/>
      <c r="H66" s="46" t="s">
        <v>211</v>
      </c>
      <c r="I66" s="45" t="s">
        <v>148</v>
      </c>
    </row>
    <row r="67" spans="1:9" ht="13.5" hidden="1" customHeight="1">
      <c r="A67" s="82">
        <v>46010</v>
      </c>
      <c r="B67" s="44" t="s">
        <v>215</v>
      </c>
      <c r="C67" s="83">
        <v>1000</v>
      </c>
      <c r="D67" s="44" t="s">
        <v>162</v>
      </c>
      <c r="E67" s="44" t="s">
        <v>49</v>
      </c>
      <c r="F67" s="44" t="s">
        <v>216</v>
      </c>
      <c r="G67" s="44"/>
      <c r="H67" s="44" t="s">
        <v>217</v>
      </c>
      <c r="I67" s="44" t="s">
        <v>148</v>
      </c>
    </row>
    <row r="68" spans="1:9" ht="31.5" hidden="1" customHeight="1">
      <c r="A68" s="84">
        <v>46011</v>
      </c>
      <c r="B68" s="45" t="s">
        <v>218</v>
      </c>
      <c r="C68" s="85">
        <v>3900</v>
      </c>
      <c r="D68" s="45" t="s">
        <v>162</v>
      </c>
      <c r="E68" s="45" t="s">
        <v>49</v>
      </c>
      <c r="F68" s="46"/>
      <c r="G68" s="46"/>
      <c r="H68" s="46" t="s">
        <v>219</v>
      </c>
      <c r="I68" s="45" t="s">
        <v>148</v>
      </c>
    </row>
    <row r="69" spans="1:9" ht="13.5" hidden="1" customHeight="1">
      <c r="A69" s="82">
        <v>46011</v>
      </c>
      <c r="B69" s="44" t="s">
        <v>220</v>
      </c>
      <c r="C69" s="83">
        <v>1400</v>
      </c>
      <c r="D69" s="44" t="s">
        <v>162</v>
      </c>
      <c r="E69" s="44" t="s">
        <v>49</v>
      </c>
      <c r="F69" s="44"/>
      <c r="G69" s="44"/>
      <c r="H69" s="44" t="s">
        <v>221</v>
      </c>
      <c r="I69" s="44" t="s">
        <v>148</v>
      </c>
    </row>
    <row r="70" spans="1:9" ht="13.5" hidden="1" customHeight="1">
      <c r="A70" s="82">
        <v>46011</v>
      </c>
      <c r="B70" s="44" t="s">
        <v>50</v>
      </c>
      <c r="C70" s="83">
        <v>1400</v>
      </c>
      <c r="D70" s="44" t="s">
        <v>150</v>
      </c>
      <c r="E70" s="44" t="s">
        <v>50</v>
      </c>
      <c r="F70" s="44"/>
      <c r="G70" s="44"/>
      <c r="H70" s="44" t="s">
        <v>222</v>
      </c>
      <c r="I70" s="44" t="s">
        <v>148</v>
      </c>
    </row>
    <row r="71" spans="1:9" ht="15.75" hidden="1" customHeight="1">
      <c r="A71" s="84">
        <v>46011</v>
      </c>
      <c r="B71" s="45" t="s">
        <v>199</v>
      </c>
      <c r="C71" s="85">
        <v>1400</v>
      </c>
      <c r="D71" s="45" t="s">
        <v>150</v>
      </c>
      <c r="E71" s="45" t="s">
        <v>49</v>
      </c>
      <c r="F71" s="46"/>
      <c r="G71" s="46"/>
      <c r="H71" s="46" t="s">
        <v>223</v>
      </c>
      <c r="I71" s="45" t="s">
        <v>148</v>
      </c>
    </row>
    <row r="72" spans="1:9" ht="27.75" hidden="1" customHeight="1">
      <c r="A72" s="82">
        <v>46011</v>
      </c>
      <c r="B72" s="44" t="s">
        <v>224</v>
      </c>
      <c r="C72" s="83">
        <v>3700</v>
      </c>
      <c r="D72" s="44" t="s">
        <v>162</v>
      </c>
      <c r="E72" s="44" t="s">
        <v>49</v>
      </c>
      <c r="F72" s="44"/>
      <c r="G72" s="44"/>
      <c r="H72" s="44" t="s">
        <v>225</v>
      </c>
      <c r="I72" s="44" t="s">
        <v>148</v>
      </c>
    </row>
    <row r="73" spans="1:9" ht="31.5" hidden="1" customHeight="1">
      <c r="A73" s="84">
        <v>46011</v>
      </c>
      <c r="B73" s="45" t="s">
        <v>226</v>
      </c>
      <c r="C73" s="85">
        <v>4529</v>
      </c>
      <c r="D73" s="45" t="s">
        <v>150</v>
      </c>
      <c r="E73" s="45" t="s">
        <v>50</v>
      </c>
      <c r="F73" s="46"/>
      <c r="G73" s="46"/>
      <c r="H73" s="46" t="s">
        <v>227</v>
      </c>
      <c r="I73" s="45" t="s">
        <v>148</v>
      </c>
    </row>
    <row r="74" spans="1:9" ht="13.5" hidden="1" customHeight="1">
      <c r="A74" s="82">
        <v>46013</v>
      </c>
      <c r="B74" s="44" t="s">
        <v>228</v>
      </c>
      <c r="C74" s="83">
        <v>580</v>
      </c>
      <c r="D74" s="44" t="s">
        <v>162</v>
      </c>
      <c r="E74" s="44" t="s">
        <v>49</v>
      </c>
      <c r="F74" s="44" t="s">
        <v>229</v>
      </c>
      <c r="G74" s="44"/>
      <c r="H74" s="44" t="s">
        <v>230</v>
      </c>
      <c r="I74" s="44" t="s">
        <v>148</v>
      </c>
    </row>
    <row r="75" spans="1:9" ht="15.75" hidden="1" customHeight="1">
      <c r="A75" s="84">
        <v>46013</v>
      </c>
      <c r="B75" s="45" t="s">
        <v>231</v>
      </c>
      <c r="C75" s="85">
        <v>1380</v>
      </c>
      <c r="D75" s="45" t="s">
        <v>162</v>
      </c>
      <c r="E75" s="45" t="s">
        <v>49</v>
      </c>
      <c r="F75" s="46"/>
      <c r="G75" s="46"/>
      <c r="H75" s="46" t="s">
        <v>203</v>
      </c>
      <c r="I75" s="45" t="s">
        <v>148</v>
      </c>
    </row>
    <row r="76" spans="1:9" ht="15.75" hidden="1" customHeight="1">
      <c r="A76" s="84">
        <v>46017</v>
      </c>
      <c r="B76" s="45" t="s">
        <v>232</v>
      </c>
      <c r="C76" s="85">
        <v>1380</v>
      </c>
      <c r="D76" s="45" t="s">
        <v>162</v>
      </c>
      <c r="E76" s="45" t="s">
        <v>49</v>
      </c>
      <c r="F76" s="46"/>
      <c r="G76" s="46"/>
      <c r="H76" s="46" t="s">
        <v>233</v>
      </c>
      <c r="I76" s="45" t="s">
        <v>148</v>
      </c>
    </row>
    <row r="77" spans="1:9" ht="13.5" hidden="1" customHeight="1">
      <c r="A77" s="82">
        <v>46017</v>
      </c>
      <c r="B77" s="44" t="s">
        <v>234</v>
      </c>
      <c r="C77" s="83">
        <v>1380</v>
      </c>
      <c r="D77" s="44" t="s">
        <v>162</v>
      </c>
      <c r="E77" s="44" t="s">
        <v>49</v>
      </c>
      <c r="F77" s="44"/>
      <c r="G77" s="44"/>
      <c r="H77" s="44" t="s">
        <v>235</v>
      </c>
      <c r="I77" s="44" t="s">
        <v>148</v>
      </c>
    </row>
    <row r="78" spans="1:9" ht="15.75" hidden="1" customHeight="1">
      <c r="A78" s="84">
        <v>46017</v>
      </c>
      <c r="B78" s="45" t="s">
        <v>189</v>
      </c>
      <c r="C78" s="85">
        <v>690</v>
      </c>
      <c r="D78" s="45" t="s">
        <v>150</v>
      </c>
      <c r="E78" s="45" t="s">
        <v>49</v>
      </c>
      <c r="F78" s="46"/>
      <c r="G78" s="46"/>
      <c r="H78" s="46" t="s">
        <v>236</v>
      </c>
      <c r="I78" s="45" t="s">
        <v>148</v>
      </c>
    </row>
    <row r="79" spans="1:9" ht="13.5" hidden="1" customHeight="1">
      <c r="A79" s="82">
        <v>46017</v>
      </c>
      <c r="B79" s="44" t="s">
        <v>189</v>
      </c>
      <c r="C79" s="83">
        <v>690</v>
      </c>
      <c r="D79" s="44" t="s">
        <v>150</v>
      </c>
      <c r="E79" s="44" t="s">
        <v>50</v>
      </c>
      <c r="F79" s="44"/>
      <c r="G79" s="44"/>
      <c r="H79" s="44" t="s">
        <v>236</v>
      </c>
      <c r="I79" s="44" t="s">
        <v>148</v>
      </c>
    </row>
    <row r="80" spans="1:9" ht="15.75" hidden="1" customHeight="1">
      <c r="A80" s="84">
        <v>46020</v>
      </c>
      <c r="B80" s="45" t="s">
        <v>161</v>
      </c>
      <c r="C80" s="85">
        <v>3200</v>
      </c>
      <c r="D80" s="45" t="s">
        <v>162</v>
      </c>
      <c r="E80" s="45" t="s">
        <v>49</v>
      </c>
      <c r="F80" s="46"/>
      <c r="G80" s="46"/>
      <c r="H80" s="46" t="s">
        <v>237</v>
      </c>
      <c r="I80" s="45" t="s">
        <v>148</v>
      </c>
    </row>
    <row r="81" spans="1:9" ht="13.5" hidden="1" customHeight="1">
      <c r="A81" s="82">
        <v>46024</v>
      </c>
      <c r="B81" s="44" t="s">
        <v>238</v>
      </c>
      <c r="C81" s="83">
        <v>2750</v>
      </c>
      <c r="D81" s="44" t="s">
        <v>162</v>
      </c>
      <c r="E81" s="44" t="s">
        <v>49</v>
      </c>
      <c r="F81" s="44"/>
      <c r="G81" s="44"/>
      <c r="H81" s="44" t="s">
        <v>239</v>
      </c>
      <c r="I81" s="44" t="s">
        <v>148</v>
      </c>
    </row>
    <row r="82" spans="1:9" ht="15.75" hidden="1" customHeight="1">
      <c r="A82" s="84">
        <v>46024</v>
      </c>
      <c r="B82" s="45" t="s">
        <v>240</v>
      </c>
      <c r="C82" s="85">
        <v>1400</v>
      </c>
      <c r="D82" s="45" t="s">
        <v>162</v>
      </c>
      <c r="E82" s="45" t="s">
        <v>49</v>
      </c>
      <c r="F82" s="46"/>
      <c r="G82" s="46"/>
      <c r="H82" s="46" t="s">
        <v>241</v>
      </c>
      <c r="I82" s="45" t="s">
        <v>148</v>
      </c>
    </row>
    <row r="83" spans="1:9" ht="13.5" hidden="1" customHeight="1">
      <c r="A83" s="82">
        <v>46024</v>
      </c>
      <c r="B83" s="44" t="s">
        <v>242</v>
      </c>
      <c r="C83" s="83">
        <v>1600</v>
      </c>
      <c r="D83" s="44" t="s">
        <v>162</v>
      </c>
      <c r="E83" s="44" t="s">
        <v>49</v>
      </c>
      <c r="F83" s="44"/>
      <c r="G83" s="44"/>
      <c r="H83" s="44" t="s">
        <v>243</v>
      </c>
      <c r="I83" s="44" t="s">
        <v>148</v>
      </c>
    </row>
    <row r="84" spans="1:9" ht="15.75" hidden="1" customHeight="1">
      <c r="A84" s="84">
        <v>46024</v>
      </c>
      <c r="B84" s="45" t="s">
        <v>51</v>
      </c>
      <c r="C84" s="85">
        <v>1200</v>
      </c>
      <c r="D84" s="45" t="s">
        <v>162</v>
      </c>
      <c r="E84" s="45" t="s">
        <v>51</v>
      </c>
      <c r="F84" s="46"/>
      <c r="G84" s="46"/>
      <c r="H84" s="46" t="s">
        <v>244</v>
      </c>
      <c r="I84" s="45" t="s">
        <v>148</v>
      </c>
    </row>
    <row r="85" spans="1:9" ht="13.5" hidden="1" customHeight="1">
      <c r="A85" s="82">
        <v>46027</v>
      </c>
      <c r="B85" s="44" t="s">
        <v>245</v>
      </c>
      <c r="C85" s="83">
        <v>1250</v>
      </c>
      <c r="D85" s="44" t="s">
        <v>162</v>
      </c>
      <c r="E85" s="44" t="s">
        <v>49</v>
      </c>
      <c r="F85" s="44"/>
      <c r="G85" s="44"/>
      <c r="H85" s="44" t="s">
        <v>246</v>
      </c>
      <c r="I85" s="44" t="s">
        <v>148</v>
      </c>
    </row>
    <row r="86" spans="1:9" ht="13.5" hidden="1" customHeight="1">
      <c r="A86" s="82">
        <v>46028</v>
      </c>
      <c r="B86" s="44" t="s">
        <v>247</v>
      </c>
      <c r="C86" s="83">
        <v>1380</v>
      </c>
      <c r="D86" s="44" t="s">
        <v>162</v>
      </c>
      <c r="E86" s="44" t="s">
        <v>49</v>
      </c>
      <c r="F86" s="44"/>
      <c r="G86" s="44"/>
      <c r="H86" s="44" t="s">
        <v>248</v>
      </c>
      <c r="I86" s="44" t="s">
        <v>148</v>
      </c>
    </row>
    <row r="87" spans="1:9" ht="15.75" hidden="1" customHeight="1">
      <c r="A87" s="84">
        <v>46029</v>
      </c>
      <c r="B87" s="45" t="s">
        <v>249</v>
      </c>
      <c r="C87" s="85">
        <v>1380</v>
      </c>
      <c r="D87" s="45" t="s">
        <v>162</v>
      </c>
      <c r="E87" s="45" t="s">
        <v>49</v>
      </c>
      <c r="F87" s="46"/>
      <c r="G87" s="46"/>
      <c r="H87" s="46" t="s">
        <v>235</v>
      </c>
      <c r="I87" s="45" t="s">
        <v>148</v>
      </c>
    </row>
    <row r="88" spans="1:9" ht="13.5" hidden="1" customHeight="1">
      <c r="A88" s="82">
        <v>46032</v>
      </c>
      <c r="B88" s="44" t="s">
        <v>250</v>
      </c>
      <c r="C88" s="83">
        <v>1100</v>
      </c>
      <c r="D88" s="44" t="s">
        <v>162</v>
      </c>
      <c r="E88" s="44" t="s">
        <v>49</v>
      </c>
      <c r="F88" s="44"/>
      <c r="G88" s="44"/>
      <c r="H88" s="44" t="s">
        <v>251</v>
      </c>
      <c r="I88" s="44" t="s">
        <v>148</v>
      </c>
    </row>
    <row r="89" spans="1:9" ht="15.75" hidden="1" customHeight="1">
      <c r="A89" s="84">
        <v>46033</v>
      </c>
      <c r="B89" s="45" t="s">
        <v>252</v>
      </c>
      <c r="C89" s="85">
        <v>1380</v>
      </c>
      <c r="D89" s="45" t="s">
        <v>162</v>
      </c>
      <c r="E89" s="45" t="s">
        <v>49</v>
      </c>
      <c r="F89" s="46"/>
      <c r="G89" s="46"/>
      <c r="H89" s="46" t="s">
        <v>203</v>
      </c>
      <c r="I89" s="45" t="s">
        <v>148</v>
      </c>
    </row>
    <row r="90" spans="1:9" ht="13.5" hidden="1" customHeight="1">
      <c r="A90" s="82">
        <v>46033</v>
      </c>
      <c r="B90" s="44" t="s">
        <v>253</v>
      </c>
      <c r="C90" s="83">
        <v>1100</v>
      </c>
      <c r="D90" s="44" t="s">
        <v>162</v>
      </c>
      <c r="E90" s="44" t="s">
        <v>49</v>
      </c>
      <c r="F90" s="44"/>
      <c r="G90" s="44"/>
      <c r="H90" s="44" t="s">
        <v>251</v>
      </c>
      <c r="I90" s="44" t="s">
        <v>148</v>
      </c>
    </row>
    <row r="91" spans="1:9" ht="15.75" hidden="1" customHeight="1">
      <c r="A91" s="84">
        <v>46034</v>
      </c>
      <c r="B91" s="45" t="s">
        <v>254</v>
      </c>
      <c r="C91" s="85">
        <v>1100</v>
      </c>
      <c r="D91" s="45" t="s">
        <v>162</v>
      </c>
      <c r="E91" s="45" t="s">
        <v>49</v>
      </c>
      <c r="F91" s="46"/>
      <c r="G91" s="46"/>
      <c r="H91" s="46" t="s">
        <v>251</v>
      </c>
      <c r="I91" s="45" t="s">
        <v>148</v>
      </c>
    </row>
    <row r="92" spans="1:9" ht="27.75" hidden="1" customHeight="1">
      <c r="A92" s="82">
        <v>46034</v>
      </c>
      <c r="B92" s="44" t="s">
        <v>255</v>
      </c>
      <c r="C92" s="83">
        <v>3000</v>
      </c>
      <c r="D92" s="44" t="s">
        <v>150</v>
      </c>
      <c r="E92" s="44" t="s">
        <v>51</v>
      </c>
      <c r="F92" s="44"/>
      <c r="G92" s="44"/>
      <c r="H92" s="44" t="s">
        <v>256</v>
      </c>
      <c r="I92" s="44" t="s">
        <v>148</v>
      </c>
    </row>
    <row r="93" spans="1:9" ht="15.75" hidden="1" customHeight="1">
      <c r="A93" s="84">
        <v>46035</v>
      </c>
      <c r="B93" s="45" t="s">
        <v>257</v>
      </c>
      <c r="C93" s="85">
        <v>1450</v>
      </c>
      <c r="D93" s="45" t="s">
        <v>147</v>
      </c>
      <c r="E93" s="45" t="s">
        <v>49</v>
      </c>
      <c r="F93" s="46"/>
      <c r="G93" s="46"/>
      <c r="H93" s="46" t="s">
        <v>258</v>
      </c>
      <c r="I93" s="45" t="s">
        <v>148</v>
      </c>
    </row>
    <row r="94" spans="1:9" ht="13.5" hidden="1" customHeight="1">
      <c r="A94" s="82">
        <v>46036</v>
      </c>
      <c r="B94" s="44" t="s">
        <v>259</v>
      </c>
      <c r="C94" s="83">
        <v>1599</v>
      </c>
      <c r="D94" s="44" t="s">
        <v>162</v>
      </c>
      <c r="E94" s="44" t="s">
        <v>49</v>
      </c>
      <c r="F94" s="44"/>
      <c r="G94" s="44"/>
      <c r="H94" s="44" t="s">
        <v>260</v>
      </c>
      <c r="I94" s="44" t="s">
        <v>148</v>
      </c>
    </row>
    <row r="95" spans="1:9" ht="15.75" hidden="1" customHeight="1">
      <c r="A95" s="84">
        <v>46038</v>
      </c>
      <c r="B95" s="45" t="s">
        <v>261</v>
      </c>
      <c r="C95" s="85">
        <v>1100</v>
      </c>
      <c r="D95" s="45" t="s">
        <v>162</v>
      </c>
      <c r="E95" s="45" t="s">
        <v>49</v>
      </c>
      <c r="F95" s="46"/>
      <c r="G95" s="46"/>
      <c r="H95" s="46" t="s">
        <v>251</v>
      </c>
      <c r="I95" s="45" t="s">
        <v>148</v>
      </c>
    </row>
    <row r="96" spans="1:9" ht="13.5" hidden="1" customHeight="1">
      <c r="A96" s="82">
        <v>46038</v>
      </c>
      <c r="B96" s="44" t="s">
        <v>262</v>
      </c>
      <c r="C96" s="83">
        <v>1650</v>
      </c>
      <c r="D96" s="44" t="s">
        <v>162</v>
      </c>
      <c r="E96" s="44" t="s">
        <v>51</v>
      </c>
      <c r="F96" s="44"/>
      <c r="G96" s="44"/>
      <c r="H96" s="44" t="s">
        <v>263</v>
      </c>
      <c r="I96" s="44" t="s">
        <v>148</v>
      </c>
    </row>
    <row r="97" spans="1:9" ht="15.75" hidden="1" customHeight="1">
      <c r="A97" s="84">
        <v>46039</v>
      </c>
      <c r="B97" s="45" t="s">
        <v>264</v>
      </c>
      <c r="C97" s="85">
        <v>2300</v>
      </c>
      <c r="D97" s="45" t="s">
        <v>150</v>
      </c>
      <c r="E97" s="45" t="s">
        <v>51</v>
      </c>
      <c r="F97" s="46"/>
      <c r="G97" s="46"/>
      <c r="H97" s="46" t="s">
        <v>265</v>
      </c>
      <c r="I97" s="45" t="s">
        <v>148</v>
      </c>
    </row>
    <row r="98" spans="1:9" ht="13.5" hidden="1" customHeight="1">
      <c r="A98" s="82">
        <v>46040</v>
      </c>
      <c r="B98" s="44" t="s">
        <v>266</v>
      </c>
      <c r="C98" s="83">
        <v>1399</v>
      </c>
      <c r="D98" s="44" t="s">
        <v>162</v>
      </c>
      <c r="E98" s="44" t="s">
        <v>49</v>
      </c>
      <c r="F98" s="44"/>
      <c r="G98" s="44"/>
      <c r="H98" s="44" t="s">
        <v>267</v>
      </c>
      <c r="I98" s="44" t="s">
        <v>148</v>
      </c>
    </row>
    <row r="99" spans="1:9" ht="15.75" hidden="1" customHeight="1">
      <c r="A99" s="84">
        <v>46041</v>
      </c>
      <c r="B99" s="45" t="s">
        <v>268</v>
      </c>
      <c r="C99" s="85">
        <v>1100</v>
      </c>
      <c r="D99" s="45" t="s">
        <v>162</v>
      </c>
      <c r="E99" s="45" t="s">
        <v>49</v>
      </c>
      <c r="F99" s="46"/>
      <c r="G99" s="46"/>
      <c r="H99" s="46" t="s">
        <v>251</v>
      </c>
      <c r="I99" s="45" t="s">
        <v>148</v>
      </c>
    </row>
    <row r="100" spans="1:9" ht="13.5" hidden="1" customHeight="1">
      <c r="A100" s="82">
        <v>46042</v>
      </c>
      <c r="B100" s="44" t="s">
        <v>269</v>
      </c>
      <c r="C100" s="83">
        <v>1250</v>
      </c>
      <c r="D100" s="44" t="s">
        <v>162</v>
      </c>
      <c r="E100" s="44" t="s">
        <v>49</v>
      </c>
      <c r="F100" s="44"/>
      <c r="G100" s="44"/>
      <c r="H100" s="44" t="s">
        <v>270</v>
      </c>
      <c r="I100" s="44" t="s">
        <v>148</v>
      </c>
    </row>
    <row r="101" spans="1:9" ht="15.75" hidden="1" customHeight="1">
      <c r="A101" s="84">
        <v>46043</v>
      </c>
      <c r="B101" s="45" t="s">
        <v>271</v>
      </c>
      <c r="C101" s="85">
        <v>1380</v>
      </c>
      <c r="D101" s="45" t="s">
        <v>162</v>
      </c>
      <c r="E101" s="45" t="s">
        <v>49</v>
      </c>
      <c r="F101" s="46"/>
      <c r="G101" s="46"/>
      <c r="H101" s="46" t="s">
        <v>272</v>
      </c>
      <c r="I101" s="45" t="s">
        <v>148</v>
      </c>
    </row>
    <row r="102" spans="1:9" ht="13.5" hidden="1" customHeight="1">
      <c r="A102" s="82">
        <v>46046</v>
      </c>
      <c r="B102" s="44" t="s">
        <v>273</v>
      </c>
      <c r="C102" s="83">
        <v>950</v>
      </c>
      <c r="D102" s="44" t="s">
        <v>162</v>
      </c>
      <c r="E102" s="44" t="s">
        <v>49</v>
      </c>
      <c r="F102" s="44"/>
      <c r="G102" s="44"/>
      <c r="H102" s="44" t="s">
        <v>274</v>
      </c>
      <c r="I102" s="44" t="s">
        <v>148</v>
      </c>
    </row>
    <row r="103" spans="1:9" ht="13.5" hidden="1" customHeight="1">
      <c r="A103" s="84">
        <v>46048</v>
      </c>
      <c r="B103" s="45" t="s">
        <v>275</v>
      </c>
      <c r="C103" s="85">
        <v>1380</v>
      </c>
      <c r="D103" s="45" t="s">
        <v>162</v>
      </c>
      <c r="E103" s="45" t="s">
        <v>49</v>
      </c>
      <c r="F103" s="46"/>
      <c r="G103" s="46"/>
      <c r="H103" s="44" t="s">
        <v>248</v>
      </c>
      <c r="I103" s="45" t="s">
        <v>148</v>
      </c>
    </row>
    <row r="104" spans="1:9" ht="13.5" hidden="1" customHeight="1">
      <c r="A104" s="82">
        <v>46048</v>
      </c>
      <c r="B104" s="44" t="s">
        <v>276</v>
      </c>
      <c r="C104" s="83">
        <v>2700</v>
      </c>
      <c r="D104" s="44" t="s">
        <v>162</v>
      </c>
      <c r="E104" s="44" t="s">
        <v>49</v>
      </c>
      <c r="F104" s="44"/>
      <c r="G104" s="44"/>
      <c r="H104" s="44" t="s">
        <v>277</v>
      </c>
      <c r="I104" s="44" t="s">
        <v>148</v>
      </c>
    </row>
    <row r="105" spans="1:9" ht="15.75" hidden="1" customHeight="1">
      <c r="A105" s="84">
        <v>46049</v>
      </c>
      <c r="B105" s="45" t="s">
        <v>278</v>
      </c>
      <c r="C105" s="85">
        <v>1380</v>
      </c>
      <c r="D105" s="45" t="s">
        <v>162</v>
      </c>
      <c r="E105" s="45" t="s">
        <v>49</v>
      </c>
      <c r="F105" s="46"/>
      <c r="G105" s="46"/>
      <c r="H105" s="46" t="s">
        <v>235</v>
      </c>
      <c r="I105" s="45" t="s">
        <v>148</v>
      </c>
    </row>
    <row r="106" spans="1:9" ht="13.5" hidden="1" customHeight="1">
      <c r="A106" s="82">
        <v>46049</v>
      </c>
      <c r="B106" s="44" t="s">
        <v>279</v>
      </c>
      <c r="C106" s="83">
        <v>1380</v>
      </c>
      <c r="D106" s="44" t="s">
        <v>162</v>
      </c>
      <c r="E106" s="44" t="s">
        <v>49</v>
      </c>
      <c r="F106" s="44"/>
      <c r="G106" s="44"/>
      <c r="H106" s="44" t="s">
        <v>280</v>
      </c>
      <c r="I106" s="44" t="s">
        <v>148</v>
      </c>
    </row>
    <row r="107" spans="1:9" ht="15.75" hidden="1" customHeight="1">
      <c r="A107" s="84">
        <v>46049</v>
      </c>
      <c r="B107" s="45" t="s">
        <v>281</v>
      </c>
      <c r="C107" s="85">
        <v>1200</v>
      </c>
      <c r="D107" s="45" t="s">
        <v>162</v>
      </c>
      <c r="E107" s="45" t="s">
        <v>49</v>
      </c>
      <c r="F107" s="46"/>
      <c r="G107" s="46"/>
      <c r="H107" s="46" t="s">
        <v>282</v>
      </c>
      <c r="I107" s="45" t="s">
        <v>148</v>
      </c>
    </row>
    <row r="108" spans="1:9" ht="13.5" hidden="1" customHeight="1">
      <c r="A108" s="82">
        <v>46050</v>
      </c>
      <c r="B108" s="44" t="s">
        <v>283</v>
      </c>
      <c r="C108" s="83">
        <v>1250</v>
      </c>
      <c r="D108" s="44" t="s">
        <v>162</v>
      </c>
      <c r="E108" s="44" t="s">
        <v>49</v>
      </c>
      <c r="F108" s="44"/>
      <c r="G108" s="44"/>
      <c r="H108" s="44" t="s">
        <v>284</v>
      </c>
      <c r="I108" s="44" t="s">
        <v>148</v>
      </c>
    </row>
    <row r="109" spans="1:9" ht="15.75" hidden="1" customHeight="1">
      <c r="A109" s="84">
        <v>46051</v>
      </c>
      <c r="B109" s="45" t="s">
        <v>285</v>
      </c>
      <c r="C109" s="85">
        <v>1380</v>
      </c>
      <c r="D109" s="45" t="s">
        <v>162</v>
      </c>
      <c r="E109" s="45" t="s">
        <v>49</v>
      </c>
      <c r="F109" s="46"/>
      <c r="G109" s="46"/>
      <c r="H109" s="46" t="s">
        <v>248</v>
      </c>
      <c r="I109" s="45" t="s">
        <v>148</v>
      </c>
    </row>
    <row r="110" spans="1:9" ht="13.5" hidden="1" customHeight="1">
      <c r="A110" s="82">
        <v>46051</v>
      </c>
      <c r="B110" s="44" t="s">
        <v>286</v>
      </c>
      <c r="C110" s="83">
        <v>1380</v>
      </c>
      <c r="D110" s="44" t="s">
        <v>162</v>
      </c>
      <c r="E110" s="44" t="s">
        <v>49</v>
      </c>
      <c r="F110" s="44"/>
      <c r="G110" s="44"/>
      <c r="H110" s="44" t="s">
        <v>248</v>
      </c>
      <c r="I110" s="44" t="s">
        <v>148</v>
      </c>
    </row>
    <row r="111" spans="1:9" ht="15.75" hidden="1" customHeight="1">
      <c r="A111" s="84">
        <v>46051</v>
      </c>
      <c r="B111" s="45" t="s">
        <v>264</v>
      </c>
      <c r="C111" s="85">
        <v>580</v>
      </c>
      <c r="D111" s="45" t="s">
        <v>287</v>
      </c>
      <c r="E111" s="45" t="s">
        <v>51</v>
      </c>
      <c r="F111" s="46"/>
      <c r="G111" s="46"/>
      <c r="H111" s="46" t="s">
        <v>288</v>
      </c>
      <c r="I111" s="45" t="s">
        <v>148</v>
      </c>
    </row>
    <row r="112" spans="1:9" ht="27.75" hidden="1" customHeight="1">
      <c r="A112" s="82">
        <v>46054</v>
      </c>
      <c r="B112" s="44" t="s">
        <v>289</v>
      </c>
      <c r="C112" s="83">
        <v>1800</v>
      </c>
      <c r="D112" s="44" t="s">
        <v>162</v>
      </c>
      <c r="E112" s="44" t="s">
        <v>49</v>
      </c>
      <c r="F112" s="44"/>
      <c r="G112" s="44"/>
      <c r="H112" s="44" t="s">
        <v>290</v>
      </c>
      <c r="I112" s="44" t="s">
        <v>148</v>
      </c>
    </row>
    <row r="113" spans="1:9" ht="15.75" hidden="1" customHeight="1">
      <c r="A113" s="84">
        <v>46054</v>
      </c>
      <c r="B113" s="45" t="s">
        <v>291</v>
      </c>
      <c r="C113" s="85">
        <v>1550</v>
      </c>
      <c r="D113" s="45" t="s">
        <v>162</v>
      </c>
      <c r="E113" s="45" t="s">
        <v>49</v>
      </c>
      <c r="F113" s="46"/>
      <c r="G113" s="46"/>
      <c r="H113" s="46" t="s">
        <v>260</v>
      </c>
      <c r="I113" s="45" t="s">
        <v>148</v>
      </c>
    </row>
    <row r="114" spans="1:9" ht="13.5" hidden="1" customHeight="1">
      <c r="A114" s="82">
        <v>46055</v>
      </c>
      <c r="B114" s="44" t="s">
        <v>157</v>
      </c>
      <c r="C114" s="83">
        <v>1380</v>
      </c>
      <c r="D114" s="44" t="s">
        <v>162</v>
      </c>
      <c r="E114" s="44" t="s">
        <v>49</v>
      </c>
      <c r="F114" s="44"/>
      <c r="G114" s="44"/>
      <c r="H114" s="44" t="s">
        <v>235</v>
      </c>
      <c r="I114" s="44" t="s">
        <v>148</v>
      </c>
    </row>
    <row r="115" spans="1:9" ht="15.75" hidden="1" customHeight="1">
      <c r="A115" s="84">
        <v>46055</v>
      </c>
      <c r="B115" s="45" t="s">
        <v>170</v>
      </c>
      <c r="C115" s="85">
        <v>1380</v>
      </c>
      <c r="D115" s="45" t="s">
        <v>162</v>
      </c>
      <c r="E115" s="45" t="s">
        <v>49</v>
      </c>
      <c r="F115" s="46"/>
      <c r="G115" s="46"/>
      <c r="H115" s="46" t="s">
        <v>292</v>
      </c>
      <c r="I115" s="45" t="s">
        <v>148</v>
      </c>
    </row>
    <row r="116" spans="1:9" ht="13.5" hidden="1" customHeight="1">
      <c r="A116" s="82">
        <v>46060</v>
      </c>
      <c r="B116" s="44" t="s">
        <v>293</v>
      </c>
      <c r="C116" s="83">
        <v>1050</v>
      </c>
      <c r="D116" s="44" t="s">
        <v>162</v>
      </c>
      <c r="E116" s="44" t="s">
        <v>49</v>
      </c>
      <c r="F116" s="44"/>
      <c r="G116" s="44"/>
      <c r="H116" s="44" t="s">
        <v>294</v>
      </c>
      <c r="I116" s="44" t="s">
        <v>148</v>
      </c>
    </row>
    <row r="117" spans="1:9" ht="15.75" hidden="1" customHeight="1">
      <c r="A117" s="84">
        <v>46062</v>
      </c>
      <c r="B117" s="45" t="s">
        <v>295</v>
      </c>
      <c r="C117" s="85">
        <v>1000</v>
      </c>
      <c r="D117" s="45" t="s">
        <v>162</v>
      </c>
      <c r="E117" s="45" t="s">
        <v>49</v>
      </c>
      <c r="F117" s="46"/>
      <c r="G117" s="46"/>
      <c r="H117" s="46" t="s">
        <v>296</v>
      </c>
      <c r="I117" s="45" t="s">
        <v>148</v>
      </c>
    </row>
    <row r="118" spans="1:9" ht="13.5" hidden="1" customHeight="1">
      <c r="A118" s="82">
        <v>46065</v>
      </c>
      <c r="B118" s="44" t="s">
        <v>297</v>
      </c>
      <c r="C118" s="83">
        <v>799</v>
      </c>
      <c r="D118" s="44" t="s">
        <v>162</v>
      </c>
      <c r="E118" s="44" t="s">
        <v>49</v>
      </c>
      <c r="F118" s="44"/>
      <c r="G118" s="44"/>
      <c r="H118" s="44" t="s">
        <v>298</v>
      </c>
      <c r="I118" s="44" t="s">
        <v>148</v>
      </c>
    </row>
    <row r="119" spans="1:9" ht="15.75" hidden="1" customHeight="1">
      <c r="A119" s="84">
        <v>46055</v>
      </c>
      <c r="B119" s="45" t="s">
        <v>299</v>
      </c>
      <c r="C119" s="85">
        <v>500</v>
      </c>
      <c r="D119" s="45" t="s">
        <v>162</v>
      </c>
      <c r="E119" s="45" t="s">
        <v>49</v>
      </c>
      <c r="F119" s="46"/>
      <c r="G119" s="46"/>
      <c r="H119" s="46" t="s">
        <v>109</v>
      </c>
      <c r="I119" s="45" t="s">
        <v>148</v>
      </c>
    </row>
    <row r="120" spans="1:9" ht="27.75" hidden="1" customHeight="1">
      <c r="A120" s="82">
        <v>46070</v>
      </c>
      <c r="B120" s="44" t="s">
        <v>300</v>
      </c>
      <c r="C120" s="83">
        <v>1450</v>
      </c>
      <c r="D120" s="44" t="s">
        <v>301</v>
      </c>
      <c r="E120" s="44" t="s">
        <v>49</v>
      </c>
      <c r="F120" s="44"/>
      <c r="G120" s="44"/>
      <c r="H120" s="44" t="s">
        <v>302</v>
      </c>
      <c r="I120" s="44" t="s">
        <v>148</v>
      </c>
    </row>
    <row r="121" spans="1:9" ht="15.75" hidden="1" customHeight="1">
      <c r="A121" s="84">
        <v>46073</v>
      </c>
      <c r="B121" s="45" t="s">
        <v>183</v>
      </c>
      <c r="C121" s="85">
        <v>1200</v>
      </c>
      <c r="D121" s="45" t="s">
        <v>162</v>
      </c>
      <c r="E121" s="45" t="s">
        <v>49</v>
      </c>
      <c r="F121" s="46"/>
      <c r="G121" s="46"/>
      <c r="H121" s="46" t="s">
        <v>303</v>
      </c>
      <c r="I121" s="45" t="s">
        <v>148</v>
      </c>
    </row>
    <row r="122" spans="1:9" ht="13.5" hidden="1" customHeight="1">
      <c r="A122" s="82">
        <v>46074</v>
      </c>
      <c r="B122" s="44" t="s">
        <v>304</v>
      </c>
      <c r="C122" s="83">
        <v>1200</v>
      </c>
      <c r="D122" s="44" t="s">
        <v>162</v>
      </c>
      <c r="E122" s="44" t="s">
        <v>49</v>
      </c>
      <c r="F122" s="44"/>
      <c r="G122" s="44"/>
      <c r="H122" s="44" t="s">
        <v>305</v>
      </c>
      <c r="I122" s="44" t="s">
        <v>148</v>
      </c>
    </row>
    <row r="123" spans="1:9" ht="15.75" hidden="1" customHeight="1">
      <c r="A123" s="84">
        <v>46075</v>
      </c>
      <c r="B123" s="45" t="s">
        <v>306</v>
      </c>
      <c r="C123" s="85">
        <v>1380</v>
      </c>
      <c r="D123" s="45" t="s">
        <v>162</v>
      </c>
      <c r="E123" s="45" t="s">
        <v>49</v>
      </c>
      <c r="F123" s="46"/>
      <c r="G123" s="46"/>
      <c r="H123" s="46" t="s">
        <v>203</v>
      </c>
      <c r="I123" s="45" t="s">
        <v>148</v>
      </c>
    </row>
    <row r="124" spans="1:9" ht="13.5" hidden="1" customHeight="1">
      <c r="A124" s="82">
        <v>46075</v>
      </c>
      <c r="B124" s="44" t="s">
        <v>307</v>
      </c>
      <c r="C124" s="83">
        <v>2550</v>
      </c>
      <c r="D124" s="44" t="s">
        <v>162</v>
      </c>
      <c r="E124" s="44" t="s">
        <v>49</v>
      </c>
      <c r="F124" s="44"/>
      <c r="G124" s="44"/>
      <c r="H124" s="44" t="s">
        <v>308</v>
      </c>
      <c r="I124" s="44" t="s">
        <v>148</v>
      </c>
    </row>
    <row r="125" spans="1:9" ht="31.5" hidden="1" customHeight="1">
      <c r="A125" s="84">
        <v>46079</v>
      </c>
      <c r="B125" s="45" t="s">
        <v>153</v>
      </c>
      <c r="C125" s="85">
        <v>1350</v>
      </c>
      <c r="D125" s="45" t="s">
        <v>162</v>
      </c>
      <c r="E125" s="45" t="s">
        <v>49</v>
      </c>
      <c r="F125" s="46"/>
      <c r="G125" s="46"/>
      <c r="H125" s="46" t="s">
        <v>309</v>
      </c>
      <c r="I125" s="45" t="s">
        <v>148</v>
      </c>
    </row>
    <row r="126" spans="1:9" ht="13.5" hidden="1" customHeight="1">
      <c r="A126" s="82">
        <v>46079</v>
      </c>
      <c r="B126" s="44" t="s">
        <v>310</v>
      </c>
      <c r="C126" s="83">
        <v>500</v>
      </c>
      <c r="D126" s="44" t="s">
        <v>162</v>
      </c>
      <c r="E126" s="44" t="s">
        <v>49</v>
      </c>
      <c r="F126" s="44"/>
      <c r="G126" s="44"/>
      <c r="H126" s="44" t="s">
        <v>311</v>
      </c>
      <c r="I126" s="44" t="s">
        <v>148</v>
      </c>
    </row>
    <row r="127" spans="1:9" ht="13.5" hidden="1" customHeight="1">
      <c r="A127" s="84">
        <v>46090</v>
      </c>
      <c r="B127" s="45" t="s">
        <v>312</v>
      </c>
      <c r="C127" s="85">
        <v>850</v>
      </c>
      <c r="D127" s="45" t="s">
        <v>162</v>
      </c>
      <c r="E127" s="45" t="s">
        <v>49</v>
      </c>
      <c r="F127" s="46"/>
      <c r="G127" s="46"/>
      <c r="H127" s="45" t="s">
        <v>313</v>
      </c>
      <c r="I127" s="45" t="s">
        <v>148</v>
      </c>
    </row>
    <row r="128" spans="1:9" ht="13.5" hidden="1" customHeight="1">
      <c r="A128" s="82">
        <v>46090</v>
      </c>
      <c r="B128" s="44" t="s">
        <v>314</v>
      </c>
      <c r="C128" s="83">
        <v>1100</v>
      </c>
      <c r="D128" s="44" t="s">
        <v>162</v>
      </c>
      <c r="E128" s="44" t="s">
        <v>49</v>
      </c>
      <c r="F128" s="44"/>
      <c r="G128" s="44"/>
      <c r="H128" s="44" t="s">
        <v>315</v>
      </c>
      <c r="I128" s="44" t="s">
        <v>148</v>
      </c>
    </row>
    <row r="129" spans="1:9" ht="13.5" hidden="1" customHeight="1">
      <c r="A129" s="82">
        <v>46090</v>
      </c>
      <c r="B129" s="44" t="s">
        <v>316</v>
      </c>
      <c r="C129" s="83">
        <v>800</v>
      </c>
      <c r="D129" s="44" t="s">
        <v>162</v>
      </c>
      <c r="E129" s="44" t="s">
        <v>49</v>
      </c>
      <c r="F129" s="44"/>
      <c r="G129" s="44"/>
      <c r="H129" s="44" t="s">
        <v>317</v>
      </c>
      <c r="I129" s="44" t="s">
        <v>148</v>
      </c>
    </row>
    <row r="130" spans="1:9" ht="15.75" hidden="1" customHeight="1">
      <c r="A130" s="84">
        <v>46091</v>
      </c>
      <c r="B130" s="45" t="s">
        <v>318</v>
      </c>
      <c r="C130" s="85">
        <v>1099</v>
      </c>
      <c r="D130" s="45" t="s">
        <v>162</v>
      </c>
      <c r="E130" s="45" t="s">
        <v>49</v>
      </c>
      <c r="F130" s="46"/>
      <c r="G130" s="46"/>
      <c r="H130" s="46" t="s">
        <v>319</v>
      </c>
      <c r="I130" s="45" t="s">
        <v>148</v>
      </c>
    </row>
    <row r="131" spans="1:9" ht="13.5" hidden="1" customHeight="1">
      <c r="A131" s="82">
        <v>46092</v>
      </c>
      <c r="B131" s="44" t="s">
        <v>307</v>
      </c>
      <c r="C131" s="83">
        <v>1200</v>
      </c>
      <c r="D131" s="44" t="s">
        <v>162</v>
      </c>
      <c r="E131" s="44" t="s">
        <v>49</v>
      </c>
      <c r="F131" s="44"/>
      <c r="G131" s="44"/>
      <c r="H131" s="44" t="s">
        <v>320</v>
      </c>
      <c r="I131" s="44" t="s">
        <v>148</v>
      </c>
    </row>
    <row r="132" spans="1:9" ht="15.75" hidden="1" customHeight="1">
      <c r="A132" s="84">
        <v>46092</v>
      </c>
      <c r="B132" s="45" t="s">
        <v>321</v>
      </c>
      <c r="C132" s="85">
        <v>1099</v>
      </c>
      <c r="D132" s="45" t="s">
        <v>162</v>
      </c>
      <c r="E132" s="45" t="s">
        <v>49</v>
      </c>
      <c r="F132" s="46"/>
      <c r="G132" s="46"/>
      <c r="H132" s="46" t="s">
        <v>322</v>
      </c>
      <c r="I132" s="45" t="s">
        <v>148</v>
      </c>
    </row>
    <row r="133" spans="1:9" ht="27.75" hidden="1" customHeight="1">
      <c r="A133" s="82">
        <v>46093</v>
      </c>
      <c r="B133" s="44" t="s">
        <v>215</v>
      </c>
      <c r="C133" s="83">
        <v>550</v>
      </c>
      <c r="D133" s="44" t="s">
        <v>162</v>
      </c>
      <c r="E133" s="44" t="s">
        <v>49</v>
      </c>
      <c r="F133" s="44"/>
      <c r="G133" s="44"/>
      <c r="H133" s="44" t="s">
        <v>323</v>
      </c>
      <c r="I133" s="44" t="s">
        <v>148</v>
      </c>
    </row>
    <row r="134" spans="1:9" ht="15.75" hidden="1" customHeight="1">
      <c r="A134" s="84">
        <v>46093</v>
      </c>
      <c r="B134" s="45" t="s">
        <v>201</v>
      </c>
      <c r="C134" s="85">
        <v>650</v>
      </c>
      <c r="D134" s="45" t="s">
        <v>162</v>
      </c>
      <c r="E134" s="45" t="s">
        <v>49</v>
      </c>
      <c r="F134" s="46"/>
      <c r="G134" s="46"/>
      <c r="H134" s="46" t="s">
        <v>324</v>
      </c>
      <c r="I134" s="45" t="s">
        <v>148</v>
      </c>
    </row>
    <row r="135" spans="1:9" ht="13.5" hidden="1" customHeight="1">
      <c r="A135" s="82">
        <v>46097</v>
      </c>
      <c r="B135" s="44" t="s">
        <v>325</v>
      </c>
      <c r="C135" s="83">
        <v>1550</v>
      </c>
      <c r="D135" s="44" t="s">
        <v>162</v>
      </c>
      <c r="E135" s="44" t="s">
        <v>49</v>
      </c>
      <c r="F135" s="44"/>
      <c r="G135" s="44"/>
      <c r="H135" s="44" t="s">
        <v>326</v>
      </c>
      <c r="I135" s="44" t="s">
        <v>148</v>
      </c>
    </row>
    <row r="136" spans="1:9" ht="15.75" hidden="1" customHeight="1">
      <c r="A136" s="84">
        <v>46097</v>
      </c>
      <c r="B136" s="45" t="s">
        <v>327</v>
      </c>
      <c r="C136" s="85">
        <v>850</v>
      </c>
      <c r="D136" s="45" t="s">
        <v>162</v>
      </c>
      <c r="E136" s="45" t="s">
        <v>49</v>
      </c>
      <c r="F136" s="46"/>
      <c r="G136" s="46"/>
      <c r="H136" s="46" t="s">
        <v>328</v>
      </c>
      <c r="I136" s="45" t="s">
        <v>148</v>
      </c>
    </row>
    <row r="137" spans="1:9" ht="13.5" hidden="1" customHeight="1">
      <c r="A137" s="82">
        <v>46100</v>
      </c>
      <c r="B137" s="44" t="s">
        <v>329</v>
      </c>
      <c r="C137" s="83">
        <v>1200</v>
      </c>
      <c r="D137" s="44" t="s">
        <v>162</v>
      </c>
      <c r="E137" s="44" t="s">
        <v>49</v>
      </c>
      <c r="F137" s="44"/>
      <c r="G137" s="44"/>
      <c r="H137" s="44" t="s">
        <v>114</v>
      </c>
      <c r="I137" s="44" t="s">
        <v>148</v>
      </c>
    </row>
    <row r="138" spans="1:9" ht="15.75" hidden="1" customHeight="1">
      <c r="A138" s="84">
        <v>46104</v>
      </c>
      <c r="B138" s="45" t="s">
        <v>226</v>
      </c>
      <c r="C138" s="85">
        <v>1800</v>
      </c>
      <c r="D138" s="45" t="s">
        <v>150</v>
      </c>
      <c r="E138" s="45" t="s">
        <v>50</v>
      </c>
      <c r="F138" s="46"/>
      <c r="G138" s="46"/>
      <c r="H138" s="46" t="s">
        <v>330</v>
      </c>
      <c r="I138" s="45" t="s">
        <v>148</v>
      </c>
    </row>
    <row r="139" spans="1:9" ht="27.75" hidden="1" customHeight="1">
      <c r="A139" s="82">
        <v>46105</v>
      </c>
      <c r="B139" s="44" t="s">
        <v>146</v>
      </c>
      <c r="C139" s="83">
        <v>3500</v>
      </c>
      <c r="D139" s="44" t="s">
        <v>162</v>
      </c>
      <c r="E139" s="44" t="s">
        <v>49</v>
      </c>
      <c r="F139" s="44"/>
      <c r="G139" s="44"/>
      <c r="H139" s="44" t="s">
        <v>331</v>
      </c>
      <c r="I139" s="44" t="s">
        <v>148</v>
      </c>
    </row>
    <row r="140" spans="1:9" ht="31.5" hidden="1" customHeight="1">
      <c r="A140" s="84">
        <v>46113</v>
      </c>
      <c r="B140" s="45" t="s">
        <v>332</v>
      </c>
      <c r="C140" s="85">
        <v>3000</v>
      </c>
      <c r="D140" s="45" t="s">
        <v>150</v>
      </c>
      <c r="E140" s="45" t="s">
        <v>49</v>
      </c>
      <c r="F140" s="46"/>
      <c r="G140" s="46"/>
      <c r="H140" s="46" t="s">
        <v>333</v>
      </c>
      <c r="I140" s="45" t="s">
        <v>148</v>
      </c>
    </row>
    <row r="141" spans="1:9" ht="13.5" hidden="1" customHeight="1">
      <c r="A141" s="82">
        <v>46118</v>
      </c>
      <c r="B141" s="44" t="s">
        <v>146</v>
      </c>
      <c r="C141" s="83">
        <v>1450</v>
      </c>
      <c r="D141" s="44" t="s">
        <v>162</v>
      </c>
      <c r="E141" s="44" t="s">
        <v>49</v>
      </c>
      <c r="F141" s="44"/>
      <c r="G141" s="44"/>
      <c r="H141" s="44" t="s">
        <v>334</v>
      </c>
      <c r="I141" s="44" t="s">
        <v>148</v>
      </c>
    </row>
    <row r="142" spans="1:9" ht="15.75" hidden="1" customHeight="1">
      <c r="A142" s="84">
        <v>46119</v>
      </c>
      <c r="B142" s="45" t="s">
        <v>335</v>
      </c>
      <c r="C142" s="85">
        <v>1200</v>
      </c>
      <c r="D142" s="45" t="s">
        <v>162</v>
      </c>
      <c r="E142" s="45" t="s">
        <v>49</v>
      </c>
      <c r="F142" s="46"/>
      <c r="G142" s="46"/>
      <c r="H142" s="46" t="s">
        <v>336</v>
      </c>
      <c r="I142" s="45" t="s">
        <v>148</v>
      </c>
    </row>
    <row r="143" spans="1:9" ht="13.5" hidden="1" customHeight="1">
      <c r="A143" s="82">
        <v>46120</v>
      </c>
      <c r="B143" s="44" t="s">
        <v>337</v>
      </c>
      <c r="C143" s="83">
        <v>1200</v>
      </c>
      <c r="D143" s="44" t="s">
        <v>162</v>
      </c>
      <c r="E143" s="44" t="s">
        <v>49</v>
      </c>
      <c r="F143" s="44"/>
      <c r="G143" s="44"/>
      <c r="H143" s="44" t="s">
        <v>338</v>
      </c>
      <c r="I143" s="44" t="s">
        <v>148</v>
      </c>
    </row>
    <row r="144" spans="1:9" ht="15.75" hidden="1" customHeight="1">
      <c r="A144" s="84">
        <v>46120</v>
      </c>
      <c r="B144" s="45" t="s">
        <v>339</v>
      </c>
      <c r="C144" s="85">
        <v>1500</v>
      </c>
      <c r="D144" s="45" t="s">
        <v>162</v>
      </c>
      <c r="E144" s="45" t="s">
        <v>49</v>
      </c>
      <c r="F144" s="46"/>
      <c r="G144" s="46"/>
      <c r="H144" s="46" t="s">
        <v>340</v>
      </c>
      <c r="I144" s="45" t="s">
        <v>148</v>
      </c>
    </row>
    <row r="145" spans="1:9" ht="13.5" hidden="1" customHeight="1">
      <c r="A145" s="82">
        <v>46120</v>
      </c>
      <c r="B145" s="44" t="s">
        <v>49</v>
      </c>
      <c r="C145" s="83">
        <v>730</v>
      </c>
      <c r="D145" s="44" t="s">
        <v>150</v>
      </c>
      <c r="E145" s="44" t="s">
        <v>49</v>
      </c>
      <c r="F145" s="44"/>
      <c r="G145" s="44"/>
      <c r="H145" s="44" t="s">
        <v>341</v>
      </c>
      <c r="I145" s="44" t="s">
        <v>148</v>
      </c>
    </row>
    <row r="146" spans="1:9" ht="31.5" hidden="1" customHeight="1">
      <c r="A146" s="84">
        <v>46122</v>
      </c>
      <c r="B146" s="45" t="s">
        <v>307</v>
      </c>
      <c r="C146" s="85">
        <v>950</v>
      </c>
      <c r="D146" s="45" t="s">
        <v>162</v>
      </c>
      <c r="E146" s="45" t="s">
        <v>49</v>
      </c>
      <c r="F146" s="46"/>
      <c r="G146" s="46"/>
      <c r="H146" s="46" t="s">
        <v>342</v>
      </c>
      <c r="I146" s="45" t="s">
        <v>148</v>
      </c>
    </row>
    <row r="147" spans="1:9" ht="13.5" hidden="1" customHeight="1">
      <c r="A147" s="82">
        <v>46122</v>
      </c>
      <c r="B147" s="44" t="s">
        <v>343</v>
      </c>
      <c r="C147" s="83">
        <v>650</v>
      </c>
      <c r="D147" s="44" t="s">
        <v>162</v>
      </c>
      <c r="E147" s="44" t="s">
        <v>49</v>
      </c>
      <c r="F147" s="44"/>
      <c r="G147" s="44"/>
      <c r="H147" s="44" t="s">
        <v>344</v>
      </c>
      <c r="I147" s="44" t="s">
        <v>148</v>
      </c>
    </row>
    <row r="148" spans="1:9" ht="15.75" hidden="1" customHeight="1">
      <c r="A148" s="84">
        <v>46122</v>
      </c>
      <c r="B148" s="45" t="s">
        <v>345</v>
      </c>
      <c r="C148" s="85">
        <v>500</v>
      </c>
      <c r="D148" s="45" t="s">
        <v>150</v>
      </c>
      <c r="E148" s="45" t="s">
        <v>49</v>
      </c>
      <c r="F148" s="46"/>
      <c r="G148" s="46"/>
      <c r="H148" s="46" t="s">
        <v>346</v>
      </c>
      <c r="I148" s="45" t="s">
        <v>148</v>
      </c>
    </row>
    <row r="149" spans="1:9" ht="13.5" hidden="1" customHeight="1">
      <c r="A149" s="82">
        <v>46122</v>
      </c>
      <c r="B149" s="44" t="s">
        <v>153</v>
      </c>
      <c r="C149" s="83">
        <v>1200</v>
      </c>
      <c r="D149" s="44" t="s">
        <v>162</v>
      </c>
      <c r="E149" s="44" t="s">
        <v>49</v>
      </c>
      <c r="F149" s="44"/>
      <c r="G149" s="44"/>
      <c r="H149" s="44" t="s">
        <v>347</v>
      </c>
      <c r="I149" s="44" t="s">
        <v>148</v>
      </c>
    </row>
    <row r="150" spans="1:9" ht="15.75" hidden="1" customHeight="1">
      <c r="A150" s="84">
        <v>46125</v>
      </c>
      <c r="B150" s="45" t="s">
        <v>218</v>
      </c>
      <c r="C150" s="85">
        <v>1100</v>
      </c>
      <c r="D150" s="45" t="s">
        <v>162</v>
      </c>
      <c r="E150" s="45" t="s">
        <v>49</v>
      </c>
      <c r="F150" s="46"/>
      <c r="G150" s="46"/>
      <c r="H150" s="46" t="s">
        <v>348</v>
      </c>
      <c r="I150" s="45" t="s">
        <v>148</v>
      </c>
    </row>
    <row r="151" spans="1:9" ht="13.5" hidden="1" customHeight="1">
      <c r="A151" s="82">
        <v>46125</v>
      </c>
      <c r="B151" s="44" t="s">
        <v>349</v>
      </c>
      <c r="C151" s="83">
        <v>1200</v>
      </c>
      <c r="D151" s="44" t="s">
        <v>162</v>
      </c>
      <c r="E151" s="44" t="s">
        <v>49</v>
      </c>
      <c r="F151" s="44"/>
      <c r="G151" s="44"/>
      <c r="H151" s="44" t="s">
        <v>350</v>
      </c>
      <c r="I151" s="44" t="s">
        <v>148</v>
      </c>
    </row>
    <row r="152" spans="1:9" ht="15.75" hidden="1" customHeight="1">
      <c r="A152" s="84">
        <v>46125</v>
      </c>
      <c r="B152" s="45" t="s">
        <v>173</v>
      </c>
      <c r="C152" s="85">
        <v>980</v>
      </c>
      <c r="D152" s="45" t="s">
        <v>162</v>
      </c>
      <c r="E152" s="45" t="s">
        <v>49</v>
      </c>
      <c r="F152" s="46"/>
      <c r="G152" s="46"/>
      <c r="H152" s="46" t="s">
        <v>341</v>
      </c>
      <c r="I152" s="45" t="s">
        <v>148</v>
      </c>
    </row>
    <row r="153" spans="1:9" ht="13.5" hidden="1" customHeight="1">
      <c r="A153" s="82">
        <v>46125</v>
      </c>
      <c r="B153" s="44" t="s">
        <v>186</v>
      </c>
      <c r="C153" s="83">
        <v>980</v>
      </c>
      <c r="D153" s="44" t="s">
        <v>162</v>
      </c>
      <c r="E153" s="44" t="s">
        <v>49</v>
      </c>
      <c r="F153" s="44"/>
      <c r="G153" s="44"/>
      <c r="H153" s="44" t="s">
        <v>341</v>
      </c>
      <c r="I153" s="44" t="s">
        <v>148</v>
      </c>
    </row>
    <row r="154" spans="1:9" ht="15.75" hidden="1" customHeight="1">
      <c r="A154" s="84">
        <v>46126</v>
      </c>
      <c r="B154" s="45" t="s">
        <v>199</v>
      </c>
      <c r="C154" s="85">
        <v>2000</v>
      </c>
      <c r="D154" s="45" t="s">
        <v>150</v>
      </c>
      <c r="E154" s="45" t="s">
        <v>49</v>
      </c>
      <c r="F154" s="46"/>
      <c r="G154" s="46"/>
      <c r="H154" s="46" t="s">
        <v>351</v>
      </c>
      <c r="I154" s="45" t="s">
        <v>148</v>
      </c>
    </row>
    <row r="155" spans="1:9" ht="13.5" hidden="1" customHeight="1">
      <c r="A155" s="82">
        <v>46127</v>
      </c>
      <c r="B155" s="44" t="s">
        <v>352</v>
      </c>
      <c r="C155" s="83">
        <v>1299</v>
      </c>
      <c r="D155" s="44" t="s">
        <v>162</v>
      </c>
      <c r="E155" s="44" t="s">
        <v>49</v>
      </c>
      <c r="F155" s="44"/>
      <c r="G155" s="44"/>
      <c r="H155" s="44" t="s">
        <v>353</v>
      </c>
      <c r="I155" s="44" t="s">
        <v>148</v>
      </c>
    </row>
    <row r="156" spans="1:9" ht="15.75" hidden="1" customHeight="1">
      <c r="A156" s="84">
        <v>46129</v>
      </c>
      <c r="B156" s="45" t="s">
        <v>354</v>
      </c>
      <c r="C156" s="85">
        <v>980</v>
      </c>
      <c r="D156" s="45" t="s">
        <v>162</v>
      </c>
      <c r="E156" s="45" t="s">
        <v>49</v>
      </c>
      <c r="F156" s="46"/>
      <c r="G156" s="46"/>
      <c r="H156" s="46" t="s">
        <v>341</v>
      </c>
      <c r="I156" s="45" t="s">
        <v>148</v>
      </c>
    </row>
    <row r="157" spans="1:9" ht="13.5" hidden="1" customHeight="1">
      <c r="A157" s="82">
        <v>46129</v>
      </c>
      <c r="B157" s="44" t="s">
        <v>355</v>
      </c>
      <c r="C157" s="83">
        <v>980</v>
      </c>
      <c r="D157" s="44" t="s">
        <v>162</v>
      </c>
      <c r="E157" s="44" t="s">
        <v>49</v>
      </c>
      <c r="F157" s="44"/>
      <c r="G157" s="44"/>
      <c r="H157" s="44" t="s">
        <v>341</v>
      </c>
      <c r="I157" s="44" t="s">
        <v>148</v>
      </c>
    </row>
    <row r="158" spans="1:9" ht="15.75" hidden="1" customHeight="1">
      <c r="A158" s="84">
        <v>46129</v>
      </c>
      <c r="B158" s="45" t="s">
        <v>187</v>
      </c>
      <c r="C158" s="85">
        <v>980</v>
      </c>
      <c r="D158" s="45" t="s">
        <v>301</v>
      </c>
      <c r="E158" s="45" t="s">
        <v>49</v>
      </c>
      <c r="F158" s="46"/>
      <c r="G158" s="46"/>
      <c r="H158" s="46" t="s">
        <v>341</v>
      </c>
      <c r="I158" s="45" t="s">
        <v>148</v>
      </c>
    </row>
    <row r="159" spans="1:9" ht="13.5" hidden="1" customHeight="1">
      <c r="A159" s="82">
        <v>46130</v>
      </c>
      <c r="B159" s="44" t="s">
        <v>357</v>
      </c>
      <c r="C159" s="83">
        <v>1280</v>
      </c>
      <c r="D159" s="44" t="s">
        <v>162</v>
      </c>
      <c r="E159" s="44" t="s">
        <v>49</v>
      </c>
      <c r="F159" s="44"/>
      <c r="G159" s="44"/>
      <c r="H159" s="44" t="s">
        <v>358</v>
      </c>
      <c r="I159" s="44" t="s">
        <v>148</v>
      </c>
    </row>
    <row r="160" spans="1:9" ht="15.75" hidden="1" customHeight="1">
      <c r="A160" s="84">
        <v>46131</v>
      </c>
      <c r="B160" s="45" t="s">
        <v>359</v>
      </c>
      <c r="C160" s="85">
        <v>1000</v>
      </c>
      <c r="D160" s="45" t="s">
        <v>162</v>
      </c>
      <c r="E160" s="45" t="s">
        <v>49</v>
      </c>
      <c r="F160" s="46"/>
      <c r="G160" s="46"/>
      <c r="H160" s="46" t="s">
        <v>360</v>
      </c>
      <c r="I160" s="45" t="s">
        <v>148</v>
      </c>
    </row>
    <row r="161" spans="1:9" ht="13.5" hidden="1" customHeight="1">
      <c r="A161" s="82">
        <v>46132</v>
      </c>
      <c r="B161" s="44" t="s">
        <v>361</v>
      </c>
      <c r="C161" s="83">
        <v>1100</v>
      </c>
      <c r="D161" s="44" t="s">
        <v>162</v>
      </c>
      <c r="E161" s="44" t="s">
        <v>49</v>
      </c>
      <c r="F161" s="44"/>
      <c r="G161" s="44"/>
      <c r="H161" s="44" t="s">
        <v>362</v>
      </c>
      <c r="I161" s="44" t="s">
        <v>148</v>
      </c>
    </row>
    <row r="162" spans="1:9" ht="42" hidden="1" customHeight="1">
      <c r="A162" s="84">
        <v>46132</v>
      </c>
      <c r="B162" s="45" t="s">
        <v>161</v>
      </c>
      <c r="C162" s="85">
        <v>5880</v>
      </c>
      <c r="D162" s="45" t="s">
        <v>162</v>
      </c>
      <c r="E162" s="45" t="s">
        <v>49</v>
      </c>
      <c r="F162" s="46"/>
      <c r="G162" s="46"/>
      <c r="H162" s="46" t="s">
        <v>363</v>
      </c>
      <c r="I162" s="45" t="s">
        <v>148</v>
      </c>
    </row>
    <row r="163" spans="1:9" ht="13.5" hidden="1" customHeight="1">
      <c r="A163" s="82">
        <v>46133</v>
      </c>
      <c r="B163" s="44" t="s">
        <v>364</v>
      </c>
      <c r="C163" s="83">
        <v>1350</v>
      </c>
      <c r="D163" s="44" t="s">
        <v>162</v>
      </c>
      <c r="E163" s="44" t="s">
        <v>49</v>
      </c>
      <c r="F163" s="44"/>
      <c r="G163" s="44"/>
      <c r="H163" s="44" t="s">
        <v>365</v>
      </c>
      <c r="I163" s="44" t="s">
        <v>148</v>
      </c>
    </row>
    <row r="164" spans="1:9" ht="13.5" hidden="1" customHeight="1">
      <c r="A164" s="84">
        <v>46133</v>
      </c>
      <c r="B164" s="45" t="s">
        <v>215</v>
      </c>
      <c r="C164" s="85">
        <v>1000</v>
      </c>
      <c r="D164" s="45" t="s">
        <v>162</v>
      </c>
      <c r="E164" s="45" t="s">
        <v>49</v>
      </c>
      <c r="F164" s="46"/>
      <c r="G164" s="46"/>
      <c r="H164" s="46" t="s">
        <v>366</v>
      </c>
      <c r="I164" s="45" t="s">
        <v>148</v>
      </c>
    </row>
    <row r="165" spans="1:9" ht="13.5" hidden="1" customHeight="1">
      <c r="A165" s="82">
        <v>46133</v>
      </c>
      <c r="B165" s="44" t="s">
        <v>164</v>
      </c>
      <c r="C165" s="83">
        <v>1200</v>
      </c>
      <c r="D165" s="44" t="s">
        <v>162</v>
      </c>
      <c r="E165" s="44" t="s">
        <v>49</v>
      </c>
      <c r="F165" s="44"/>
      <c r="G165" s="44"/>
      <c r="H165" s="44" t="s">
        <v>367</v>
      </c>
      <c r="I165" s="44" t="s">
        <v>148</v>
      </c>
    </row>
    <row r="166" spans="1:9" ht="13.5" hidden="1" customHeight="1">
      <c r="A166" s="84">
        <v>46134</v>
      </c>
      <c r="B166" s="45" t="s">
        <v>368</v>
      </c>
      <c r="C166" s="85">
        <v>1280</v>
      </c>
      <c r="D166" s="45" t="s">
        <v>162</v>
      </c>
      <c r="E166" s="45" t="s">
        <v>49</v>
      </c>
      <c r="F166" s="46"/>
      <c r="G166" s="46"/>
      <c r="H166" s="46" t="s">
        <v>369</v>
      </c>
      <c r="I166" s="45" t="s">
        <v>148</v>
      </c>
    </row>
    <row r="167" spans="1:9" ht="13.5" hidden="1" customHeight="1">
      <c r="A167" s="82">
        <v>46134</v>
      </c>
      <c r="B167" s="44" t="s">
        <v>191</v>
      </c>
      <c r="C167" s="83">
        <v>1100</v>
      </c>
      <c r="D167" s="44" t="s">
        <v>162</v>
      </c>
      <c r="E167" s="44" t="s">
        <v>49</v>
      </c>
      <c r="F167" s="44"/>
      <c r="G167" s="44"/>
      <c r="H167" s="44" t="s">
        <v>370</v>
      </c>
      <c r="I167" s="44" t="s">
        <v>148</v>
      </c>
    </row>
    <row r="168" spans="1:9" ht="13.5" hidden="1" customHeight="1">
      <c r="A168" s="82">
        <v>46134</v>
      </c>
      <c r="B168" s="44" t="s">
        <v>355</v>
      </c>
      <c r="C168" s="83">
        <v>950</v>
      </c>
      <c r="D168" s="44" t="s">
        <v>162</v>
      </c>
      <c r="E168" s="44" t="s">
        <v>49</v>
      </c>
      <c r="F168" s="44"/>
      <c r="G168" s="44"/>
      <c r="H168" s="44" t="s">
        <v>371</v>
      </c>
      <c r="I168" s="44" t="s">
        <v>148</v>
      </c>
    </row>
    <row r="169" spans="1:9" ht="13.5" hidden="1" customHeight="1">
      <c r="A169" s="84">
        <v>46134</v>
      </c>
      <c r="B169" s="45" t="s">
        <v>177</v>
      </c>
      <c r="C169" s="85">
        <v>650</v>
      </c>
      <c r="D169" s="45" t="s">
        <v>162</v>
      </c>
      <c r="E169" s="45" t="s">
        <v>49</v>
      </c>
      <c r="F169" s="46"/>
      <c r="G169" s="46"/>
      <c r="H169" s="46" t="s">
        <v>372</v>
      </c>
      <c r="I169" s="45" t="s">
        <v>148</v>
      </c>
    </row>
    <row r="170" spans="1:9" ht="13.5" hidden="1" customHeight="1">
      <c r="A170" s="82">
        <v>46134</v>
      </c>
      <c r="B170" s="44" t="s">
        <v>373</v>
      </c>
      <c r="C170" s="83">
        <v>650</v>
      </c>
      <c r="D170" s="44" t="s">
        <v>162</v>
      </c>
      <c r="E170" s="44" t="s">
        <v>49</v>
      </c>
      <c r="F170" s="44"/>
      <c r="G170" s="44"/>
      <c r="H170" s="44" t="s">
        <v>374</v>
      </c>
      <c r="I170" s="44" t="s">
        <v>148</v>
      </c>
    </row>
    <row r="171" spans="1:9" ht="13.5" hidden="1" customHeight="1">
      <c r="A171" s="84">
        <v>46136</v>
      </c>
      <c r="B171" s="45" t="s">
        <v>214</v>
      </c>
      <c r="C171" s="85">
        <v>680</v>
      </c>
      <c r="D171" s="45" t="s">
        <v>162</v>
      </c>
      <c r="E171" s="45" t="s">
        <v>49</v>
      </c>
      <c r="F171" s="46"/>
      <c r="G171" s="46"/>
      <c r="H171" s="46" t="s">
        <v>372</v>
      </c>
      <c r="I171" s="45" t="s">
        <v>148</v>
      </c>
    </row>
    <row r="172" spans="1:9" ht="13.5" hidden="1" customHeight="1">
      <c r="A172" s="82">
        <v>46138</v>
      </c>
      <c r="B172" s="44" t="s">
        <v>375</v>
      </c>
      <c r="C172" s="83">
        <v>690</v>
      </c>
      <c r="D172" s="44" t="s">
        <v>162</v>
      </c>
      <c r="E172" s="44" t="s">
        <v>49</v>
      </c>
      <c r="F172" s="44"/>
      <c r="G172" s="44"/>
      <c r="H172" s="44" t="s">
        <v>376</v>
      </c>
      <c r="I172" s="44" t="s">
        <v>148</v>
      </c>
    </row>
    <row r="173" spans="1:9" ht="13.5" hidden="1" customHeight="1">
      <c r="A173" s="84">
        <v>46138</v>
      </c>
      <c r="B173" s="45" t="s">
        <v>377</v>
      </c>
      <c r="C173" s="85">
        <v>1099</v>
      </c>
      <c r="D173" s="45" t="s">
        <v>162</v>
      </c>
      <c r="E173" s="45" t="s">
        <v>49</v>
      </c>
      <c r="F173" s="46"/>
      <c r="G173" s="46"/>
      <c r="H173" s="46" t="s">
        <v>378</v>
      </c>
      <c r="I173" s="45" t="s">
        <v>148</v>
      </c>
    </row>
    <row r="174" spans="1:9" ht="13.5" hidden="1" customHeight="1">
      <c r="A174" s="82">
        <v>46139</v>
      </c>
      <c r="B174" s="44" t="s">
        <v>379</v>
      </c>
      <c r="C174" s="83">
        <v>690</v>
      </c>
      <c r="D174" s="44" t="s">
        <v>162</v>
      </c>
      <c r="E174" s="44" t="s">
        <v>49</v>
      </c>
      <c r="F174" s="44"/>
      <c r="G174" s="44"/>
      <c r="H174" s="44" t="s">
        <v>380</v>
      </c>
      <c r="I174" s="44" t="s">
        <v>148</v>
      </c>
    </row>
    <row r="175" spans="1:9" ht="13.5" hidden="1" customHeight="1">
      <c r="A175" s="84">
        <v>46139</v>
      </c>
      <c r="B175" s="45" t="s">
        <v>381</v>
      </c>
      <c r="C175" s="85">
        <v>690</v>
      </c>
      <c r="D175" s="45" t="s">
        <v>162</v>
      </c>
      <c r="E175" s="45" t="s">
        <v>49</v>
      </c>
      <c r="F175" s="46"/>
      <c r="G175" s="46"/>
      <c r="H175" s="46" t="s">
        <v>376</v>
      </c>
      <c r="I175" s="45" t="s">
        <v>148</v>
      </c>
    </row>
    <row r="176" spans="1:9" ht="13.5" hidden="1" customHeight="1">
      <c r="A176" s="82">
        <v>46139</v>
      </c>
      <c r="B176" s="44" t="s">
        <v>382</v>
      </c>
      <c r="C176" s="83">
        <v>690</v>
      </c>
      <c r="D176" s="44" t="s">
        <v>162</v>
      </c>
      <c r="E176" s="44" t="s">
        <v>49</v>
      </c>
      <c r="F176" s="44"/>
      <c r="G176" s="44"/>
      <c r="H176" s="44" t="s">
        <v>383</v>
      </c>
      <c r="I176" s="44" t="s">
        <v>148</v>
      </c>
    </row>
    <row r="177" spans="1:9" ht="13.5" hidden="1" customHeight="1">
      <c r="A177" s="84">
        <v>46140</v>
      </c>
      <c r="B177" s="45" t="s">
        <v>384</v>
      </c>
      <c r="C177" s="85">
        <v>1380</v>
      </c>
      <c r="D177" s="45" t="s">
        <v>162</v>
      </c>
      <c r="E177" s="45" t="s">
        <v>49</v>
      </c>
      <c r="F177" s="46"/>
      <c r="G177" s="46"/>
      <c r="H177" s="46" t="s">
        <v>385</v>
      </c>
      <c r="I177" s="45" t="s">
        <v>148</v>
      </c>
    </row>
    <row r="178" spans="1:9" ht="13.5" hidden="1" customHeight="1">
      <c r="A178" s="82">
        <v>46140</v>
      </c>
      <c r="B178" s="44" t="s">
        <v>186</v>
      </c>
      <c r="C178" s="83">
        <v>1480</v>
      </c>
      <c r="D178" s="44" t="s">
        <v>162</v>
      </c>
      <c r="E178" s="44" t="s">
        <v>49</v>
      </c>
      <c r="F178" s="44"/>
      <c r="G178" s="44"/>
      <c r="H178" s="44" t="s">
        <v>386</v>
      </c>
      <c r="I178" s="44" t="s">
        <v>148</v>
      </c>
    </row>
    <row r="179" spans="1:9" ht="13.5" hidden="1" customHeight="1">
      <c r="A179" s="84">
        <v>46140</v>
      </c>
      <c r="B179" s="45" t="s">
        <v>387</v>
      </c>
      <c r="C179" s="85">
        <v>1200</v>
      </c>
      <c r="D179" s="45" t="s">
        <v>162</v>
      </c>
      <c r="E179" s="45" t="s">
        <v>49</v>
      </c>
      <c r="F179" s="46"/>
      <c r="G179" s="46"/>
      <c r="H179" s="46" t="s">
        <v>388</v>
      </c>
      <c r="I179" s="45" t="s">
        <v>148</v>
      </c>
    </row>
    <row r="180" spans="1:9" ht="13.5" hidden="1" customHeight="1">
      <c r="A180" s="82">
        <v>46140</v>
      </c>
      <c r="B180" s="44" t="s">
        <v>389</v>
      </c>
      <c r="C180" s="83">
        <v>1200</v>
      </c>
      <c r="D180" s="44" t="s">
        <v>162</v>
      </c>
      <c r="E180" s="44" t="s">
        <v>49</v>
      </c>
      <c r="F180" s="44"/>
      <c r="G180" s="44"/>
      <c r="H180" s="44" t="s">
        <v>390</v>
      </c>
      <c r="I180" s="44" t="s">
        <v>148</v>
      </c>
    </row>
    <row r="181" spans="1:9" ht="13.5" hidden="1" customHeight="1">
      <c r="A181" s="84">
        <v>46141</v>
      </c>
      <c r="B181" s="45" t="s">
        <v>391</v>
      </c>
      <c r="C181" s="85">
        <v>1380</v>
      </c>
      <c r="D181" s="45" t="s">
        <v>162</v>
      </c>
      <c r="E181" s="45" t="s">
        <v>49</v>
      </c>
      <c r="F181" s="46"/>
      <c r="G181" s="46"/>
      <c r="H181" s="46" t="s">
        <v>392</v>
      </c>
      <c r="I181" s="45" t="s">
        <v>148</v>
      </c>
    </row>
    <row r="182" spans="1:9" ht="13.5" hidden="1" customHeight="1">
      <c r="A182" s="82">
        <v>46141</v>
      </c>
      <c r="B182" s="44" t="s">
        <v>393</v>
      </c>
      <c r="C182" s="83">
        <v>690</v>
      </c>
      <c r="D182" s="44" t="s">
        <v>162</v>
      </c>
      <c r="E182" s="44" t="s">
        <v>49</v>
      </c>
      <c r="F182" s="44"/>
      <c r="G182" s="44"/>
      <c r="H182" s="44" t="s">
        <v>383</v>
      </c>
      <c r="I182" s="44" t="s">
        <v>148</v>
      </c>
    </row>
    <row r="183" spans="1:9" ht="13.5" hidden="1" customHeight="1">
      <c r="A183" s="84">
        <v>46142</v>
      </c>
      <c r="B183" s="45" t="s">
        <v>394</v>
      </c>
      <c r="C183" s="85">
        <v>690</v>
      </c>
      <c r="D183" s="45" t="s">
        <v>162</v>
      </c>
      <c r="E183" s="45" t="s">
        <v>49</v>
      </c>
      <c r="F183" s="46"/>
      <c r="G183" s="46"/>
      <c r="H183" s="46" t="s">
        <v>395</v>
      </c>
      <c r="I183" s="45" t="s">
        <v>148</v>
      </c>
    </row>
    <row r="184" spans="1:9" ht="13.5" hidden="1" customHeight="1">
      <c r="A184" s="82">
        <v>46142</v>
      </c>
      <c r="B184" s="44" t="s">
        <v>396</v>
      </c>
      <c r="C184" s="83">
        <v>690</v>
      </c>
      <c r="D184" s="44" t="s">
        <v>162</v>
      </c>
      <c r="E184" s="44" t="s">
        <v>49</v>
      </c>
      <c r="F184" s="44"/>
      <c r="G184" s="44"/>
      <c r="H184" s="44" t="s">
        <v>383</v>
      </c>
      <c r="I184" s="44" t="s">
        <v>148</v>
      </c>
    </row>
    <row r="185" spans="1:9" ht="13.5" hidden="1" customHeight="1">
      <c r="A185" s="84">
        <v>46142</v>
      </c>
      <c r="B185" s="45" t="s">
        <v>397</v>
      </c>
      <c r="C185" s="85">
        <v>609</v>
      </c>
      <c r="D185" s="45" t="s">
        <v>162</v>
      </c>
      <c r="E185" s="45" t="s">
        <v>49</v>
      </c>
      <c r="F185" s="46"/>
      <c r="G185" s="46"/>
      <c r="H185" s="46" t="s">
        <v>398</v>
      </c>
      <c r="I185" s="45" t="s">
        <v>148</v>
      </c>
    </row>
    <row r="186" spans="1:9" ht="13.5" hidden="1" customHeight="1">
      <c r="A186" s="84">
        <v>46144</v>
      </c>
      <c r="B186" s="45" t="s">
        <v>399</v>
      </c>
      <c r="C186" s="85">
        <v>699</v>
      </c>
      <c r="D186" s="45" t="s">
        <v>162</v>
      </c>
      <c r="E186" s="45" t="s">
        <v>49</v>
      </c>
      <c r="F186" s="46"/>
      <c r="G186" s="46"/>
      <c r="H186" s="46" t="s">
        <v>400</v>
      </c>
      <c r="I186" s="45" t="s">
        <v>148</v>
      </c>
    </row>
    <row r="187" spans="1:9" ht="13.5" hidden="1" customHeight="1">
      <c r="A187" s="82">
        <v>46144</v>
      </c>
      <c r="B187" s="44" t="s">
        <v>401</v>
      </c>
      <c r="C187" s="83">
        <v>690</v>
      </c>
      <c r="D187" s="44" t="s">
        <v>162</v>
      </c>
      <c r="E187" s="44" t="s">
        <v>49</v>
      </c>
      <c r="F187" s="44"/>
      <c r="G187" s="44"/>
      <c r="H187" s="44" t="s">
        <v>402</v>
      </c>
      <c r="I187" s="44" t="s">
        <v>148</v>
      </c>
    </row>
    <row r="188" spans="1:9" ht="13.5" hidden="1" customHeight="1">
      <c r="A188" s="84">
        <v>46145</v>
      </c>
      <c r="B188" s="45" t="s">
        <v>403</v>
      </c>
      <c r="C188" s="85">
        <v>1200</v>
      </c>
      <c r="D188" s="45" t="s">
        <v>162</v>
      </c>
      <c r="E188" s="45" t="s">
        <v>49</v>
      </c>
      <c r="F188" s="46"/>
      <c r="G188" s="46"/>
      <c r="H188" s="46" t="s">
        <v>404</v>
      </c>
      <c r="I188" s="45" t="s">
        <v>148</v>
      </c>
    </row>
    <row r="189" spans="1:9" ht="13.5" hidden="1" customHeight="1">
      <c r="A189" s="82">
        <v>46145</v>
      </c>
      <c r="B189" s="44" t="s">
        <v>405</v>
      </c>
      <c r="C189" s="83">
        <v>1200</v>
      </c>
      <c r="D189" s="44" t="s">
        <v>162</v>
      </c>
      <c r="E189" s="44" t="s">
        <v>49</v>
      </c>
      <c r="F189" s="44"/>
      <c r="G189" s="44"/>
      <c r="H189" s="44" t="s">
        <v>406</v>
      </c>
      <c r="I189" s="44" t="s">
        <v>148</v>
      </c>
    </row>
    <row r="190" spans="1:9" ht="13.5" hidden="1" customHeight="1">
      <c r="A190" s="84">
        <v>46145</v>
      </c>
      <c r="B190" s="45" t="s">
        <v>161</v>
      </c>
      <c r="C190" s="85">
        <v>600</v>
      </c>
      <c r="D190" s="45" t="s">
        <v>162</v>
      </c>
      <c r="E190" s="45" t="s">
        <v>49</v>
      </c>
      <c r="F190" s="46"/>
      <c r="G190" s="46"/>
      <c r="H190" s="46" t="s">
        <v>407</v>
      </c>
      <c r="I190" s="45" t="s">
        <v>148</v>
      </c>
    </row>
    <row r="191" spans="1:9" ht="42" hidden="1" customHeight="1">
      <c r="A191" s="82">
        <v>46151</v>
      </c>
      <c r="B191" s="44" t="s">
        <v>408</v>
      </c>
      <c r="C191" s="83">
        <v>5600</v>
      </c>
      <c r="D191" s="44" t="s">
        <v>150</v>
      </c>
      <c r="E191" s="44" t="s">
        <v>50</v>
      </c>
      <c r="F191" s="44"/>
      <c r="G191" s="44"/>
      <c r="H191" s="44" t="s">
        <v>409</v>
      </c>
      <c r="I191" s="44" t="s">
        <v>148</v>
      </c>
    </row>
    <row r="192" spans="1:9" ht="27.75" hidden="1" customHeight="1">
      <c r="A192" s="84">
        <v>46152</v>
      </c>
      <c r="B192" s="45" t="s">
        <v>410</v>
      </c>
      <c r="C192" s="85">
        <v>5600</v>
      </c>
      <c r="D192" s="45" t="s">
        <v>150</v>
      </c>
      <c r="E192" s="45" t="s">
        <v>50</v>
      </c>
      <c r="F192" s="46"/>
      <c r="G192" s="46"/>
      <c r="H192" s="46" t="s">
        <v>411</v>
      </c>
      <c r="I192" s="45" t="s">
        <v>148</v>
      </c>
    </row>
    <row r="193" spans="1:9" ht="42" hidden="1" customHeight="1">
      <c r="A193" s="82">
        <v>46152</v>
      </c>
      <c r="B193" s="44" t="s">
        <v>412</v>
      </c>
      <c r="C193" s="83">
        <v>5600</v>
      </c>
      <c r="D193" s="44" t="s">
        <v>150</v>
      </c>
      <c r="E193" s="44" t="s">
        <v>50</v>
      </c>
      <c r="F193" s="44"/>
      <c r="G193" s="44"/>
      <c r="H193" s="44" t="s">
        <v>413</v>
      </c>
      <c r="I193" s="44" t="s">
        <v>148</v>
      </c>
    </row>
    <row r="194" spans="1:9" ht="27.75" hidden="1" customHeight="1">
      <c r="A194" s="84">
        <v>46151</v>
      </c>
      <c r="B194" s="45" t="s">
        <v>414</v>
      </c>
      <c r="C194" s="85">
        <v>3100</v>
      </c>
      <c r="D194" s="45" t="s">
        <v>162</v>
      </c>
      <c r="E194" s="45" t="s">
        <v>49</v>
      </c>
      <c r="F194" s="46"/>
      <c r="G194" s="46"/>
      <c r="H194" s="46" t="s">
        <v>415</v>
      </c>
      <c r="I194" s="45" t="s">
        <v>148</v>
      </c>
    </row>
    <row r="195" spans="1:9" ht="42" hidden="1" customHeight="1">
      <c r="A195" s="82">
        <v>46155</v>
      </c>
      <c r="B195" s="44" t="s">
        <v>416</v>
      </c>
      <c r="C195" s="83">
        <v>5400</v>
      </c>
      <c r="D195" s="44" t="s">
        <v>150</v>
      </c>
      <c r="E195" s="44" t="s">
        <v>50</v>
      </c>
      <c r="F195" s="44"/>
      <c r="G195" s="44"/>
      <c r="H195" s="44" t="s">
        <v>417</v>
      </c>
      <c r="I195" s="44" t="s">
        <v>148</v>
      </c>
    </row>
    <row r="196" spans="1:9" ht="42" hidden="1" customHeight="1">
      <c r="A196" s="84">
        <v>46155</v>
      </c>
      <c r="B196" s="45" t="s">
        <v>418</v>
      </c>
      <c r="C196" s="85">
        <v>5750</v>
      </c>
      <c r="D196" s="45" t="s">
        <v>150</v>
      </c>
      <c r="E196" s="45" t="s">
        <v>50</v>
      </c>
      <c r="F196" s="46"/>
      <c r="G196" s="46"/>
      <c r="H196" s="46" t="s">
        <v>419</v>
      </c>
      <c r="I196" s="45" t="s">
        <v>148</v>
      </c>
    </row>
    <row r="197" spans="1:9" ht="42" hidden="1" customHeight="1">
      <c r="A197" s="82">
        <v>46155</v>
      </c>
      <c r="B197" s="44" t="s">
        <v>183</v>
      </c>
      <c r="C197" s="83">
        <v>4000</v>
      </c>
      <c r="D197" s="44" t="s">
        <v>150</v>
      </c>
      <c r="E197" s="44" t="s">
        <v>50</v>
      </c>
      <c r="F197" s="44"/>
      <c r="G197" s="44"/>
      <c r="H197" s="44" t="s">
        <v>420</v>
      </c>
      <c r="I197" s="44" t="s">
        <v>148</v>
      </c>
    </row>
    <row r="198" spans="1:9" ht="42" hidden="1" customHeight="1">
      <c r="A198" s="84">
        <v>46168</v>
      </c>
      <c r="B198" s="45" t="s">
        <v>421</v>
      </c>
      <c r="C198" s="85">
        <v>5200</v>
      </c>
      <c r="D198" s="45" t="s">
        <v>150</v>
      </c>
      <c r="E198" s="45" t="s">
        <v>50</v>
      </c>
      <c r="F198" s="46"/>
      <c r="G198" s="46"/>
      <c r="H198" s="46" t="s">
        <v>422</v>
      </c>
      <c r="I198" s="45" t="s">
        <v>148</v>
      </c>
    </row>
    <row r="199" spans="1:9" ht="13.5" hidden="1" customHeight="1">
      <c r="A199" s="82">
        <v>46172</v>
      </c>
      <c r="B199" s="44" t="s">
        <v>423</v>
      </c>
      <c r="C199" s="83">
        <v>1425</v>
      </c>
      <c r="D199" s="44" t="s">
        <v>150</v>
      </c>
      <c r="E199" s="44" t="s">
        <v>50</v>
      </c>
      <c r="F199" s="44"/>
      <c r="G199" s="44"/>
      <c r="H199" s="44" t="s">
        <v>424</v>
      </c>
      <c r="I199" s="44" t="s">
        <v>148</v>
      </c>
    </row>
    <row r="200" spans="1:9" ht="27.75" hidden="1" customHeight="1">
      <c r="A200" s="84">
        <v>46173</v>
      </c>
      <c r="B200" s="45" t="s">
        <v>425</v>
      </c>
      <c r="C200" s="85">
        <v>2850</v>
      </c>
      <c r="D200" s="45" t="s">
        <v>150</v>
      </c>
      <c r="E200" s="45" t="s">
        <v>50</v>
      </c>
      <c r="F200" s="46"/>
      <c r="G200" s="46"/>
      <c r="H200" s="46" t="s">
        <v>426</v>
      </c>
      <c r="I200" s="45" t="s">
        <v>148</v>
      </c>
    </row>
    <row r="201" spans="1:9" ht="27.75" hidden="1" customHeight="1">
      <c r="A201" s="82">
        <v>46173</v>
      </c>
      <c r="B201" s="44" t="s">
        <v>427</v>
      </c>
      <c r="C201" s="83">
        <v>3850</v>
      </c>
      <c r="D201" s="44" t="s">
        <v>150</v>
      </c>
      <c r="E201" s="44" t="s">
        <v>50</v>
      </c>
      <c r="F201" s="44"/>
      <c r="G201" s="44"/>
      <c r="H201" s="44" t="s">
        <v>428</v>
      </c>
      <c r="I201" s="44" t="s">
        <v>148</v>
      </c>
    </row>
    <row r="202" spans="1:9" ht="13.5" hidden="1"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hidden="1" customHeight="1">
      <c r="A204" s="84">
        <v>46175</v>
      </c>
      <c r="B204" s="45" t="s">
        <v>433</v>
      </c>
      <c r="C204" s="85">
        <v>699</v>
      </c>
      <c r="D204" s="45" t="s">
        <v>162</v>
      </c>
      <c r="E204" s="45" t="s">
        <v>49</v>
      </c>
      <c r="F204" s="46"/>
      <c r="G204" s="46"/>
      <c r="H204" s="46" t="s">
        <v>432</v>
      </c>
      <c r="I204" s="45" t="s">
        <v>148</v>
      </c>
    </row>
    <row r="205" spans="1:9" ht="13.5" hidden="1" customHeight="1">
      <c r="A205" s="82">
        <v>46175</v>
      </c>
      <c r="B205" s="44" t="s">
        <v>434</v>
      </c>
      <c r="C205" s="83">
        <v>700</v>
      </c>
      <c r="D205" s="44" t="s">
        <v>162</v>
      </c>
      <c r="E205" s="44" t="s">
        <v>49</v>
      </c>
      <c r="F205" s="44"/>
      <c r="G205" s="44"/>
      <c r="H205" s="44" t="s">
        <v>435</v>
      </c>
      <c r="I205" s="44" t="s">
        <v>148</v>
      </c>
    </row>
    <row r="206" spans="1:9" ht="13.5" hidden="1" customHeight="1">
      <c r="A206" s="84">
        <v>46175</v>
      </c>
      <c r="B206" s="45" t="s">
        <v>436</v>
      </c>
      <c r="C206" s="85">
        <v>1350</v>
      </c>
      <c r="D206" s="45" t="s">
        <v>162</v>
      </c>
      <c r="E206" s="45" t="s">
        <v>49</v>
      </c>
      <c r="F206" s="46"/>
      <c r="G206" s="46"/>
      <c r="H206" s="44" t="s">
        <v>437</v>
      </c>
      <c r="I206" s="45" t="s">
        <v>148</v>
      </c>
    </row>
    <row r="207" spans="1:9" ht="13.5" hidden="1" customHeight="1">
      <c r="A207" s="82">
        <v>46175</v>
      </c>
      <c r="B207" s="44" t="s">
        <v>438</v>
      </c>
      <c r="C207" s="83">
        <v>699</v>
      </c>
      <c r="D207" s="44" t="s">
        <v>162</v>
      </c>
      <c r="E207" s="44" t="s">
        <v>49</v>
      </c>
      <c r="F207" s="44"/>
      <c r="G207" s="44"/>
      <c r="H207" s="44" t="s">
        <v>439</v>
      </c>
      <c r="I207" s="44" t="s">
        <v>148</v>
      </c>
    </row>
    <row r="208" spans="1:9" ht="13.5" hidden="1" customHeight="1">
      <c r="A208" s="84">
        <v>46175</v>
      </c>
      <c r="B208" s="45" t="s">
        <v>440</v>
      </c>
      <c r="C208" s="85">
        <v>699</v>
      </c>
      <c r="D208" s="45" t="s">
        <v>162</v>
      </c>
      <c r="E208" s="45" t="s">
        <v>49</v>
      </c>
      <c r="F208" s="46"/>
      <c r="G208" s="46"/>
      <c r="H208" s="46" t="s">
        <v>441</v>
      </c>
      <c r="I208" s="45" t="s">
        <v>148</v>
      </c>
    </row>
    <row r="209" spans="1:9" ht="13.5" hidden="1" customHeight="1">
      <c r="A209" s="82">
        <v>46176</v>
      </c>
      <c r="B209" s="44" t="s">
        <v>442</v>
      </c>
      <c r="C209" s="83">
        <v>699</v>
      </c>
      <c r="D209" s="44" t="s">
        <v>162</v>
      </c>
      <c r="E209" s="44" t="s">
        <v>49</v>
      </c>
      <c r="F209" s="44"/>
      <c r="G209" s="44"/>
      <c r="H209" s="44" t="s">
        <v>439</v>
      </c>
      <c r="I209" s="44" t="s">
        <v>148</v>
      </c>
    </row>
    <row r="210" spans="1:9" ht="27.75" hidden="1" customHeight="1">
      <c r="A210" s="84">
        <v>46176</v>
      </c>
      <c r="B210" s="45" t="s">
        <v>443</v>
      </c>
      <c r="C210" s="85">
        <v>2200</v>
      </c>
      <c r="D210" s="45" t="s">
        <v>162</v>
      </c>
      <c r="E210" s="45" t="s">
        <v>49</v>
      </c>
      <c r="F210" s="46"/>
      <c r="G210" s="46"/>
      <c r="H210" s="46" t="s">
        <v>444</v>
      </c>
      <c r="I210" s="45" t="s">
        <v>148</v>
      </c>
    </row>
    <row r="211" spans="1:9" ht="13.5" hidden="1" customHeight="1">
      <c r="A211" s="82">
        <v>46176</v>
      </c>
      <c r="B211" s="44" t="s">
        <v>445</v>
      </c>
      <c r="C211" s="83">
        <v>699</v>
      </c>
      <c r="D211" s="44" t="s">
        <v>162</v>
      </c>
      <c r="E211" s="44" t="s">
        <v>49</v>
      </c>
      <c r="F211" s="44"/>
      <c r="G211" s="44"/>
      <c r="H211" s="44" t="s">
        <v>446</v>
      </c>
      <c r="I211" s="44" t="s">
        <v>148</v>
      </c>
    </row>
    <row r="212" spans="1:9" ht="14" hidden="1">
      <c r="A212" s="84">
        <v>46176</v>
      </c>
      <c r="B212" s="45" t="s">
        <v>447</v>
      </c>
      <c r="C212" s="85">
        <v>699</v>
      </c>
      <c r="D212" s="45" t="s">
        <v>162</v>
      </c>
      <c r="E212" s="45" t="s">
        <v>49</v>
      </c>
      <c r="F212" s="46"/>
      <c r="G212" s="46"/>
      <c r="H212" s="46" t="s">
        <v>432</v>
      </c>
      <c r="I212" s="45" t="s">
        <v>148</v>
      </c>
    </row>
    <row r="213" spans="1:9" ht="13.5" hidden="1" customHeight="1">
      <c r="A213" s="82">
        <v>46176</v>
      </c>
      <c r="B213" s="44" t="s">
        <v>448</v>
      </c>
      <c r="C213" s="83">
        <v>700</v>
      </c>
      <c r="D213" s="44" t="s">
        <v>162</v>
      </c>
      <c r="E213" s="44" t="s">
        <v>49</v>
      </c>
      <c r="F213" s="44"/>
      <c r="G213" s="44"/>
      <c r="H213" s="44" t="s">
        <v>446</v>
      </c>
      <c r="I213" s="44" t="s">
        <v>148</v>
      </c>
    </row>
    <row r="214" spans="1:9" ht="14" hidden="1">
      <c r="A214" s="84">
        <v>46177</v>
      </c>
      <c r="B214" s="45" t="s">
        <v>449</v>
      </c>
      <c r="C214" s="85">
        <v>699</v>
      </c>
      <c r="D214" s="45" t="s">
        <v>162</v>
      </c>
      <c r="E214" s="45" t="s">
        <v>49</v>
      </c>
      <c r="F214" s="46"/>
      <c r="G214" s="46"/>
      <c r="H214" s="46" t="s">
        <v>432</v>
      </c>
      <c r="I214" s="45" t="s">
        <v>148</v>
      </c>
    </row>
    <row r="215" spans="1:9" ht="13.5" hidden="1" customHeight="1">
      <c r="A215" s="82">
        <v>46187</v>
      </c>
      <c r="B215" s="44" t="s">
        <v>450</v>
      </c>
      <c r="C215" s="83">
        <v>1380</v>
      </c>
      <c r="D215" s="44" t="s">
        <v>162</v>
      </c>
      <c r="E215" s="44" t="s">
        <v>49</v>
      </c>
      <c r="F215" s="44"/>
      <c r="G215" s="44"/>
      <c r="H215" s="44" t="s">
        <v>235</v>
      </c>
      <c r="I215" s="44" t="s">
        <v>148</v>
      </c>
    </row>
    <row r="216" spans="1:9" ht="55.5" hidden="1" customHeight="1">
      <c r="A216" s="84">
        <v>46188</v>
      </c>
      <c r="B216" s="45" t="s">
        <v>451</v>
      </c>
      <c r="C216" s="85">
        <v>5000</v>
      </c>
      <c r="D216" s="45" t="s">
        <v>162</v>
      </c>
      <c r="E216" s="45" t="s">
        <v>49</v>
      </c>
      <c r="F216" s="46"/>
      <c r="G216" s="46"/>
      <c r="H216" s="46" t="s">
        <v>1092</v>
      </c>
      <c r="I216" s="45" t="s">
        <v>148</v>
      </c>
    </row>
    <row r="217" spans="1:9" ht="13.5" hidden="1" customHeight="1">
      <c r="A217" s="84">
        <v>46191</v>
      </c>
      <c r="B217" s="45" t="s">
        <v>452</v>
      </c>
      <c r="C217" s="85">
        <v>1380</v>
      </c>
      <c r="D217" s="45" t="s">
        <v>162</v>
      </c>
      <c r="E217" s="45" t="s">
        <v>49</v>
      </c>
      <c r="F217" s="46"/>
      <c r="G217" s="46"/>
      <c r="H217" s="46" t="s">
        <v>453</v>
      </c>
      <c r="I217" s="45" t="s">
        <v>148</v>
      </c>
    </row>
    <row r="218" spans="1:9" ht="13.5" hidden="1" customHeight="1">
      <c r="A218" s="82">
        <v>46191</v>
      </c>
      <c r="B218" s="44" t="s">
        <v>454</v>
      </c>
      <c r="C218" s="83">
        <v>1380</v>
      </c>
      <c r="D218" s="44" t="s">
        <v>162</v>
      </c>
      <c r="E218" s="44" t="s">
        <v>49</v>
      </c>
      <c r="F218" s="44"/>
      <c r="G218" s="44"/>
      <c r="H218" s="44" t="s">
        <v>366</v>
      </c>
      <c r="I218" s="44" t="s">
        <v>148</v>
      </c>
    </row>
    <row r="219" spans="1:9" ht="13.5" hidden="1" customHeight="1">
      <c r="A219" s="84">
        <v>46191</v>
      </c>
      <c r="B219" s="45" t="s">
        <v>455</v>
      </c>
      <c r="C219" s="85">
        <v>1380</v>
      </c>
      <c r="D219" s="45" t="s">
        <v>162</v>
      </c>
      <c r="E219" s="45" t="s">
        <v>49</v>
      </c>
      <c r="F219" s="46"/>
      <c r="G219" s="46"/>
      <c r="H219" s="46" t="s">
        <v>366</v>
      </c>
      <c r="I219" s="45" t="s">
        <v>148</v>
      </c>
    </row>
    <row r="220" spans="1:9" ht="13.5" hidden="1" customHeight="1">
      <c r="A220" s="82">
        <v>46191</v>
      </c>
      <c r="B220" s="44" t="s">
        <v>373</v>
      </c>
      <c r="C220" s="83">
        <v>1380</v>
      </c>
      <c r="D220" s="44" t="s">
        <v>162</v>
      </c>
      <c r="E220" s="44" t="s">
        <v>49</v>
      </c>
      <c r="F220" s="44"/>
      <c r="G220" s="44"/>
      <c r="H220" s="44" t="s">
        <v>367</v>
      </c>
      <c r="I220" s="44" t="s">
        <v>148</v>
      </c>
    </row>
    <row r="221" spans="1:9" ht="13.5" hidden="1" customHeight="1">
      <c r="A221" s="84">
        <v>46191</v>
      </c>
      <c r="B221" s="45" t="s">
        <v>456</v>
      </c>
      <c r="C221" s="85">
        <v>1380</v>
      </c>
      <c r="D221" s="45" t="s">
        <v>162</v>
      </c>
      <c r="E221" s="45" t="s">
        <v>49</v>
      </c>
      <c r="F221" s="46"/>
      <c r="G221" s="46"/>
      <c r="H221" s="46" t="s">
        <v>366</v>
      </c>
      <c r="I221" s="45" t="s">
        <v>148</v>
      </c>
    </row>
    <row r="222" spans="1:9" ht="13.5" hidden="1" customHeight="1">
      <c r="A222" s="82">
        <v>46191</v>
      </c>
      <c r="B222" s="44" t="s">
        <v>457</v>
      </c>
      <c r="C222" s="83">
        <v>1380</v>
      </c>
      <c r="D222" s="44" t="s">
        <v>162</v>
      </c>
      <c r="E222" s="44" t="s">
        <v>49</v>
      </c>
      <c r="F222" s="44"/>
      <c r="G222" s="44"/>
      <c r="H222" s="44" t="s">
        <v>367</v>
      </c>
      <c r="I222" s="44" t="s">
        <v>148</v>
      </c>
    </row>
    <row r="223" spans="1:9" ht="13.5" hidden="1" customHeight="1">
      <c r="A223" s="84">
        <v>46191</v>
      </c>
      <c r="B223" s="45" t="s">
        <v>458</v>
      </c>
      <c r="C223" s="85">
        <v>1380</v>
      </c>
      <c r="D223" s="45" t="s">
        <v>162</v>
      </c>
      <c r="E223" s="45" t="s">
        <v>49</v>
      </c>
      <c r="F223" s="46"/>
      <c r="G223" s="46"/>
      <c r="H223" s="46" t="s">
        <v>366</v>
      </c>
      <c r="I223" s="45" t="s">
        <v>148</v>
      </c>
    </row>
    <row r="224" spans="1:9" ht="13.5" hidden="1" customHeight="1">
      <c r="A224" s="82">
        <v>46192</v>
      </c>
      <c r="B224" s="44" t="s">
        <v>459</v>
      </c>
      <c r="C224" s="83">
        <v>1380</v>
      </c>
      <c r="D224" s="44" t="s">
        <v>162</v>
      </c>
      <c r="E224" s="44" t="s">
        <v>49</v>
      </c>
      <c r="F224" s="44"/>
      <c r="G224" s="44"/>
      <c r="H224" s="44" t="s">
        <v>367</v>
      </c>
      <c r="I224" s="44" t="s">
        <v>148</v>
      </c>
    </row>
    <row r="225" spans="1:9" ht="13.5" hidden="1" customHeight="1">
      <c r="A225" s="84">
        <v>46192</v>
      </c>
      <c r="B225" s="45" t="s">
        <v>460</v>
      </c>
      <c r="C225" s="85">
        <v>1440</v>
      </c>
      <c r="D225" s="45" t="s">
        <v>162</v>
      </c>
      <c r="E225" s="45" t="s">
        <v>49</v>
      </c>
      <c r="F225" s="46"/>
      <c r="G225" s="46"/>
      <c r="H225" s="46" t="s">
        <v>367</v>
      </c>
      <c r="I225" s="45" t="s">
        <v>148</v>
      </c>
    </row>
    <row r="226" spans="1:9" ht="13.5" hidden="1" customHeight="1">
      <c r="A226" s="82">
        <v>46192</v>
      </c>
      <c r="B226" s="44" t="s">
        <v>461</v>
      </c>
      <c r="C226" s="83">
        <v>1380</v>
      </c>
      <c r="D226" s="44" t="s">
        <v>162</v>
      </c>
      <c r="E226" s="44" t="s">
        <v>49</v>
      </c>
      <c r="F226" s="44"/>
      <c r="G226" s="44"/>
      <c r="H226" s="44" t="s">
        <v>366</v>
      </c>
      <c r="I226" s="44" t="s">
        <v>148</v>
      </c>
    </row>
    <row r="227" spans="1:9" ht="13.5" hidden="1" customHeight="1">
      <c r="A227" s="84">
        <v>46192</v>
      </c>
      <c r="B227" s="45" t="s">
        <v>462</v>
      </c>
      <c r="C227" s="85">
        <v>1380</v>
      </c>
      <c r="D227" s="45" t="s">
        <v>162</v>
      </c>
      <c r="E227" s="45" t="s">
        <v>49</v>
      </c>
      <c r="F227" s="46"/>
      <c r="G227" s="46"/>
      <c r="H227" s="46" t="s">
        <v>366</v>
      </c>
      <c r="I227" s="45" t="s">
        <v>148</v>
      </c>
    </row>
    <row r="228" spans="1:9" ht="13.5" hidden="1" customHeight="1">
      <c r="A228" s="82">
        <v>46193</v>
      </c>
      <c r="B228" s="44" t="s">
        <v>463</v>
      </c>
      <c r="C228" s="83">
        <v>699</v>
      </c>
      <c r="D228" s="44" t="s">
        <v>162</v>
      </c>
      <c r="E228" s="44" t="s">
        <v>49</v>
      </c>
      <c r="F228" s="44"/>
      <c r="G228" s="44"/>
      <c r="H228" s="44" t="s">
        <v>464</v>
      </c>
      <c r="I228" s="44" t="s">
        <v>148</v>
      </c>
    </row>
    <row r="229" spans="1:9" ht="13.5" hidden="1" customHeight="1">
      <c r="A229" s="84">
        <v>46193</v>
      </c>
      <c r="B229" s="45" t="s">
        <v>465</v>
      </c>
      <c r="C229" s="85">
        <v>699</v>
      </c>
      <c r="D229" s="45" t="s">
        <v>162</v>
      </c>
      <c r="E229" s="45" t="s">
        <v>49</v>
      </c>
      <c r="F229" s="46"/>
      <c r="G229" s="46"/>
      <c r="H229" s="46" t="s">
        <v>466</v>
      </c>
      <c r="I229" s="45" t="s">
        <v>148</v>
      </c>
    </row>
    <row r="230" spans="1:9" ht="13.5" hidden="1" customHeight="1">
      <c r="A230" s="82">
        <v>46193</v>
      </c>
      <c r="B230" s="44" t="s">
        <v>467</v>
      </c>
      <c r="C230" s="83">
        <v>1380</v>
      </c>
      <c r="D230" s="44" t="s">
        <v>162</v>
      </c>
      <c r="E230" s="44" t="s">
        <v>49</v>
      </c>
      <c r="F230" s="44"/>
      <c r="G230" s="44"/>
      <c r="H230" s="44" t="s">
        <v>367</v>
      </c>
      <c r="I230" s="44" t="s">
        <v>148</v>
      </c>
    </row>
    <row r="231" spans="1:9" ht="13.5" hidden="1" customHeight="1">
      <c r="A231" s="84">
        <v>46193</v>
      </c>
      <c r="B231" s="45" t="s">
        <v>468</v>
      </c>
      <c r="C231" s="85">
        <v>699</v>
      </c>
      <c r="D231" s="45" t="s">
        <v>162</v>
      </c>
      <c r="E231" s="45" t="s">
        <v>49</v>
      </c>
      <c r="F231" s="46"/>
      <c r="G231" s="46"/>
      <c r="H231" s="46" t="s">
        <v>464</v>
      </c>
      <c r="I231" s="45" t="s">
        <v>148</v>
      </c>
    </row>
    <row r="232" spans="1:9" ht="13.5" hidden="1" customHeight="1">
      <c r="A232" s="82">
        <v>46193</v>
      </c>
      <c r="B232" s="44" t="s">
        <v>469</v>
      </c>
      <c r="C232" s="83">
        <v>1380</v>
      </c>
      <c r="D232" s="44" t="s">
        <v>162</v>
      </c>
      <c r="E232" s="44" t="s">
        <v>49</v>
      </c>
      <c r="F232" s="44"/>
      <c r="G232" s="44"/>
      <c r="H232" s="44" t="s">
        <v>366</v>
      </c>
      <c r="I232" s="44" t="s">
        <v>148</v>
      </c>
    </row>
    <row r="233" spans="1:9" ht="13.5" hidden="1" customHeight="1">
      <c r="A233" s="84">
        <v>46193</v>
      </c>
      <c r="B233" s="45" t="s">
        <v>167</v>
      </c>
      <c r="C233" s="85">
        <v>2400</v>
      </c>
      <c r="D233" s="45" t="s">
        <v>162</v>
      </c>
      <c r="E233" s="45" t="s">
        <v>49</v>
      </c>
      <c r="F233" s="46"/>
      <c r="G233" s="46"/>
      <c r="H233" s="46" t="s">
        <v>470</v>
      </c>
      <c r="I233" s="45" t="s">
        <v>148</v>
      </c>
    </row>
    <row r="234" spans="1:9" ht="27.75" hidden="1" customHeight="1">
      <c r="A234" s="82">
        <v>46193</v>
      </c>
      <c r="B234" s="44" t="s">
        <v>153</v>
      </c>
      <c r="C234" s="83">
        <v>4000</v>
      </c>
      <c r="D234" s="44" t="s">
        <v>162</v>
      </c>
      <c r="E234" s="44" t="s">
        <v>49</v>
      </c>
      <c r="F234" s="44"/>
      <c r="G234" s="44"/>
      <c r="H234" s="44" t="s">
        <v>471</v>
      </c>
      <c r="I234" s="44" t="s">
        <v>148</v>
      </c>
    </row>
    <row r="235" spans="1:9" ht="13.5" hidden="1" customHeight="1">
      <c r="A235" s="84">
        <v>46194</v>
      </c>
      <c r="B235" s="45" t="s">
        <v>472</v>
      </c>
      <c r="C235" s="85">
        <v>700</v>
      </c>
      <c r="D235" s="45" t="s">
        <v>162</v>
      </c>
      <c r="E235" s="45" t="s">
        <v>49</v>
      </c>
      <c r="F235" s="46"/>
      <c r="G235" s="46"/>
      <c r="H235" s="46" t="s">
        <v>473</v>
      </c>
      <c r="I235" s="45" t="s">
        <v>148</v>
      </c>
    </row>
    <row r="236" spans="1:9" ht="27.75" hidden="1" customHeight="1">
      <c r="A236" s="82">
        <v>46194</v>
      </c>
      <c r="B236" s="44" t="s">
        <v>472</v>
      </c>
      <c r="C236" s="83">
        <v>2480</v>
      </c>
      <c r="D236" s="44" t="s">
        <v>162</v>
      </c>
      <c r="E236" s="44" t="s">
        <v>49</v>
      </c>
      <c r="F236" s="44"/>
      <c r="G236" s="44"/>
      <c r="H236" s="44" t="s">
        <v>474</v>
      </c>
      <c r="I236" s="44" t="s">
        <v>148</v>
      </c>
    </row>
    <row r="237" spans="1:9" ht="13.5" hidden="1" customHeight="1">
      <c r="A237" s="84">
        <v>46196</v>
      </c>
      <c r="B237" s="45" t="s">
        <v>472</v>
      </c>
      <c r="C237" s="85">
        <v>700</v>
      </c>
      <c r="D237" s="45" t="s">
        <v>162</v>
      </c>
      <c r="E237" s="45" t="s">
        <v>49</v>
      </c>
      <c r="F237" s="46"/>
      <c r="G237" s="46"/>
      <c r="H237" s="46" t="s">
        <v>475</v>
      </c>
      <c r="I237" s="45" t="s">
        <v>148</v>
      </c>
    </row>
    <row r="238" spans="1:9" ht="13.5" hidden="1" customHeight="1">
      <c r="A238" s="82">
        <v>46196</v>
      </c>
      <c r="B238" s="44" t="s">
        <v>476</v>
      </c>
      <c r="C238" s="83">
        <v>1380</v>
      </c>
      <c r="D238" s="44" t="s">
        <v>162</v>
      </c>
      <c r="E238" s="44" t="s">
        <v>49</v>
      </c>
      <c r="F238" s="44"/>
      <c r="G238" s="44"/>
      <c r="H238" s="44" t="s">
        <v>477</v>
      </c>
      <c r="I238" s="44" t="s">
        <v>148</v>
      </c>
    </row>
    <row r="239" spans="1:9" ht="13.5" hidden="1" customHeight="1">
      <c r="A239" s="84">
        <v>46196</v>
      </c>
      <c r="B239" s="45" t="s">
        <v>478</v>
      </c>
      <c r="C239" s="85">
        <v>699</v>
      </c>
      <c r="D239" s="45" t="s">
        <v>162</v>
      </c>
      <c r="E239" s="45" t="s">
        <v>49</v>
      </c>
      <c r="F239" s="46"/>
      <c r="G239" s="46"/>
      <c r="H239" s="46" t="s">
        <v>479</v>
      </c>
      <c r="I239" s="45" t="s">
        <v>148</v>
      </c>
    </row>
    <row r="240" spans="1:9" ht="27.75" hidden="1" customHeight="1">
      <c r="A240" s="82">
        <v>46196</v>
      </c>
      <c r="B240" s="44" t="s">
        <v>304</v>
      </c>
      <c r="C240" s="83">
        <v>5000</v>
      </c>
      <c r="D240" s="44" t="s">
        <v>162</v>
      </c>
      <c r="E240" s="44" t="s">
        <v>49</v>
      </c>
      <c r="F240" s="44"/>
      <c r="G240" s="44"/>
      <c r="H240" s="44" t="s">
        <v>480</v>
      </c>
      <c r="I240" s="44" t="s">
        <v>148</v>
      </c>
    </row>
    <row r="241" spans="1:9" ht="13.5" hidden="1" customHeight="1">
      <c r="A241" s="84">
        <v>46197</v>
      </c>
      <c r="B241" s="45" t="s">
        <v>481</v>
      </c>
      <c r="C241" s="85">
        <v>1380</v>
      </c>
      <c r="D241" s="45" t="s">
        <v>162</v>
      </c>
      <c r="E241" s="45" t="s">
        <v>49</v>
      </c>
      <c r="F241" s="46"/>
      <c r="G241" s="46"/>
      <c r="H241" s="46" t="s">
        <v>366</v>
      </c>
      <c r="I241" s="45" t="s">
        <v>148</v>
      </c>
    </row>
    <row r="242" spans="1:9" ht="13.5" hidden="1" customHeight="1">
      <c r="A242" s="82">
        <v>46197</v>
      </c>
      <c r="B242" s="44" t="s">
        <v>482</v>
      </c>
      <c r="C242" s="83">
        <v>1380</v>
      </c>
      <c r="D242" s="44" t="s">
        <v>162</v>
      </c>
      <c r="E242" s="44" t="s">
        <v>49</v>
      </c>
      <c r="F242" s="44"/>
      <c r="G242" s="44"/>
      <c r="H242" s="44" t="s">
        <v>483</v>
      </c>
      <c r="I242" s="44" t="s">
        <v>148</v>
      </c>
    </row>
    <row r="243" spans="1:9" ht="13.5" hidden="1" customHeight="1">
      <c r="A243" s="84">
        <v>46197</v>
      </c>
      <c r="B243" s="45" t="s">
        <v>484</v>
      </c>
      <c r="C243" s="85">
        <v>1380</v>
      </c>
      <c r="D243" s="45" t="s">
        <v>162</v>
      </c>
      <c r="E243" s="45" t="s">
        <v>49</v>
      </c>
      <c r="F243" s="46"/>
      <c r="G243" s="46"/>
      <c r="H243" s="46" t="s">
        <v>366</v>
      </c>
      <c r="I243" s="45" t="s">
        <v>148</v>
      </c>
    </row>
    <row r="244" spans="1:9" ht="13.5" hidden="1" customHeight="1">
      <c r="A244" s="82">
        <v>46197</v>
      </c>
      <c r="B244" s="44" t="s">
        <v>165</v>
      </c>
      <c r="C244" s="83">
        <v>699</v>
      </c>
      <c r="D244" s="44" t="s">
        <v>162</v>
      </c>
      <c r="E244" s="44" t="s">
        <v>49</v>
      </c>
      <c r="F244" s="44"/>
      <c r="G244" s="44"/>
      <c r="H244" s="44" t="s">
        <v>485</v>
      </c>
      <c r="I244" s="44" t="s">
        <v>148</v>
      </c>
    </row>
    <row r="245" spans="1:9" ht="13.5" hidden="1" customHeight="1">
      <c r="A245" s="84">
        <v>46198</v>
      </c>
      <c r="B245" s="45" t="s">
        <v>486</v>
      </c>
      <c r="C245" s="85">
        <v>1380</v>
      </c>
      <c r="D245" s="45" t="s">
        <v>162</v>
      </c>
      <c r="E245" s="45" t="s">
        <v>49</v>
      </c>
      <c r="F245" s="46"/>
      <c r="G245" s="46"/>
      <c r="H245" s="46" t="s">
        <v>366</v>
      </c>
      <c r="I245" s="45" t="s">
        <v>148</v>
      </c>
    </row>
    <row r="246" spans="1:9" ht="13.5" hidden="1" customHeight="1">
      <c r="A246" s="82">
        <v>46199</v>
      </c>
      <c r="B246" s="44" t="s">
        <v>487</v>
      </c>
      <c r="C246" s="83">
        <v>1380</v>
      </c>
      <c r="D246" s="44" t="s">
        <v>162</v>
      </c>
      <c r="E246" s="44" t="s">
        <v>49</v>
      </c>
      <c r="F246" s="44"/>
      <c r="G246" s="44"/>
      <c r="H246" s="44" t="s">
        <v>366</v>
      </c>
      <c r="I246" s="44" t="s">
        <v>148</v>
      </c>
    </row>
    <row r="247" spans="1:9" ht="13.5" hidden="1" customHeight="1">
      <c r="A247" s="84">
        <v>46199</v>
      </c>
      <c r="B247" s="45" t="s">
        <v>488</v>
      </c>
      <c r="C247" s="85">
        <v>1380</v>
      </c>
      <c r="D247" s="45" t="s">
        <v>162</v>
      </c>
      <c r="E247" s="45" t="s">
        <v>49</v>
      </c>
      <c r="F247" s="46"/>
      <c r="G247" s="46"/>
      <c r="H247" s="46" t="s">
        <v>366</v>
      </c>
      <c r="I247" s="45" t="s">
        <v>148</v>
      </c>
    </row>
    <row r="248" spans="1:9" ht="13.5" hidden="1" customHeight="1">
      <c r="A248" s="82">
        <v>46199</v>
      </c>
      <c r="B248" s="44" t="s">
        <v>332</v>
      </c>
      <c r="C248" s="83">
        <v>1000</v>
      </c>
      <c r="D248" s="44" t="s">
        <v>162</v>
      </c>
      <c r="E248" s="44" t="s">
        <v>49</v>
      </c>
      <c r="F248" s="44"/>
      <c r="G248" s="44"/>
      <c r="H248" s="44" t="s">
        <v>489</v>
      </c>
      <c r="I248" s="44" t="s">
        <v>148</v>
      </c>
    </row>
    <row r="249" spans="1:9" ht="14" hidden="1">
      <c r="A249" s="84">
        <v>46200</v>
      </c>
      <c r="B249" s="45" t="s">
        <v>153</v>
      </c>
      <c r="C249" s="85">
        <v>1200</v>
      </c>
      <c r="D249" s="45" t="s">
        <v>162</v>
      </c>
      <c r="E249" s="45" t="s">
        <v>49</v>
      </c>
      <c r="F249" s="46"/>
      <c r="G249" s="46"/>
      <c r="H249" s="46" t="s">
        <v>1076</v>
      </c>
      <c r="I249" s="45" t="s">
        <v>148</v>
      </c>
    </row>
    <row r="250" spans="1:9" ht="14">
      <c r="A250" s="82">
        <v>46200</v>
      </c>
      <c r="B250" s="44" t="s">
        <v>164</v>
      </c>
      <c r="C250" s="83">
        <v>950</v>
      </c>
      <c r="D250" s="44"/>
      <c r="E250" s="44"/>
      <c r="F250" s="44"/>
      <c r="G250" s="44"/>
      <c r="H250" s="44" t="s">
        <v>1078</v>
      </c>
      <c r="I250" s="44" t="s">
        <v>356</v>
      </c>
    </row>
    <row r="251" spans="1:9" ht="14" hidden="1">
      <c r="A251" s="84">
        <v>46201</v>
      </c>
      <c r="B251" s="45" t="s">
        <v>1093</v>
      </c>
      <c r="C251" s="85">
        <v>1380</v>
      </c>
      <c r="D251" s="45" t="s">
        <v>205</v>
      </c>
      <c r="E251" s="45" t="s">
        <v>49</v>
      </c>
      <c r="F251" s="46"/>
      <c r="G251" s="46"/>
      <c r="H251" s="46" t="s">
        <v>366</v>
      </c>
      <c r="I251" s="45" t="s">
        <v>148</v>
      </c>
    </row>
    <row r="252" spans="1:9" ht="14" hidden="1">
      <c r="A252" s="82">
        <v>46201</v>
      </c>
      <c r="B252" s="44" t="s">
        <v>1079</v>
      </c>
      <c r="C252" s="83">
        <v>699</v>
      </c>
      <c r="D252" s="44" t="s">
        <v>162</v>
      </c>
      <c r="E252" s="44" t="s">
        <v>49</v>
      </c>
      <c r="F252" s="44"/>
      <c r="G252" s="44"/>
      <c r="H252" s="44" t="s">
        <v>1080</v>
      </c>
      <c r="I252" s="44" t="s">
        <v>148</v>
      </c>
    </row>
    <row r="253" spans="1:9" ht="14" hidden="1">
      <c r="A253" s="84">
        <v>46201</v>
      </c>
      <c r="B253" s="45" t="s">
        <v>1081</v>
      </c>
      <c r="C253" s="85">
        <v>699</v>
      </c>
      <c r="D253" s="45" t="s">
        <v>162</v>
      </c>
      <c r="E253" s="45" t="s">
        <v>49</v>
      </c>
      <c r="F253" s="46"/>
      <c r="G253" s="46"/>
      <c r="H253" s="46" t="s">
        <v>1082</v>
      </c>
      <c r="I253" s="45" t="s">
        <v>148</v>
      </c>
    </row>
    <row r="254" spans="1:9" ht="14" hidden="1">
      <c r="A254" s="82">
        <v>46201</v>
      </c>
      <c r="B254" s="44" t="s">
        <v>1083</v>
      </c>
      <c r="C254" s="83">
        <v>699</v>
      </c>
      <c r="D254" s="44" t="s">
        <v>162</v>
      </c>
      <c r="E254" s="44" t="s">
        <v>49</v>
      </c>
      <c r="F254" s="44"/>
      <c r="G254" s="44"/>
      <c r="H254" s="44" t="s">
        <v>1084</v>
      </c>
      <c r="I254" s="44" t="s">
        <v>148</v>
      </c>
    </row>
    <row r="255" spans="1:9" ht="14" hidden="1">
      <c r="A255" s="84">
        <v>46201</v>
      </c>
      <c r="B255" s="45" t="s">
        <v>472</v>
      </c>
      <c r="C255" s="85">
        <v>2650</v>
      </c>
      <c r="D255" s="45" t="s">
        <v>162</v>
      </c>
      <c r="E255" s="45" t="s">
        <v>49</v>
      </c>
      <c r="F255" s="46"/>
      <c r="G255" s="46"/>
      <c r="H255" s="46" t="s">
        <v>1085</v>
      </c>
      <c r="I255" s="45" t="s">
        <v>148</v>
      </c>
    </row>
    <row r="256" spans="1:9" ht="14" hidden="1">
      <c r="A256" s="82">
        <v>46203</v>
      </c>
      <c r="B256" s="44" t="s">
        <v>1094</v>
      </c>
      <c r="C256" s="83">
        <v>950</v>
      </c>
      <c r="D256" s="44" t="s">
        <v>162</v>
      </c>
      <c r="E256" s="44" t="s">
        <v>49</v>
      </c>
      <c r="F256" s="44"/>
      <c r="G256" s="44"/>
      <c r="H256" s="44" t="s">
        <v>1095</v>
      </c>
      <c r="I256" s="44" t="s">
        <v>148</v>
      </c>
    </row>
    <row r="257" spans="1:9" ht="14" hidden="1">
      <c r="A257" s="84">
        <v>46204</v>
      </c>
      <c r="B257" s="45" t="s">
        <v>1098</v>
      </c>
      <c r="C257" s="85">
        <v>699</v>
      </c>
      <c r="D257" s="45" t="s">
        <v>162</v>
      </c>
      <c r="E257" s="45" t="s">
        <v>49</v>
      </c>
      <c r="F257" s="46"/>
      <c r="G257" s="46"/>
      <c r="H257" s="46" t="s">
        <v>1099</v>
      </c>
      <c r="I257" s="45" t="s">
        <v>148</v>
      </c>
    </row>
    <row r="258" spans="1:9" ht="14" hidden="1">
      <c r="A258" s="82">
        <v>46205</v>
      </c>
      <c r="B258" s="44" t="s">
        <v>1100</v>
      </c>
      <c r="C258" s="83">
        <v>1500</v>
      </c>
      <c r="D258" s="44" t="s">
        <v>162</v>
      </c>
      <c r="E258" s="44" t="s">
        <v>49</v>
      </c>
      <c r="F258" s="44"/>
      <c r="G258" s="44"/>
      <c r="H258" s="44" t="s">
        <v>1101</v>
      </c>
      <c r="I258" s="44" t="s">
        <v>148</v>
      </c>
    </row>
    <row r="259" spans="1:9" ht="14" hidden="1">
      <c r="A259" s="84">
        <v>46205</v>
      </c>
      <c r="B259" s="45" t="s">
        <v>1100</v>
      </c>
      <c r="C259" s="85">
        <v>1200</v>
      </c>
      <c r="D259" s="45" t="s">
        <v>162</v>
      </c>
      <c r="E259" s="45" t="s">
        <v>49</v>
      </c>
      <c r="F259" s="46"/>
      <c r="G259" s="46"/>
      <c r="H259" s="46" t="s">
        <v>1104</v>
      </c>
      <c r="I259" s="45" t="s">
        <v>148</v>
      </c>
    </row>
    <row r="260" spans="1:9" ht="14" hidden="1">
      <c r="A260" s="82">
        <v>46205</v>
      </c>
      <c r="B260" s="44" t="s">
        <v>1106</v>
      </c>
      <c r="C260" s="83">
        <v>1500</v>
      </c>
      <c r="D260" s="44" t="s">
        <v>162</v>
      </c>
      <c r="E260" s="44" t="s">
        <v>49</v>
      </c>
      <c r="F260" s="44"/>
      <c r="G260" s="44"/>
      <c r="H260" s="44" t="s">
        <v>1105</v>
      </c>
      <c r="I260" s="44" t="s">
        <v>148</v>
      </c>
    </row>
    <row r="261" spans="1:9" ht="14" hidden="1">
      <c r="A261" s="84">
        <v>46205</v>
      </c>
      <c r="B261" s="45" t="s">
        <v>1109</v>
      </c>
      <c r="C261" s="85">
        <v>2600</v>
      </c>
      <c r="D261" s="45" t="s">
        <v>162</v>
      </c>
      <c r="E261" s="45" t="s">
        <v>49</v>
      </c>
      <c r="F261" s="46"/>
      <c r="G261" s="46"/>
      <c r="H261" s="46" t="s">
        <v>1201</v>
      </c>
      <c r="I261" s="45" t="s">
        <v>148</v>
      </c>
    </row>
    <row r="262" spans="1:9" ht="14" hidden="1">
      <c r="A262" s="82">
        <v>46206</v>
      </c>
      <c r="B262" s="44" t="s">
        <v>1113</v>
      </c>
      <c r="C262" s="83">
        <v>1380</v>
      </c>
      <c r="D262" s="44" t="s">
        <v>162</v>
      </c>
      <c r="E262" s="44" t="s">
        <v>49</v>
      </c>
      <c r="F262" s="44"/>
      <c r="G262" s="44"/>
      <c r="H262" s="44" t="s">
        <v>366</v>
      </c>
      <c r="I262" s="44" t="s">
        <v>148</v>
      </c>
    </row>
    <row r="263" spans="1:9" ht="14" hidden="1">
      <c r="A263" s="84">
        <v>46206</v>
      </c>
      <c r="B263" s="45" t="s">
        <v>1114</v>
      </c>
      <c r="C263" s="85">
        <v>1380</v>
      </c>
      <c r="D263" s="45" t="s">
        <v>162</v>
      </c>
      <c r="E263" s="45" t="s">
        <v>49</v>
      </c>
      <c r="F263" s="46"/>
      <c r="G263" s="46"/>
      <c r="H263" s="46" t="s">
        <v>366</v>
      </c>
      <c r="I263" s="45" t="s">
        <v>148</v>
      </c>
    </row>
    <row r="264" spans="1:9" ht="14">
      <c r="A264" s="82">
        <v>46206</v>
      </c>
      <c r="B264" s="44" t="s">
        <v>1125</v>
      </c>
      <c r="C264" s="83">
        <v>2500</v>
      </c>
      <c r="D264" s="44" t="s">
        <v>162</v>
      </c>
      <c r="E264" s="44" t="s">
        <v>49</v>
      </c>
      <c r="F264" s="44"/>
      <c r="G264" s="44"/>
      <c r="H264" s="44" t="s">
        <v>1126</v>
      </c>
      <c r="I264" s="44" t="s">
        <v>356</v>
      </c>
    </row>
    <row r="265" spans="1:9" ht="14">
      <c r="A265" s="84">
        <v>46206</v>
      </c>
      <c r="B265" s="45" t="s">
        <v>1117</v>
      </c>
      <c r="C265" s="85">
        <v>1300</v>
      </c>
      <c r="D265" s="45" t="s">
        <v>162</v>
      </c>
      <c r="E265" s="45" t="s">
        <v>49</v>
      </c>
      <c r="F265" s="46"/>
      <c r="G265" s="46"/>
      <c r="H265" s="46" t="s">
        <v>1132</v>
      </c>
      <c r="I265" s="45" t="s">
        <v>356</v>
      </c>
    </row>
    <row r="266" spans="1:9" ht="14" hidden="1">
      <c r="A266" s="82">
        <v>46206</v>
      </c>
      <c r="B266" s="44" t="s">
        <v>1106</v>
      </c>
      <c r="C266" s="83">
        <v>1380</v>
      </c>
      <c r="D266" s="44" t="s">
        <v>162</v>
      </c>
      <c r="E266" s="44" t="s">
        <v>49</v>
      </c>
      <c r="F266" s="44"/>
      <c r="G266" s="44"/>
      <c r="H266" s="44" t="s">
        <v>1118</v>
      </c>
      <c r="I266" s="44" t="s">
        <v>148</v>
      </c>
    </row>
    <row r="267" spans="1:9" ht="14" hidden="1">
      <c r="A267" s="84">
        <v>46207</v>
      </c>
      <c r="B267" s="45" t="s">
        <v>173</v>
      </c>
      <c r="C267" s="85">
        <v>1250</v>
      </c>
      <c r="D267" s="45" t="s">
        <v>162</v>
      </c>
      <c r="E267" s="45" t="s">
        <v>49</v>
      </c>
      <c r="F267" s="46"/>
      <c r="G267" s="46"/>
      <c r="H267" s="46" t="s">
        <v>1119</v>
      </c>
      <c r="I267" s="45" t="s">
        <v>148</v>
      </c>
    </row>
    <row r="268" spans="1:9" ht="28">
      <c r="A268" s="82">
        <v>46208</v>
      </c>
      <c r="B268" s="44" t="s">
        <v>1124</v>
      </c>
      <c r="C268" s="83">
        <v>2350</v>
      </c>
      <c r="D268" s="44"/>
      <c r="E268" s="44"/>
      <c r="F268" s="44"/>
      <c r="G268" s="44"/>
      <c r="H268" s="44" t="s">
        <v>1133</v>
      </c>
      <c r="I268" s="44" t="s">
        <v>356</v>
      </c>
    </row>
    <row r="269" spans="1:9" ht="14" hidden="1">
      <c r="A269" s="84">
        <v>46209</v>
      </c>
      <c r="B269" s="45" t="s">
        <v>1122</v>
      </c>
      <c r="C269" s="85">
        <v>1100</v>
      </c>
      <c r="D269" s="45" t="s">
        <v>162</v>
      </c>
      <c r="E269" s="45" t="s">
        <v>49</v>
      </c>
      <c r="F269" s="46"/>
      <c r="G269" s="46"/>
      <c r="H269" s="46" t="s">
        <v>1123</v>
      </c>
      <c r="I269" s="45" t="s">
        <v>148</v>
      </c>
    </row>
    <row r="270" spans="1:9" ht="14" hidden="1">
      <c r="A270" s="82">
        <v>46210</v>
      </c>
      <c r="B270" s="44" t="s">
        <v>1253</v>
      </c>
      <c r="C270" s="83">
        <v>3200</v>
      </c>
      <c r="D270" s="44" t="s">
        <v>162</v>
      </c>
      <c r="E270" s="44" t="s">
        <v>49</v>
      </c>
      <c r="F270" s="44"/>
      <c r="G270" s="44"/>
      <c r="H270" s="44" t="s">
        <v>1129</v>
      </c>
      <c r="I270" s="44" t="s">
        <v>148</v>
      </c>
    </row>
    <row r="271" spans="1:9" ht="14" hidden="1">
      <c r="A271" s="84">
        <v>46211</v>
      </c>
      <c r="B271" s="45" t="s">
        <v>1130</v>
      </c>
      <c r="C271" s="85">
        <v>1380</v>
      </c>
      <c r="D271" s="45" t="s">
        <v>162</v>
      </c>
      <c r="E271" s="45" t="s">
        <v>49</v>
      </c>
      <c r="F271" s="46"/>
      <c r="G271" s="46"/>
      <c r="H271" s="46" t="s">
        <v>1131</v>
      </c>
      <c r="I271" s="45" t="s">
        <v>148</v>
      </c>
    </row>
    <row r="272" spans="1:9" ht="14" hidden="1">
      <c r="A272" s="82">
        <v>46215</v>
      </c>
      <c r="B272" s="44" t="s">
        <v>1134</v>
      </c>
      <c r="C272" s="83">
        <v>1380</v>
      </c>
      <c r="D272" s="44" t="s">
        <v>162</v>
      </c>
      <c r="E272" s="44" t="s">
        <v>49</v>
      </c>
      <c r="F272" s="44"/>
      <c r="G272" s="44"/>
      <c r="H272" s="44" t="s">
        <v>366</v>
      </c>
      <c r="I272" s="44" t="s">
        <v>148</v>
      </c>
    </row>
    <row r="273" spans="1:9" ht="14" hidden="1">
      <c r="A273" s="84">
        <v>46215</v>
      </c>
      <c r="B273" s="45" t="s">
        <v>1135</v>
      </c>
      <c r="C273" s="85">
        <v>699</v>
      </c>
      <c r="D273" s="45" t="s">
        <v>162</v>
      </c>
      <c r="E273" s="45" t="s">
        <v>49</v>
      </c>
      <c r="F273" s="46"/>
      <c r="G273" s="46"/>
      <c r="H273" s="46" t="s">
        <v>1099</v>
      </c>
      <c r="I273" s="45" t="s">
        <v>148</v>
      </c>
    </row>
    <row r="274" spans="1:9" ht="14" hidden="1">
      <c r="A274" s="82">
        <v>46215</v>
      </c>
      <c r="B274" s="44" t="s">
        <v>197</v>
      </c>
      <c r="C274" s="83">
        <v>1350</v>
      </c>
      <c r="D274" s="44" t="s">
        <v>162</v>
      </c>
      <c r="E274" s="44" t="s">
        <v>49</v>
      </c>
      <c r="F274" s="44"/>
      <c r="G274" s="44"/>
      <c r="H274" s="44" t="s">
        <v>1137</v>
      </c>
      <c r="I274" s="44" t="s">
        <v>148</v>
      </c>
    </row>
    <row r="275" spans="1:9" ht="14" hidden="1">
      <c r="A275" s="84">
        <v>46216</v>
      </c>
      <c r="B275" s="45" t="s">
        <v>1138</v>
      </c>
      <c r="C275" s="85">
        <v>699</v>
      </c>
      <c r="D275" s="45" t="s">
        <v>162</v>
      </c>
      <c r="E275" s="45" t="s">
        <v>49</v>
      </c>
      <c r="F275" s="46"/>
      <c r="G275" s="46"/>
      <c r="H275" s="46" t="s">
        <v>1099</v>
      </c>
      <c r="I275" s="45" t="s">
        <v>148</v>
      </c>
    </row>
    <row r="276" spans="1:9" ht="14" hidden="1">
      <c r="A276" s="82">
        <v>46216</v>
      </c>
      <c r="B276" s="44" t="s">
        <v>1140</v>
      </c>
      <c r="C276" s="83">
        <v>3000</v>
      </c>
      <c r="D276" s="44" t="s">
        <v>162</v>
      </c>
      <c r="E276" s="44" t="s">
        <v>49</v>
      </c>
      <c r="F276" s="44"/>
      <c r="G276" s="44"/>
      <c r="H276" s="44" t="s">
        <v>1139</v>
      </c>
      <c r="I276" s="44" t="s">
        <v>148</v>
      </c>
    </row>
    <row r="277" spans="1:9" ht="14" hidden="1">
      <c r="A277" s="84">
        <v>46219</v>
      </c>
      <c r="B277" s="45" t="s">
        <v>1141</v>
      </c>
      <c r="C277" s="85">
        <v>1380</v>
      </c>
      <c r="D277" s="45" t="s">
        <v>162</v>
      </c>
      <c r="E277" s="45" t="s">
        <v>49</v>
      </c>
      <c r="F277" s="46"/>
      <c r="G277" s="46"/>
      <c r="H277" s="46" t="s">
        <v>366</v>
      </c>
      <c r="I277" s="45" t="s">
        <v>148</v>
      </c>
    </row>
    <row r="278" spans="1:9" ht="14" hidden="1">
      <c r="A278" s="82">
        <v>46219</v>
      </c>
      <c r="B278" s="44" t="s">
        <v>482</v>
      </c>
      <c r="C278" s="83">
        <v>1380</v>
      </c>
      <c r="D278" s="44" t="s">
        <v>162</v>
      </c>
      <c r="E278" s="44" t="s">
        <v>49</v>
      </c>
      <c r="F278" s="44"/>
      <c r="G278" s="44"/>
      <c r="H278" s="44" t="s">
        <v>366</v>
      </c>
      <c r="I278" s="44" t="s">
        <v>148</v>
      </c>
    </row>
    <row r="279" spans="1:9" ht="14" hidden="1">
      <c r="A279" s="84">
        <v>46219</v>
      </c>
      <c r="B279" s="45" t="s">
        <v>224</v>
      </c>
      <c r="C279" s="85">
        <v>1200</v>
      </c>
      <c r="D279" s="45" t="s">
        <v>162</v>
      </c>
      <c r="E279" s="45" t="s">
        <v>49</v>
      </c>
      <c r="F279" s="46"/>
      <c r="G279" s="46"/>
      <c r="H279" s="46" t="s">
        <v>1144</v>
      </c>
      <c r="I279" s="45" t="s">
        <v>148</v>
      </c>
    </row>
    <row r="280" spans="1:9" ht="14" hidden="1">
      <c r="A280" s="82">
        <v>46219</v>
      </c>
      <c r="B280" s="44" t="s">
        <v>220</v>
      </c>
      <c r="C280" s="83">
        <v>2500</v>
      </c>
      <c r="D280" s="44" t="s">
        <v>162</v>
      </c>
      <c r="E280" s="44" t="s">
        <v>49</v>
      </c>
      <c r="F280" s="44"/>
      <c r="G280" s="44"/>
      <c r="H280" s="44" t="s">
        <v>1150</v>
      </c>
      <c r="I280" s="44" t="s">
        <v>148</v>
      </c>
    </row>
    <row r="281" spans="1:9" ht="14" hidden="1">
      <c r="A281" s="84">
        <v>46219</v>
      </c>
      <c r="B281" s="45" t="s">
        <v>153</v>
      </c>
      <c r="C281" s="85">
        <v>3200</v>
      </c>
      <c r="D281" s="45" t="s">
        <v>162</v>
      </c>
      <c r="E281" s="45" t="s">
        <v>49</v>
      </c>
      <c r="F281" s="46"/>
      <c r="G281" s="46"/>
      <c r="H281" s="46" t="s">
        <v>1155</v>
      </c>
      <c r="I281" s="45" t="s">
        <v>148</v>
      </c>
    </row>
    <row r="282" spans="1:9" ht="14" hidden="1">
      <c r="A282" s="82">
        <v>46220</v>
      </c>
      <c r="B282" s="44" t="s">
        <v>1165</v>
      </c>
      <c r="C282" s="83">
        <v>1500</v>
      </c>
      <c r="D282" s="44" t="s">
        <v>162</v>
      </c>
      <c r="E282" s="44" t="s">
        <v>49</v>
      </c>
      <c r="F282" s="44"/>
      <c r="G282" s="44"/>
      <c r="H282" s="44" t="s">
        <v>1166</v>
      </c>
      <c r="I282" s="44" t="s">
        <v>148</v>
      </c>
    </row>
    <row r="283" spans="1:9" ht="14" hidden="1">
      <c r="A283" s="84">
        <v>46221</v>
      </c>
      <c r="B283" s="45" t="s">
        <v>1169</v>
      </c>
      <c r="C283" s="85">
        <v>1100</v>
      </c>
      <c r="D283" s="45" t="s">
        <v>162</v>
      </c>
      <c r="E283" s="45" t="s">
        <v>49</v>
      </c>
      <c r="F283" s="46"/>
      <c r="G283" s="46"/>
      <c r="H283" s="46" t="s">
        <v>1170</v>
      </c>
      <c r="I283" s="45" t="s">
        <v>148</v>
      </c>
    </row>
    <row r="284" spans="1:9" ht="14" hidden="1">
      <c r="A284" s="82">
        <v>46222</v>
      </c>
      <c r="B284" s="44" t="s">
        <v>1171</v>
      </c>
      <c r="C284" s="83">
        <v>850</v>
      </c>
      <c r="D284" s="44" t="s">
        <v>162</v>
      </c>
      <c r="E284" s="44" t="s">
        <v>49</v>
      </c>
      <c r="F284" s="44"/>
      <c r="G284" s="44"/>
      <c r="H284" s="44" t="s">
        <v>1172</v>
      </c>
      <c r="I284" s="44" t="s">
        <v>148</v>
      </c>
    </row>
    <row r="285" spans="1:9" ht="14" hidden="1">
      <c r="A285" s="84">
        <v>46222</v>
      </c>
      <c r="B285" s="45" t="s">
        <v>1173</v>
      </c>
      <c r="C285" s="85">
        <v>1250</v>
      </c>
      <c r="D285" s="45" t="s">
        <v>162</v>
      </c>
      <c r="E285" s="45" t="s">
        <v>49</v>
      </c>
      <c r="F285" s="46"/>
      <c r="G285" s="46"/>
      <c r="H285" s="46" t="s">
        <v>1174</v>
      </c>
      <c r="I285" s="45" t="s">
        <v>148</v>
      </c>
    </row>
    <row r="286" spans="1:9" ht="14" hidden="1">
      <c r="A286" s="82">
        <v>46222</v>
      </c>
      <c r="B286" s="44" t="s">
        <v>1176</v>
      </c>
      <c r="C286" s="83">
        <v>700</v>
      </c>
      <c r="D286" s="44" t="s">
        <v>162</v>
      </c>
      <c r="E286" s="44" t="s">
        <v>49</v>
      </c>
      <c r="F286" s="44"/>
      <c r="G286" s="44"/>
      <c r="H286" s="44" t="s">
        <v>395</v>
      </c>
      <c r="I286" s="44" t="s">
        <v>148</v>
      </c>
    </row>
    <row r="287" spans="1:9" ht="14" hidden="1">
      <c r="A287" s="84">
        <v>46222</v>
      </c>
      <c r="B287" s="45" t="s">
        <v>1177</v>
      </c>
      <c r="C287" s="85">
        <v>699</v>
      </c>
      <c r="D287" s="45" t="s">
        <v>162</v>
      </c>
      <c r="E287" s="45" t="s">
        <v>49</v>
      </c>
      <c r="F287" s="46"/>
      <c r="G287" s="46"/>
      <c r="H287" s="46" t="s">
        <v>395</v>
      </c>
      <c r="I287" s="45" t="s">
        <v>148</v>
      </c>
    </row>
    <row r="288" spans="1:9" ht="14" hidden="1">
      <c r="A288" s="82">
        <v>46223</v>
      </c>
      <c r="B288" s="44" t="s">
        <v>1180</v>
      </c>
      <c r="C288" s="83">
        <v>1380</v>
      </c>
      <c r="D288" s="44" t="s">
        <v>162</v>
      </c>
      <c r="E288" s="44" t="s">
        <v>49</v>
      </c>
      <c r="F288" s="44"/>
      <c r="G288" s="44"/>
      <c r="H288" s="44" t="s">
        <v>1181</v>
      </c>
      <c r="I288" s="44" t="s">
        <v>148</v>
      </c>
    </row>
    <row r="289" spans="1:9" ht="14" hidden="1">
      <c r="A289" s="84">
        <v>46224</v>
      </c>
      <c r="B289" s="45" t="s">
        <v>1183</v>
      </c>
      <c r="C289" s="85">
        <v>1380</v>
      </c>
      <c r="D289" s="45" t="s">
        <v>162</v>
      </c>
      <c r="E289" s="45" t="s">
        <v>49</v>
      </c>
      <c r="F289" s="46"/>
      <c r="G289" s="46"/>
      <c r="H289" s="46" t="s">
        <v>1186</v>
      </c>
      <c r="I289" s="45" t="s">
        <v>148</v>
      </c>
    </row>
    <row r="290" spans="1:9" ht="14" hidden="1">
      <c r="A290" s="82">
        <v>46224</v>
      </c>
      <c r="B290" s="44" t="s">
        <v>1182</v>
      </c>
      <c r="C290" s="83">
        <v>1380</v>
      </c>
      <c r="D290" s="44" t="s">
        <v>162</v>
      </c>
      <c r="E290" s="44" t="s">
        <v>49</v>
      </c>
      <c r="F290" s="44"/>
      <c r="G290" s="44"/>
      <c r="H290" s="44" t="s">
        <v>1187</v>
      </c>
      <c r="I290" s="44" t="s">
        <v>148</v>
      </c>
    </row>
    <row r="291" spans="1:9" ht="14" hidden="1">
      <c r="A291" s="82">
        <v>46228</v>
      </c>
      <c r="B291" s="44" t="s">
        <v>186</v>
      </c>
      <c r="C291" s="83">
        <v>1250</v>
      </c>
      <c r="D291" s="44" t="s">
        <v>162</v>
      </c>
      <c r="E291" s="44" t="s">
        <v>49</v>
      </c>
      <c r="F291" s="44"/>
      <c r="G291" s="44"/>
      <c r="H291" s="44" t="s">
        <v>1190</v>
      </c>
      <c r="I291" s="44" t="s">
        <v>148</v>
      </c>
    </row>
    <row r="292" spans="1:9" ht="42">
      <c r="A292" s="84">
        <v>46229</v>
      </c>
      <c r="B292" s="45" t="s">
        <v>1193</v>
      </c>
      <c r="C292" s="85">
        <v>1900</v>
      </c>
      <c r="D292" s="45"/>
      <c r="E292" s="45"/>
      <c r="F292" s="46"/>
      <c r="G292" s="46"/>
      <c r="H292" s="46" t="s">
        <v>1251</v>
      </c>
      <c r="I292" s="45" t="s">
        <v>356</v>
      </c>
    </row>
    <row r="293" spans="1:9" ht="28">
      <c r="A293" s="82">
        <v>46229</v>
      </c>
      <c r="B293" s="44" t="s">
        <v>293</v>
      </c>
      <c r="C293" s="83">
        <v>3000</v>
      </c>
      <c r="D293" s="44"/>
      <c r="E293" s="44"/>
      <c r="F293" s="44"/>
      <c r="G293" s="44"/>
      <c r="H293" s="44" t="s">
        <v>1252</v>
      </c>
      <c r="I293" s="44" t="s">
        <v>356</v>
      </c>
    </row>
    <row r="294" spans="1:9" ht="28">
      <c r="A294" s="84">
        <v>46229</v>
      </c>
      <c r="B294" s="45" t="s">
        <v>1109</v>
      </c>
      <c r="C294" s="85">
        <v>2300</v>
      </c>
      <c r="D294" s="45"/>
      <c r="E294" s="45"/>
      <c r="F294" s="46"/>
      <c r="G294" s="46"/>
      <c r="H294" s="46" t="s">
        <v>1271</v>
      </c>
      <c r="I294" s="45" t="s">
        <v>356</v>
      </c>
    </row>
    <row r="295" spans="1:9" ht="14">
      <c r="A295" s="82">
        <v>46229</v>
      </c>
      <c r="B295" s="44" t="s">
        <v>1204</v>
      </c>
      <c r="C295" s="83">
        <v>1550</v>
      </c>
      <c r="D295" s="44"/>
      <c r="E295" s="44"/>
      <c r="F295" s="44"/>
      <c r="G295" s="44"/>
      <c r="H295" s="44" t="s">
        <v>1205</v>
      </c>
      <c r="I295" s="44" t="s">
        <v>356</v>
      </c>
    </row>
    <row r="296" spans="1:9" ht="14" hidden="1">
      <c r="A296" s="84">
        <v>46235</v>
      </c>
      <c r="B296" s="45" t="s">
        <v>1256</v>
      </c>
      <c r="C296" s="85">
        <v>1450</v>
      </c>
      <c r="D296" s="45" t="s">
        <v>162</v>
      </c>
      <c r="E296" s="45" t="s">
        <v>49</v>
      </c>
      <c r="F296" s="46"/>
      <c r="G296" s="46"/>
      <c r="H296" s="46" t="s">
        <v>1250</v>
      </c>
      <c r="I296" s="45" t="s">
        <v>148</v>
      </c>
    </row>
    <row r="297" spans="1:9" ht="28" hidden="1">
      <c r="A297" s="82">
        <v>46236</v>
      </c>
      <c r="B297" s="44" t="s">
        <v>1254</v>
      </c>
      <c r="C297" s="83">
        <v>6900</v>
      </c>
      <c r="D297" s="44" t="s">
        <v>162</v>
      </c>
      <c r="E297" s="44" t="s">
        <v>49</v>
      </c>
      <c r="F297" s="44"/>
      <c r="G297" s="44"/>
      <c r="H297" s="44" t="s">
        <v>1255</v>
      </c>
      <c r="I297" s="44" t="s">
        <v>148</v>
      </c>
    </row>
    <row r="298" spans="1:9" ht="14" hidden="1">
      <c r="A298" s="84">
        <v>46236</v>
      </c>
      <c r="B298" s="45" t="s">
        <v>1259</v>
      </c>
      <c r="C298" s="85">
        <v>1479</v>
      </c>
      <c r="D298" s="45" t="s">
        <v>162</v>
      </c>
      <c r="E298" s="45" t="s">
        <v>49</v>
      </c>
      <c r="F298" s="46"/>
      <c r="G298" s="46"/>
      <c r="H298" s="46" t="s">
        <v>1258</v>
      </c>
      <c r="I298" s="45" t="s">
        <v>148</v>
      </c>
    </row>
    <row r="299" spans="1:9" ht="14" hidden="1">
      <c r="A299" s="82">
        <v>46236</v>
      </c>
      <c r="B299" s="44" t="s">
        <v>1265</v>
      </c>
      <c r="C299" s="83">
        <v>2630</v>
      </c>
      <c r="D299" s="44" t="s">
        <v>162</v>
      </c>
      <c r="E299" s="44" t="s">
        <v>49</v>
      </c>
      <c r="F299" s="44"/>
      <c r="G299" s="44"/>
      <c r="H299" s="44" t="s">
        <v>1261</v>
      </c>
      <c r="I299" s="44" t="s">
        <v>148</v>
      </c>
    </row>
    <row r="300" spans="1:9" ht="14" hidden="1">
      <c r="A300" s="84">
        <v>46238</v>
      </c>
      <c r="B300" s="45" t="s">
        <v>1106</v>
      </c>
      <c r="C300" s="85">
        <v>1380</v>
      </c>
      <c r="D300" s="45" t="s">
        <v>162</v>
      </c>
      <c r="E300" s="45" t="s">
        <v>49</v>
      </c>
      <c r="F300" s="46"/>
      <c r="G300" s="46"/>
      <c r="H300" s="46" t="s">
        <v>272</v>
      </c>
      <c r="I300" s="45" t="s">
        <v>148</v>
      </c>
    </row>
    <row r="301" spans="1:9" ht="28" hidden="1">
      <c r="A301" s="82">
        <v>46238</v>
      </c>
      <c r="B301" s="44" t="s">
        <v>1267</v>
      </c>
      <c r="C301" s="83">
        <v>12650</v>
      </c>
      <c r="D301" s="44" t="s">
        <v>162</v>
      </c>
      <c r="E301" s="44" t="s">
        <v>49</v>
      </c>
      <c r="F301" s="44"/>
      <c r="G301" s="44"/>
      <c r="H301" s="44" t="s">
        <v>1268</v>
      </c>
      <c r="I301" s="44" t="s">
        <v>148</v>
      </c>
    </row>
    <row r="302" spans="1:9">
      <c r="A302" s="84"/>
      <c r="B302" s="45"/>
      <c r="C302" s="85"/>
      <c r="D302" s="45"/>
      <c r="E302" s="45"/>
      <c r="F302" s="46"/>
      <c r="G302" s="46"/>
      <c r="H302" s="46"/>
      <c r="I302" s="45"/>
    </row>
    <row r="303" spans="1:9">
      <c r="A303" s="82"/>
      <c r="B303" s="44"/>
      <c r="C303" s="83"/>
      <c r="D303" s="44"/>
      <c r="E303" s="44"/>
      <c r="F303" s="44"/>
      <c r="G303" s="44"/>
      <c r="H303" s="44"/>
      <c r="I303" s="44"/>
    </row>
    <row r="304" spans="1:9">
      <c r="A304" s="84"/>
      <c r="B304" s="45"/>
      <c r="C304" s="85"/>
      <c r="D304" s="45"/>
      <c r="E304" s="45"/>
      <c r="F304" s="46"/>
      <c r="G304" s="46"/>
      <c r="H304" s="46"/>
      <c r="I304" s="45"/>
    </row>
    <row r="305" spans="1:9">
      <c r="A305" s="82"/>
      <c r="B305" s="44"/>
      <c r="C305" s="83"/>
      <c r="D305" s="44"/>
      <c r="E305" s="44"/>
      <c r="F305" s="44"/>
      <c r="G305" s="44"/>
      <c r="H305" s="44"/>
      <c r="I305" s="44"/>
    </row>
    <row r="306" spans="1:9">
      <c r="A306" s="84"/>
      <c r="B306" s="45"/>
      <c r="C306" s="85"/>
      <c r="D306" s="45"/>
      <c r="E306" s="45"/>
      <c r="F306" s="46"/>
      <c r="G306" s="46"/>
      <c r="H306" s="46"/>
      <c r="I306" s="45"/>
    </row>
    <row r="307" spans="1:9">
      <c r="A307" s="82"/>
      <c r="B307" s="44"/>
      <c r="C307" s="83"/>
      <c r="D307" s="44"/>
      <c r="E307" s="44"/>
      <c r="F307" s="44"/>
      <c r="G307" s="44"/>
      <c r="H307" s="44"/>
      <c r="I307" s="44"/>
    </row>
    <row r="308" spans="1:9">
      <c r="A308" s="84"/>
      <c r="B308" s="45"/>
      <c r="C308" s="85"/>
      <c r="D308" s="45"/>
      <c r="E308" s="45"/>
      <c r="F308" s="46"/>
      <c r="G308" s="46"/>
      <c r="H308" s="46"/>
      <c r="I308" s="45"/>
    </row>
    <row r="309" spans="1:9">
      <c r="A309" s="82"/>
      <c r="B309" s="44"/>
      <c r="C309" s="83"/>
      <c r="D309" s="44"/>
      <c r="E309" s="44"/>
      <c r="F309" s="44"/>
      <c r="G309" s="44"/>
      <c r="H309" s="44"/>
      <c r="I309" s="44"/>
    </row>
    <row r="310" spans="1:9">
      <c r="A310" s="84"/>
      <c r="B310" s="45"/>
      <c r="C310" s="85"/>
      <c r="D310" s="45"/>
      <c r="E310" s="45"/>
      <c r="F310" s="46"/>
      <c r="G310" s="46"/>
      <c r="H310" s="46"/>
      <c r="I310" s="45"/>
    </row>
    <row r="311" spans="1:9">
      <c r="A311" s="82"/>
      <c r="B311" s="44"/>
      <c r="C311" s="83"/>
      <c r="D311" s="44"/>
      <c r="E311" s="44"/>
      <c r="F311" s="44"/>
      <c r="G311" s="44"/>
      <c r="H311" s="44"/>
      <c r="I311" s="44"/>
    </row>
    <row r="312" spans="1:9">
      <c r="A312" s="84"/>
      <c r="B312" s="45"/>
      <c r="C312" s="85"/>
      <c r="D312" s="45"/>
      <c r="E312" s="45"/>
      <c r="F312" s="46"/>
      <c r="G312" s="46"/>
      <c r="H312" s="46"/>
      <c r="I312" s="45"/>
    </row>
    <row r="313" spans="1:9">
      <c r="A313" s="82"/>
      <c r="B313" s="44"/>
      <c r="C313" s="83"/>
      <c r="D313" s="44"/>
      <c r="E313" s="44"/>
      <c r="F313" s="44"/>
      <c r="G313" s="44"/>
      <c r="H313" s="44"/>
      <c r="I313" s="44"/>
    </row>
    <row r="314" spans="1:9">
      <c r="A314" s="84"/>
      <c r="B314" s="45"/>
      <c r="C314" s="85"/>
      <c r="D314" s="45"/>
      <c r="E314" s="45"/>
      <c r="F314" s="46"/>
      <c r="G314" s="46"/>
      <c r="H314" s="46"/>
      <c r="I314" s="45"/>
    </row>
    <row r="315" spans="1:9">
      <c r="A315" s="82"/>
      <c r="B315" s="44"/>
      <c r="C315" s="83"/>
      <c r="D315" s="44"/>
      <c r="E315" s="44"/>
      <c r="F315" s="44"/>
      <c r="G315" s="44"/>
      <c r="H315" s="44"/>
      <c r="I315" s="44"/>
    </row>
    <row r="316" spans="1:9">
      <c r="A316" s="84"/>
      <c r="B316" s="45"/>
      <c r="C316" s="85"/>
      <c r="D316" s="45"/>
      <c r="E316" s="45"/>
      <c r="F316" s="46"/>
      <c r="G316" s="46"/>
      <c r="H316" s="46"/>
      <c r="I316" s="45"/>
    </row>
    <row r="317" spans="1:9">
      <c r="A317" s="82"/>
      <c r="B317" s="44"/>
      <c r="C317" s="83"/>
      <c r="D317" s="44"/>
      <c r="E317" s="44"/>
      <c r="F317" s="44"/>
      <c r="G317" s="44"/>
      <c r="H317" s="44"/>
      <c r="I317" s="44"/>
    </row>
    <row r="318" spans="1:9">
      <c r="A318" s="84"/>
      <c r="B318" s="45"/>
      <c r="C318" s="85"/>
      <c r="D318" s="45"/>
      <c r="E318" s="45"/>
      <c r="F318" s="46"/>
      <c r="G318" s="46"/>
      <c r="H318" s="46"/>
      <c r="I318" s="45"/>
    </row>
    <row r="319" spans="1:9">
      <c r="A319" s="82"/>
      <c r="B319" s="44"/>
      <c r="C319" s="83"/>
      <c r="D319" s="44"/>
      <c r="E319" s="44"/>
      <c r="F319" s="44"/>
      <c r="G319" s="44"/>
      <c r="H319" s="44"/>
      <c r="I319" s="44"/>
    </row>
    <row r="320" spans="1:9">
      <c r="A320" s="84"/>
      <c r="B320" s="45"/>
      <c r="C320" s="85"/>
      <c r="D320" s="45"/>
      <c r="E320" s="45"/>
      <c r="F320" s="46"/>
      <c r="G320" s="46"/>
      <c r="H320" s="46"/>
      <c r="I320" s="45"/>
    </row>
    <row r="321" spans="1:9">
      <c r="A321" s="82"/>
      <c r="B321" s="44"/>
      <c r="C321" s="83"/>
      <c r="D321" s="44"/>
      <c r="E321" s="44"/>
      <c r="F321" s="44"/>
      <c r="G321" s="44"/>
      <c r="H321" s="44"/>
      <c r="I321" s="44"/>
    </row>
    <row r="322" spans="1:9">
      <c r="A322" s="84"/>
      <c r="B322" s="45"/>
      <c r="C322" s="85"/>
      <c r="D322" s="45"/>
      <c r="E322" s="45"/>
      <c r="F322" s="46"/>
      <c r="G322" s="46"/>
      <c r="H322" s="46"/>
      <c r="I322" s="45"/>
    </row>
    <row r="323" spans="1:9">
      <c r="A323" s="82"/>
      <c r="B323" s="44"/>
      <c r="C323" s="83"/>
      <c r="D323" s="44"/>
      <c r="E323" s="44"/>
      <c r="F323" s="44"/>
      <c r="G323" s="44"/>
      <c r="H323" s="44"/>
      <c r="I323" s="44"/>
    </row>
    <row r="324" spans="1:9">
      <c r="A324" s="84"/>
      <c r="B324" s="45"/>
      <c r="C324" s="85"/>
      <c r="D324" s="45"/>
      <c r="E324" s="45"/>
      <c r="F324" s="46"/>
      <c r="G324" s="46"/>
      <c r="H324" s="46"/>
      <c r="I324" s="45"/>
    </row>
    <row r="325" spans="1:9">
      <c r="A325" s="82"/>
      <c r="B325" s="44"/>
      <c r="C325" s="83"/>
      <c r="D325" s="44"/>
      <c r="E325" s="44"/>
      <c r="F325" s="44"/>
      <c r="G325" s="44"/>
      <c r="H325" s="44"/>
      <c r="I325" s="44"/>
    </row>
    <row r="326" spans="1:9">
      <c r="A326" s="84"/>
      <c r="B326" s="45"/>
      <c r="C326" s="85"/>
      <c r="D326" s="45"/>
      <c r="E326" s="45"/>
      <c r="F326" s="46"/>
      <c r="G326" s="46"/>
      <c r="H326" s="46"/>
      <c r="I326" s="45"/>
    </row>
    <row r="327" spans="1:9">
      <c r="A327" s="82"/>
      <c r="B327" s="44"/>
      <c r="C327" s="83"/>
      <c r="D327" s="44"/>
      <c r="E327" s="44"/>
      <c r="F327" s="44"/>
      <c r="G327" s="44"/>
      <c r="H327" s="44"/>
      <c r="I327" s="44"/>
    </row>
    <row r="328" spans="1:9">
      <c r="A328" s="84"/>
      <c r="B328" s="45"/>
      <c r="C328" s="85"/>
      <c r="D328" s="45"/>
      <c r="E328" s="45"/>
      <c r="F328" s="46"/>
      <c r="G328" s="46"/>
      <c r="H328" s="46"/>
      <c r="I328" s="45"/>
    </row>
    <row r="329" spans="1:9">
      <c r="A329" s="82"/>
      <c r="B329" s="44"/>
      <c r="C329" s="83"/>
      <c r="D329" s="44"/>
      <c r="E329" s="44"/>
      <c r="F329" s="44"/>
      <c r="G329" s="44"/>
      <c r="H329" s="44"/>
      <c r="I329" s="44"/>
    </row>
  </sheetData>
  <autoFilter ref="A1:I301" xr:uid="{00000000-0009-0000-0000-000004000000}">
    <filterColumn colId="8">
      <filters>
        <filter val="Pending"/>
      </filters>
    </filterColumn>
  </autoFilter>
  <dataValidations count="1">
    <dataValidation type="list" allowBlank="1" showInputMessage="1" showErrorMessage="1" sqref="G2:G1258"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9"/>
  <sheetViews>
    <sheetView zoomScaleNormal="100" workbookViewId="0">
      <pane ySplit="1" topLeftCell="A80" activePane="bottomLeft" state="frozen"/>
      <selection activeCell="E1" sqref="E1"/>
      <selection pane="bottomLeft" activeCell="A96" sqref="A96"/>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2</v>
      </c>
      <c r="G59" s="56">
        <v>1</v>
      </c>
      <c r="H59" s="55">
        <f t="shared" si="3"/>
        <v>3</v>
      </c>
      <c r="I59" s="55">
        <f>IF(D59&lt;&gt;"",D59,IFERROR(E59/(IFERROR(SUM(Sales!C:C),0))*(IFERROR(SUM(Purchases!C:C),0)),0))</f>
        <v>1145</v>
      </c>
      <c r="J59" s="55">
        <f t="shared" si="1"/>
        <v>2290</v>
      </c>
      <c r="K59" s="55">
        <f t="shared" si="2"/>
        <v>1145</v>
      </c>
      <c r="L59" s="55" t="s">
        <v>1127</v>
      </c>
      <c r="M59" s="55"/>
      <c r="N59" s="55" t="s">
        <v>589</v>
      </c>
      <c r="O59" s="55" t="s">
        <v>229</v>
      </c>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1128</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1184</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1109</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1178</v>
      </c>
      <c r="M120" s="52" t="s">
        <v>49</v>
      </c>
      <c r="N120" s="52" t="s">
        <v>589</v>
      </c>
      <c r="O120" s="52"/>
      <c r="P120" s="52" t="s">
        <v>1179</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1077</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1175</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1148</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1149</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1115</v>
      </c>
      <c r="M154" s="52"/>
      <c r="N154" s="52" t="s">
        <v>589</v>
      </c>
      <c r="O154" s="52" t="s">
        <v>1112</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1136</v>
      </c>
      <c r="M155" s="55"/>
      <c r="N155" s="55" t="s">
        <v>589</v>
      </c>
      <c r="O155" s="55" t="s">
        <v>1112</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1116</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1154</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1096</v>
      </c>
      <c r="M166" s="52"/>
      <c r="N166" s="52" t="s">
        <v>504</v>
      </c>
      <c r="O166" s="52"/>
      <c r="P166" s="52" t="s">
        <v>1097</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2</v>
      </c>
      <c r="G172" s="66">
        <v>1</v>
      </c>
      <c r="H172" s="65">
        <f t="shared" si="11"/>
        <v>3</v>
      </c>
      <c r="I172" s="65">
        <f>IF(D172&lt;&gt;"",D172,IFERROR(E172/(IFERROR(SUM(Sales!C:C),0))*(IFERROR(SUM(Purchases!C:C),0)),0))</f>
        <v>1047</v>
      </c>
      <c r="J172" s="65">
        <f t="shared" si="9"/>
        <v>2094</v>
      </c>
      <c r="K172" s="65">
        <f t="shared" si="10"/>
        <v>1047</v>
      </c>
      <c r="L172" s="52" t="s">
        <v>927</v>
      </c>
      <c r="M172" s="52"/>
      <c r="N172" s="52" t="s">
        <v>589</v>
      </c>
      <c r="O172" s="52"/>
      <c r="P172" s="52"/>
      <c r="Q172" s="52"/>
      <c r="R172" s="52"/>
      <c r="S172" s="52"/>
      <c r="T172" s="52"/>
    </row>
    <row r="173" spans="1:20" ht="15" customHeight="1">
      <c r="A173" s="55" t="s">
        <v>928</v>
      </c>
      <c r="B173" s="55" t="s">
        <v>929</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930</v>
      </c>
      <c r="B174" s="52" t="s">
        <v>931</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932</v>
      </c>
      <c r="M174" s="52"/>
      <c r="N174" s="52" t="s">
        <v>504</v>
      </c>
      <c r="O174" s="52"/>
      <c r="P174" s="52"/>
      <c r="Q174" s="52"/>
      <c r="R174" s="52"/>
      <c r="S174" s="52"/>
      <c r="T174" s="52"/>
    </row>
    <row r="175" spans="1:20" ht="90" customHeight="1">
      <c r="A175" s="55" t="s">
        <v>933</v>
      </c>
      <c r="B175" s="55" t="s">
        <v>934</v>
      </c>
      <c r="C175" s="55" t="s">
        <v>95</v>
      </c>
      <c r="D175" s="56">
        <v>698.25</v>
      </c>
      <c r="E175" s="56">
        <v>1250</v>
      </c>
      <c r="F175" s="64">
        <v>5</v>
      </c>
      <c r="G175" s="64">
        <v>5</v>
      </c>
      <c r="H175" s="63">
        <f t="shared" si="11"/>
        <v>10</v>
      </c>
      <c r="I175" s="63">
        <f>IF(D175&lt;&gt;"",D175,IFERROR(E175/(IFERROR(SUM(Sales!C:C),0))*(IFERROR(SUM(Purchases!C:C),0)),0))</f>
        <v>698.25</v>
      </c>
      <c r="J175" s="63">
        <f t="shared" si="9"/>
        <v>3491.25</v>
      </c>
      <c r="K175" s="63">
        <f t="shared" si="10"/>
        <v>3491.25</v>
      </c>
      <c r="L175" s="55" t="s">
        <v>1103</v>
      </c>
      <c r="M175" s="55"/>
      <c r="N175" s="55" t="s">
        <v>589</v>
      </c>
      <c r="O175" s="55"/>
      <c r="P175" s="55" t="s">
        <v>1102</v>
      </c>
      <c r="Q175" s="55"/>
      <c r="R175" s="55"/>
      <c r="S175" s="55"/>
      <c r="T175" s="55"/>
    </row>
    <row r="176" spans="1:20" ht="24" customHeight="1">
      <c r="A176" s="52" t="s">
        <v>935</v>
      </c>
      <c r="B176" s="52" t="s">
        <v>936</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937</v>
      </c>
      <c r="M176" s="52"/>
      <c r="N176" s="52" t="s">
        <v>504</v>
      </c>
      <c r="O176" s="52"/>
      <c r="P176" s="52"/>
      <c r="Q176" s="52"/>
      <c r="R176" s="52"/>
      <c r="S176" s="52"/>
      <c r="T176" s="52"/>
    </row>
    <row r="177" spans="1:20" ht="33.75" customHeight="1">
      <c r="A177" s="55" t="s">
        <v>938</v>
      </c>
      <c r="B177" s="55" t="s">
        <v>939</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940</v>
      </c>
      <c r="M177" s="55"/>
      <c r="N177" s="55" t="s">
        <v>504</v>
      </c>
      <c r="O177" s="55"/>
      <c r="P177" s="55" t="s">
        <v>941</v>
      </c>
      <c r="Q177" s="55"/>
      <c r="R177" s="55"/>
      <c r="S177" s="55"/>
      <c r="T177" s="55"/>
    </row>
    <row r="178" spans="1:20" ht="15" customHeight="1">
      <c r="A178" s="52" t="s">
        <v>942</v>
      </c>
      <c r="B178" s="52" t="s">
        <v>943</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944</v>
      </c>
      <c r="M178" s="52"/>
      <c r="N178" s="52" t="s">
        <v>504</v>
      </c>
      <c r="O178" s="52"/>
      <c r="P178" s="52" t="s">
        <v>945</v>
      </c>
      <c r="Q178" s="52"/>
      <c r="R178" s="52"/>
      <c r="S178" s="52"/>
      <c r="T178" s="52"/>
    </row>
    <row r="179" spans="1:20" ht="30" customHeight="1">
      <c r="A179" s="55" t="s">
        <v>946</v>
      </c>
      <c r="B179" s="55" t="s">
        <v>947</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948</v>
      </c>
      <c r="M179" s="55"/>
      <c r="N179" s="55" t="s">
        <v>504</v>
      </c>
      <c r="O179" s="55"/>
      <c r="P179" s="55" t="s">
        <v>949</v>
      </c>
      <c r="Q179" s="55"/>
      <c r="R179" s="55"/>
      <c r="S179" s="55"/>
      <c r="T179" s="55"/>
    </row>
    <row r="180" spans="1:20" ht="33.75" customHeight="1">
      <c r="A180" s="52" t="s">
        <v>950</v>
      </c>
      <c r="B180" s="52" t="s">
        <v>951</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952</v>
      </c>
      <c r="M180" s="52"/>
      <c r="N180" s="52" t="s">
        <v>504</v>
      </c>
      <c r="O180" s="52"/>
      <c r="P180" s="52"/>
      <c r="Q180" s="52"/>
      <c r="R180" s="52"/>
      <c r="S180" s="52"/>
      <c r="T180" s="52"/>
    </row>
    <row r="181" spans="1:20" ht="15" customHeight="1">
      <c r="A181" s="55" t="s">
        <v>953</v>
      </c>
      <c r="B181" s="55" t="s">
        <v>954</v>
      </c>
      <c r="C181" s="55" t="s">
        <v>96</v>
      </c>
      <c r="D181" s="56">
        <v>1019</v>
      </c>
      <c r="E181" s="56">
        <v>1499</v>
      </c>
      <c r="F181" s="64">
        <v>1</v>
      </c>
      <c r="G181" s="64">
        <v>3</v>
      </c>
      <c r="H181" s="63">
        <f t="shared" si="11"/>
        <v>4</v>
      </c>
      <c r="I181" s="63">
        <f>IF(D181&lt;&gt;"",D181,IFERROR(E181/(IFERROR(SUM(Sales!C:C),0))*(IFERROR(SUM(Purchases!C:C),0)),0))</f>
        <v>1019</v>
      </c>
      <c r="J181" s="63">
        <f t="shared" si="9"/>
        <v>1019</v>
      </c>
      <c r="K181" s="63">
        <f t="shared" si="10"/>
        <v>3057</v>
      </c>
      <c r="L181" s="55" t="s">
        <v>1110</v>
      </c>
      <c r="M181" s="55"/>
      <c r="N181" s="55" t="s">
        <v>589</v>
      </c>
      <c r="O181" s="55" t="s">
        <v>1111</v>
      </c>
      <c r="P181" s="55" t="s">
        <v>955</v>
      </c>
      <c r="Q181" s="55"/>
      <c r="R181" s="55"/>
      <c r="S181" s="55"/>
      <c r="T181" s="55"/>
    </row>
    <row r="182" spans="1:20" ht="15" customHeight="1">
      <c r="A182" s="52" t="s">
        <v>956</v>
      </c>
      <c r="B182" s="52" t="s">
        <v>957</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958</v>
      </c>
      <c r="Q182" s="52"/>
      <c r="R182" s="52"/>
      <c r="S182" s="52"/>
      <c r="T182" s="52"/>
    </row>
    <row r="183" spans="1:20" ht="15" customHeight="1">
      <c r="A183" s="55" t="s">
        <v>959</v>
      </c>
      <c r="B183" s="55" t="s">
        <v>960</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1194</v>
      </c>
      <c r="M183" s="55"/>
      <c r="N183" s="55" t="s">
        <v>589</v>
      </c>
      <c r="O183" s="55"/>
      <c r="P183" s="55"/>
      <c r="Q183" s="55"/>
      <c r="R183" s="55"/>
      <c r="S183" s="55"/>
      <c r="T183" s="55"/>
    </row>
    <row r="184" spans="1:20" ht="52" customHeight="1">
      <c r="A184" s="52" t="s">
        <v>961</v>
      </c>
      <c r="B184" s="52" t="s">
        <v>962</v>
      </c>
      <c r="C184" s="52" t="s">
        <v>95</v>
      </c>
      <c r="D184" s="53">
        <v>891</v>
      </c>
      <c r="E184" s="53">
        <v>1380</v>
      </c>
      <c r="F184" s="66">
        <v>20</v>
      </c>
      <c r="G184" s="66">
        <v>0</v>
      </c>
      <c r="H184" s="65">
        <f t="shared" ref="H184:H226" si="12">F184+IF(LEN(G184)=0,0,G184)</f>
        <v>20</v>
      </c>
      <c r="I184" s="65">
        <f>IF(D184&lt;&gt;"",D184,IFERROR(E184/(IFERROR(SUM(Sales!C:C),0))*(IFERROR(SUM(Purchases!C:C),0)),0))</f>
        <v>891</v>
      </c>
      <c r="J184" s="65">
        <f t="shared" si="9"/>
        <v>17820</v>
      </c>
      <c r="K184" s="65">
        <f t="shared" si="10"/>
        <v>0</v>
      </c>
      <c r="L184" s="52" t="s">
        <v>1266</v>
      </c>
      <c r="M184" s="52"/>
      <c r="N184" s="52" t="s">
        <v>504</v>
      </c>
      <c r="O184" s="52"/>
      <c r="P184" s="52"/>
      <c r="Q184" s="52"/>
      <c r="R184" s="52"/>
      <c r="S184" s="52"/>
      <c r="T184" s="52"/>
    </row>
    <row r="185" spans="1:20" ht="15" customHeight="1">
      <c r="A185" s="55" t="s">
        <v>963</v>
      </c>
      <c r="B185" s="55" t="s">
        <v>964</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965</v>
      </c>
      <c r="M185" s="55"/>
      <c r="N185" s="55" t="s">
        <v>504</v>
      </c>
      <c r="O185" s="55"/>
      <c r="P185" s="55"/>
      <c r="Q185" s="55"/>
      <c r="R185" s="55"/>
      <c r="S185" s="55"/>
      <c r="T185" s="55"/>
    </row>
    <row r="186" spans="1:20" ht="15" customHeight="1">
      <c r="A186" s="52" t="s">
        <v>966</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967</v>
      </c>
      <c r="B187" s="55" t="s">
        <v>968</v>
      </c>
      <c r="C187" s="55" t="s">
        <v>95</v>
      </c>
      <c r="D187" s="56">
        <v>891</v>
      </c>
      <c r="E187" s="56">
        <v>1380</v>
      </c>
      <c r="F187" s="64">
        <v>0</v>
      </c>
      <c r="G187" s="64">
        <v>2</v>
      </c>
      <c r="H187" s="63">
        <f t="shared" si="12"/>
        <v>2</v>
      </c>
      <c r="I187" s="63">
        <f>IF(D187&lt;&gt;"",D187,IFERROR(E187/(IFERROR(SUM(Sales!C:C),0))*(IFERROR(SUM(Purchases!C:C),0)),0))</f>
        <v>891</v>
      </c>
      <c r="J187" s="63">
        <f t="shared" si="9"/>
        <v>0</v>
      </c>
      <c r="K187" s="63">
        <f t="shared" si="10"/>
        <v>1782</v>
      </c>
      <c r="L187" s="55"/>
      <c r="M187" s="55"/>
      <c r="N187" s="55" t="s">
        <v>678</v>
      </c>
      <c r="O187" s="55"/>
      <c r="P187" s="55"/>
      <c r="Q187" s="55"/>
      <c r="R187" s="55"/>
      <c r="S187" s="55"/>
      <c r="T187" s="55"/>
    </row>
    <row r="188" spans="1:20" ht="15" customHeight="1">
      <c r="A188" s="52" t="s">
        <v>969</v>
      </c>
      <c r="B188" s="52" t="s">
        <v>970</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1270</v>
      </c>
      <c r="M188" s="52"/>
      <c r="N188" s="52" t="s">
        <v>589</v>
      </c>
      <c r="O188" s="52"/>
      <c r="P188" s="52"/>
      <c r="Q188" s="52"/>
      <c r="R188" s="52"/>
      <c r="S188" s="52"/>
      <c r="T188" s="52"/>
    </row>
    <row r="189" spans="1:20" ht="52" customHeight="1">
      <c r="A189" s="55" t="s">
        <v>971</v>
      </c>
      <c r="B189" s="52" t="s">
        <v>972</v>
      </c>
      <c r="C189" s="52" t="s">
        <v>95</v>
      </c>
      <c r="D189" s="53">
        <v>891</v>
      </c>
      <c r="E189" s="53">
        <v>1380</v>
      </c>
      <c r="F189" s="64">
        <v>6</v>
      </c>
      <c r="G189" s="64">
        <v>2</v>
      </c>
      <c r="H189" s="63">
        <f t="shared" si="12"/>
        <v>8</v>
      </c>
      <c r="I189" s="63">
        <f>IF(D189&lt;&gt;"",D189,IFERROR(E189/(IFERROR(SUM(Sales!C:C),0))*(IFERROR(SUM(Purchases!C:C),0)),0))</f>
        <v>891</v>
      </c>
      <c r="J189" s="63">
        <f t="shared" si="9"/>
        <v>5346</v>
      </c>
      <c r="K189" s="63">
        <f t="shared" si="10"/>
        <v>1782</v>
      </c>
      <c r="L189" s="55" t="s">
        <v>1142</v>
      </c>
      <c r="M189" s="55"/>
      <c r="N189" s="55" t="s">
        <v>589</v>
      </c>
      <c r="O189" s="55"/>
      <c r="P189" s="55" t="s">
        <v>1143</v>
      </c>
      <c r="Q189" s="55"/>
      <c r="R189" s="55"/>
      <c r="S189" s="55"/>
      <c r="T189" s="55"/>
    </row>
    <row r="190" spans="1:20" ht="15" customHeight="1">
      <c r="A190" s="52" t="s">
        <v>973</v>
      </c>
      <c r="B190" s="55" t="s">
        <v>974</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1185</v>
      </c>
      <c r="M190" s="52"/>
      <c r="N190" s="47" t="s">
        <v>504</v>
      </c>
      <c r="S190" s="47"/>
      <c r="T190" s="47"/>
    </row>
    <row r="191" spans="1:20" ht="30" customHeight="1">
      <c r="A191" s="55" t="s">
        <v>975</v>
      </c>
      <c r="B191" s="52" t="s">
        <v>976</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977</v>
      </c>
      <c r="S191" s="47"/>
      <c r="T191" s="47"/>
    </row>
    <row r="192" spans="1:20" ht="15" customHeight="1">
      <c r="A192" s="52" t="s">
        <v>978</v>
      </c>
      <c r="B192" s="55" t="s">
        <v>979</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1086</v>
      </c>
      <c r="M192" s="52"/>
      <c r="N192" s="47" t="s">
        <v>589</v>
      </c>
      <c r="P192" s="47" t="s">
        <v>1087</v>
      </c>
      <c r="S192" s="47"/>
      <c r="T192" s="47"/>
    </row>
    <row r="193" spans="1:20" ht="15" customHeight="1">
      <c r="A193" s="55" t="s">
        <v>980</v>
      </c>
      <c r="B193" s="52" t="s">
        <v>981</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982</v>
      </c>
      <c r="S193" s="47"/>
      <c r="T193" s="47"/>
    </row>
    <row r="194" spans="1:20" ht="15" customHeight="1">
      <c r="A194" s="52" t="s">
        <v>983</v>
      </c>
      <c r="B194" s="52" t="s">
        <v>984</v>
      </c>
      <c r="C194" s="52" t="s">
        <v>95</v>
      </c>
      <c r="D194" s="53">
        <v>790</v>
      </c>
      <c r="E194" s="53">
        <v>1250</v>
      </c>
      <c r="F194" s="66">
        <v>0</v>
      </c>
      <c r="G194" s="66">
        <v>3</v>
      </c>
      <c r="H194" s="65">
        <f t="shared" si="12"/>
        <v>3</v>
      </c>
      <c r="I194" s="65">
        <f>IF(D194&lt;&gt;"",D194,IFERROR(E194/(IFERROR(SUM(Sales!C:C),0))*(IFERROR(SUM(Purchases!C:C),0)),0))</f>
        <v>790</v>
      </c>
      <c r="J194" s="65">
        <f t="shared" ref="J194:J226" si="13">F194*I194</f>
        <v>0</v>
      </c>
      <c r="K194" s="65">
        <f t="shared" ref="K194:K226" si="14">IF(LEN(G194)=0,0,G194)*I194</f>
        <v>2370</v>
      </c>
      <c r="L194" s="52"/>
      <c r="M194" s="52"/>
      <c r="N194" s="47" t="s">
        <v>678</v>
      </c>
      <c r="P194" s="47" t="s">
        <v>985</v>
      </c>
      <c r="S194" s="47"/>
      <c r="T194" s="47"/>
    </row>
    <row r="195" spans="1:20" ht="15" customHeight="1">
      <c r="A195" s="55" t="s">
        <v>986</v>
      </c>
      <c r="B195" s="55" t="s">
        <v>987</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988</v>
      </c>
      <c r="M195" s="55"/>
      <c r="N195" s="47" t="s">
        <v>589</v>
      </c>
      <c r="P195" s="47" t="s">
        <v>989</v>
      </c>
      <c r="S195" s="47"/>
      <c r="T195" s="47"/>
    </row>
    <row r="196" spans="1:20" ht="15" customHeight="1">
      <c r="A196" s="52" t="s">
        <v>990</v>
      </c>
      <c r="B196" s="52" t="s">
        <v>991</v>
      </c>
      <c r="C196" s="52" t="s">
        <v>95</v>
      </c>
      <c r="D196" s="53">
        <v>797</v>
      </c>
      <c r="E196" s="53">
        <v>1250</v>
      </c>
      <c r="F196" s="66">
        <v>2</v>
      </c>
      <c r="G196" s="66">
        <v>5</v>
      </c>
      <c r="H196" s="65">
        <f t="shared" si="12"/>
        <v>7</v>
      </c>
      <c r="I196" s="65">
        <f>IF(D196&lt;&gt;"",D196,IFERROR(E196/(IFERROR(SUM(Sales!C:C),0))*(IFERROR(SUM(Purchases!C:C),0)),0))</f>
        <v>797</v>
      </c>
      <c r="J196" s="65">
        <f t="shared" si="13"/>
        <v>1594</v>
      </c>
      <c r="K196" s="65">
        <f t="shared" si="14"/>
        <v>3985</v>
      </c>
      <c r="L196" s="52" t="s">
        <v>1152</v>
      </c>
      <c r="M196" s="52"/>
      <c r="N196" s="47" t="s">
        <v>589</v>
      </c>
      <c r="P196" s="47" t="s">
        <v>1153</v>
      </c>
      <c r="S196" s="47"/>
      <c r="T196" s="47"/>
    </row>
    <row r="197" spans="1:20" ht="15" customHeight="1">
      <c r="A197" s="55" t="s">
        <v>992</v>
      </c>
      <c r="B197" s="55" t="s">
        <v>993</v>
      </c>
      <c r="C197" s="55" t="s">
        <v>95</v>
      </c>
      <c r="D197" s="56">
        <v>772</v>
      </c>
      <c r="E197" s="56">
        <v>1250</v>
      </c>
      <c r="F197" s="64">
        <v>0</v>
      </c>
      <c r="G197" s="64">
        <v>4</v>
      </c>
      <c r="H197" s="63">
        <f t="shared" si="12"/>
        <v>4</v>
      </c>
      <c r="I197" s="63">
        <f>IF(D197&lt;&gt;"",D197,IFERROR(E197/(IFERROR(SUM(Sales!C:C),0))*(IFERROR(SUM(Purchases!C:C),0)),0))</f>
        <v>772</v>
      </c>
      <c r="J197" s="63">
        <f t="shared" si="13"/>
        <v>0</v>
      </c>
      <c r="K197" s="63">
        <f t="shared" si="14"/>
        <v>3088</v>
      </c>
      <c r="L197" s="55"/>
      <c r="M197" s="55"/>
      <c r="N197" s="47" t="s">
        <v>678</v>
      </c>
      <c r="P197" s="47" t="s">
        <v>994</v>
      </c>
      <c r="S197" s="47"/>
      <c r="T197" s="47"/>
    </row>
    <row r="198" spans="1:20" ht="15" customHeight="1">
      <c r="A198" s="52" t="s">
        <v>995</v>
      </c>
      <c r="B198" s="52" t="s">
        <v>996</v>
      </c>
      <c r="C198" s="52" t="s">
        <v>95</v>
      </c>
      <c r="D198" s="53">
        <v>772</v>
      </c>
      <c r="E198" s="53">
        <v>1250</v>
      </c>
      <c r="F198" s="66">
        <v>0</v>
      </c>
      <c r="G198" s="66">
        <v>1</v>
      </c>
      <c r="H198" s="65">
        <f t="shared" si="12"/>
        <v>1</v>
      </c>
      <c r="I198" s="65">
        <f>IF(D198&lt;&gt;"",D198,IFERROR(E198/(IFERROR(SUM(Sales!C:C),0))*(IFERROR(SUM(Purchases!C:C),0)),0))</f>
        <v>772</v>
      </c>
      <c r="J198" s="65">
        <f t="shared" si="13"/>
        <v>0</v>
      </c>
      <c r="K198" s="65">
        <f t="shared" si="14"/>
        <v>772</v>
      </c>
      <c r="L198" s="52"/>
      <c r="M198" s="52"/>
      <c r="N198" s="47" t="s">
        <v>678</v>
      </c>
      <c r="P198" s="47" t="s">
        <v>997</v>
      </c>
      <c r="S198" s="47"/>
      <c r="T198" s="47"/>
    </row>
    <row r="199" spans="1:20" ht="15" customHeight="1">
      <c r="A199" s="55" t="s">
        <v>998</v>
      </c>
      <c r="B199" s="52" t="s">
        <v>999</v>
      </c>
      <c r="C199" s="52" t="s">
        <v>95</v>
      </c>
      <c r="D199" s="53">
        <v>467</v>
      </c>
      <c r="E199" s="53">
        <v>850</v>
      </c>
      <c r="F199" s="64">
        <v>1</v>
      </c>
      <c r="G199" s="64">
        <v>3</v>
      </c>
      <c r="H199" s="63">
        <f t="shared" si="12"/>
        <v>4</v>
      </c>
      <c r="I199" s="63">
        <f>IF(D199&lt;&gt;"",D199,IFERROR(E199/(IFERROR(SUM(Sales!C:C),0))*(IFERROR(SUM(Purchases!C:C),0)),0))</f>
        <v>467</v>
      </c>
      <c r="J199" s="63">
        <f t="shared" si="13"/>
        <v>467</v>
      </c>
      <c r="K199" s="63">
        <f t="shared" si="14"/>
        <v>1401</v>
      </c>
      <c r="L199" s="55" t="s">
        <v>1202</v>
      </c>
      <c r="M199" s="55"/>
      <c r="N199" s="47" t="s">
        <v>589</v>
      </c>
      <c r="P199" s="47" t="s">
        <v>1203</v>
      </c>
      <c r="S199" s="47"/>
      <c r="T199" s="47"/>
    </row>
    <row r="200" spans="1:20" ht="30" customHeight="1">
      <c r="A200" s="52" t="s">
        <v>1000</v>
      </c>
      <c r="B200" s="55" t="s">
        <v>1001</v>
      </c>
      <c r="C200" s="55" t="s">
        <v>95</v>
      </c>
      <c r="D200" s="56">
        <v>866</v>
      </c>
      <c r="E200" s="56">
        <v>1350</v>
      </c>
      <c r="F200" s="66">
        <v>2</v>
      </c>
      <c r="G200" s="66">
        <v>3</v>
      </c>
      <c r="H200" s="65">
        <f t="shared" si="12"/>
        <v>5</v>
      </c>
      <c r="I200" s="65">
        <f>IF(D200&lt;&gt;"",D200,IFERROR(E200/(IFERROR(SUM(Sales!C:C),0))*(IFERROR(SUM(Purchases!C:C),0)),0))</f>
        <v>866</v>
      </c>
      <c r="J200" s="65">
        <f t="shared" si="13"/>
        <v>1732</v>
      </c>
      <c r="K200" s="65">
        <f t="shared" si="14"/>
        <v>2598</v>
      </c>
      <c r="L200" s="52" t="s">
        <v>1090</v>
      </c>
      <c r="M200" s="52"/>
      <c r="N200" s="47" t="s">
        <v>589</v>
      </c>
      <c r="P200" s="47" t="s">
        <v>1091</v>
      </c>
      <c r="S200" s="47"/>
      <c r="T200" s="47"/>
    </row>
    <row r="201" spans="1:20" ht="15" customHeight="1">
      <c r="A201" s="55" t="s">
        <v>1002</v>
      </c>
      <c r="B201" s="52" t="s">
        <v>1003</v>
      </c>
      <c r="C201" s="52" t="s">
        <v>95</v>
      </c>
      <c r="D201" s="53">
        <v>724</v>
      </c>
      <c r="E201" s="53">
        <v>1250</v>
      </c>
      <c r="F201" s="64">
        <v>1</v>
      </c>
      <c r="G201" s="64">
        <v>1</v>
      </c>
      <c r="H201" s="63">
        <f t="shared" si="12"/>
        <v>2</v>
      </c>
      <c r="I201" s="63">
        <f>IF(D201&lt;&gt;"",D201,IFERROR(E201/(IFERROR(SUM(Sales!C:C),0))*(IFERROR(SUM(Purchases!C:C),0)),0))</f>
        <v>724</v>
      </c>
      <c r="J201" s="63">
        <f t="shared" si="13"/>
        <v>724</v>
      </c>
      <c r="K201" s="63">
        <f t="shared" si="14"/>
        <v>724</v>
      </c>
      <c r="L201" s="55" t="s">
        <v>1004</v>
      </c>
      <c r="M201" s="55"/>
      <c r="N201" s="47" t="s">
        <v>589</v>
      </c>
      <c r="P201" s="47" t="s">
        <v>1005</v>
      </c>
      <c r="S201" s="47"/>
      <c r="T201" s="47"/>
    </row>
    <row r="202" spans="1:20" ht="15" customHeight="1">
      <c r="A202" s="52" t="s">
        <v>1006</v>
      </c>
      <c r="B202" s="55" t="s">
        <v>1007</v>
      </c>
      <c r="C202" s="55" t="s">
        <v>95</v>
      </c>
      <c r="D202" s="56">
        <v>940</v>
      </c>
      <c r="E202" s="56">
        <v>1500</v>
      </c>
      <c r="F202" s="66">
        <v>5</v>
      </c>
      <c r="G202" s="66">
        <v>1</v>
      </c>
      <c r="H202" s="65">
        <f t="shared" si="12"/>
        <v>6</v>
      </c>
      <c r="I202" s="65">
        <f>IF(D202&lt;&gt;"",D202,IFERROR(E202/(IFERROR(SUM(Sales!C:C),0))*(IFERROR(SUM(Purchases!C:C),0)),0))</f>
        <v>940</v>
      </c>
      <c r="J202" s="65">
        <f t="shared" si="13"/>
        <v>4700</v>
      </c>
      <c r="K202" s="65">
        <f t="shared" si="14"/>
        <v>940</v>
      </c>
      <c r="L202" s="52" t="s">
        <v>1167</v>
      </c>
      <c r="M202" s="52"/>
      <c r="N202" s="47" t="s">
        <v>589</v>
      </c>
      <c r="P202" s="47" t="s">
        <v>1168</v>
      </c>
      <c r="S202" s="47"/>
      <c r="T202" s="47"/>
    </row>
    <row r="203" spans="1:20" ht="15" customHeight="1">
      <c r="A203" s="55" t="s">
        <v>1008</v>
      </c>
      <c r="B203" s="52" t="s">
        <v>1009</v>
      </c>
      <c r="C203" s="52" t="s">
        <v>95</v>
      </c>
      <c r="D203" s="53">
        <v>488.25</v>
      </c>
      <c r="E203" s="53">
        <v>699</v>
      </c>
      <c r="F203" s="64">
        <v>2</v>
      </c>
      <c r="G203" s="64">
        <v>0</v>
      </c>
      <c r="H203" s="63">
        <f t="shared" si="12"/>
        <v>2</v>
      </c>
      <c r="I203" s="63">
        <f>IF(D203&lt;&gt;"",D203,IFERROR(E203/(IFERROR(SUM(Sales!C:C),0))*(IFERROR(SUM(Purchases!C:C),0)),0))</f>
        <v>488.25</v>
      </c>
      <c r="J203" s="63">
        <f t="shared" si="13"/>
        <v>976.5</v>
      </c>
      <c r="K203" s="63">
        <f t="shared" si="14"/>
        <v>0</v>
      </c>
      <c r="L203" s="55" t="s">
        <v>1010</v>
      </c>
      <c r="M203" s="55"/>
      <c r="N203" s="47" t="s">
        <v>504</v>
      </c>
      <c r="P203" s="47" t="s">
        <v>1011</v>
      </c>
      <c r="S203" s="47"/>
      <c r="T203" s="47"/>
    </row>
    <row r="204" spans="1:20" ht="15" customHeight="1">
      <c r="A204" s="52" t="s">
        <v>1012</v>
      </c>
      <c r="B204" s="52" t="s">
        <v>1013</v>
      </c>
      <c r="C204" s="52" t="s">
        <v>95</v>
      </c>
      <c r="D204" s="53">
        <v>880</v>
      </c>
      <c r="E204" s="53">
        <v>1350</v>
      </c>
      <c r="F204" s="66">
        <v>2</v>
      </c>
      <c r="G204" s="66">
        <v>1</v>
      </c>
      <c r="H204" s="65">
        <f t="shared" si="12"/>
        <v>3</v>
      </c>
      <c r="I204" s="65">
        <f>IF(D204&lt;&gt;"",D204,IFERROR(E204/(IFERROR(SUM(Sales!C:C),0))*(IFERROR(SUM(Purchases!C:C),0)),0))</f>
        <v>880</v>
      </c>
      <c r="J204" s="65">
        <f t="shared" si="13"/>
        <v>1760</v>
      </c>
      <c r="K204" s="65">
        <f t="shared" si="14"/>
        <v>880</v>
      </c>
      <c r="L204" s="52" t="s">
        <v>1121</v>
      </c>
      <c r="M204" s="52"/>
      <c r="N204" s="47" t="s">
        <v>589</v>
      </c>
      <c r="P204" s="47" t="s">
        <v>1120</v>
      </c>
      <c r="S204" s="47"/>
      <c r="T204" s="47"/>
    </row>
    <row r="205" spans="1:20" ht="15" customHeight="1">
      <c r="A205" s="55" t="s">
        <v>1014</v>
      </c>
      <c r="B205" s="55" t="s">
        <v>1015</v>
      </c>
      <c r="C205" s="55" t="s">
        <v>95</v>
      </c>
      <c r="D205" s="56">
        <v>761</v>
      </c>
      <c r="E205" s="56">
        <v>1250</v>
      </c>
      <c r="F205" s="64">
        <v>1</v>
      </c>
      <c r="G205" s="64">
        <v>2</v>
      </c>
      <c r="H205" s="63">
        <f t="shared" si="12"/>
        <v>3</v>
      </c>
      <c r="I205" s="63">
        <f>IF(D205&lt;&gt;"",D205,IFERROR(E205/(IFERROR(SUM(Sales!C:C),0))*(IFERROR(SUM(Purchases!C:C),0)),0))</f>
        <v>761</v>
      </c>
      <c r="J205" s="63">
        <f t="shared" si="13"/>
        <v>761</v>
      </c>
      <c r="K205" s="63">
        <f t="shared" si="14"/>
        <v>1522</v>
      </c>
      <c r="L205" s="55" t="s">
        <v>1016</v>
      </c>
      <c r="M205" s="55"/>
      <c r="N205" s="47" t="s">
        <v>678</v>
      </c>
      <c r="P205" s="47" t="s">
        <v>1017</v>
      </c>
      <c r="S205" s="47"/>
      <c r="T205" s="47"/>
    </row>
    <row r="206" spans="1:20" ht="15" customHeight="1">
      <c r="A206" s="52" t="s">
        <v>1018</v>
      </c>
      <c r="B206" s="52" t="s">
        <v>1019</v>
      </c>
      <c r="C206" s="52" t="s">
        <v>95</v>
      </c>
      <c r="D206" s="53">
        <v>761</v>
      </c>
      <c r="E206" s="53">
        <v>1250</v>
      </c>
      <c r="F206" s="66">
        <v>1</v>
      </c>
      <c r="G206" s="66">
        <v>0</v>
      </c>
      <c r="H206" s="65">
        <f t="shared" si="12"/>
        <v>1</v>
      </c>
      <c r="I206" s="65">
        <f>IF(D206&lt;&gt;"",D206,IFERROR(E206/(IFERROR(SUM(Sales!C:C),0))*(IFERROR(SUM(Purchases!C:C),0)),0))</f>
        <v>761</v>
      </c>
      <c r="J206" s="65">
        <f t="shared" si="13"/>
        <v>761</v>
      </c>
      <c r="K206" s="65">
        <f t="shared" si="14"/>
        <v>0</v>
      </c>
      <c r="L206" s="52" t="s">
        <v>220</v>
      </c>
      <c r="M206" s="52"/>
      <c r="N206" s="47" t="s">
        <v>504</v>
      </c>
      <c r="P206" s="47" t="s">
        <v>1020</v>
      </c>
      <c r="S206" s="47"/>
      <c r="T206" s="47"/>
    </row>
    <row r="207" spans="1:20" ht="15" customHeight="1">
      <c r="A207" s="55" t="s">
        <v>1021</v>
      </c>
      <c r="B207" s="55" t="s">
        <v>1022</v>
      </c>
      <c r="C207" s="55" t="s">
        <v>95</v>
      </c>
      <c r="D207" s="56">
        <v>828</v>
      </c>
      <c r="E207" s="56">
        <v>1250</v>
      </c>
      <c r="F207" s="64">
        <v>1</v>
      </c>
      <c r="G207" s="64">
        <v>4</v>
      </c>
      <c r="H207" s="63">
        <f t="shared" si="12"/>
        <v>5</v>
      </c>
      <c r="I207" s="63">
        <f>IF(D207&lt;&gt;"",D207,IFERROR(E207/(IFERROR(SUM(Sales!C:C),0))*(IFERROR(SUM(Purchases!C:C),0)),0))</f>
        <v>828</v>
      </c>
      <c r="J207" s="63">
        <f t="shared" si="13"/>
        <v>828</v>
      </c>
      <c r="K207" s="63">
        <f t="shared" si="14"/>
        <v>3312</v>
      </c>
      <c r="L207" s="55" t="s">
        <v>1023</v>
      </c>
      <c r="M207" s="55"/>
      <c r="N207" s="47" t="s">
        <v>589</v>
      </c>
      <c r="P207" s="47" t="s">
        <v>1024</v>
      </c>
      <c r="S207" s="47"/>
      <c r="T207" s="47"/>
    </row>
    <row r="208" spans="1:20" ht="30" customHeight="1">
      <c r="A208" s="52" t="s">
        <v>1025</v>
      </c>
      <c r="B208" s="52" t="s">
        <v>1026</v>
      </c>
      <c r="C208" s="52" t="s">
        <v>95</v>
      </c>
      <c r="D208" s="53">
        <v>782</v>
      </c>
      <c r="E208" s="53">
        <v>1250</v>
      </c>
      <c r="F208" s="66">
        <v>0</v>
      </c>
      <c r="G208" s="66">
        <v>4</v>
      </c>
      <c r="H208" s="65">
        <f t="shared" si="12"/>
        <v>4</v>
      </c>
      <c r="I208" s="65">
        <f>IF(D208&lt;&gt;"",D208,IFERROR(E208/(IFERROR(SUM(Sales!C:C),0))*(IFERROR(SUM(Purchases!C:C),0)),0))</f>
        <v>782</v>
      </c>
      <c r="J208" s="65">
        <f t="shared" si="13"/>
        <v>0</v>
      </c>
      <c r="K208" s="65">
        <f t="shared" si="14"/>
        <v>3128</v>
      </c>
      <c r="L208" s="52"/>
      <c r="M208" s="52"/>
      <c r="N208" s="47" t="s">
        <v>678</v>
      </c>
      <c r="P208" s="47" t="s">
        <v>1027</v>
      </c>
      <c r="S208" s="47"/>
      <c r="T208" s="47"/>
    </row>
    <row r="209" spans="1:20" ht="15" customHeight="1">
      <c r="A209" s="55" t="s">
        <v>1028</v>
      </c>
      <c r="B209" s="52" t="s">
        <v>1029</v>
      </c>
      <c r="C209" s="52" t="s">
        <v>95</v>
      </c>
      <c r="D209" s="53">
        <v>982</v>
      </c>
      <c r="E209" s="53">
        <v>1550</v>
      </c>
      <c r="F209" s="64">
        <v>1</v>
      </c>
      <c r="G209" s="64">
        <v>1</v>
      </c>
      <c r="H209" s="63">
        <f t="shared" si="12"/>
        <v>2</v>
      </c>
      <c r="I209" s="63">
        <f>IF(D209&lt;&gt;"",D209,IFERROR(E209/(IFERROR(SUM(Sales!C:C),0))*(IFERROR(SUM(Purchases!C:C),0)),0))</f>
        <v>982</v>
      </c>
      <c r="J209" s="63">
        <f t="shared" si="13"/>
        <v>982</v>
      </c>
      <c r="K209" s="63">
        <f t="shared" si="14"/>
        <v>982</v>
      </c>
      <c r="L209" s="55" t="s">
        <v>1089</v>
      </c>
      <c r="M209" s="55"/>
      <c r="N209" s="47" t="s">
        <v>589</v>
      </c>
      <c r="P209" s="47" t="s">
        <v>1088</v>
      </c>
      <c r="S209" s="47"/>
      <c r="T209" s="47"/>
    </row>
    <row r="210" spans="1:20" ht="15" customHeight="1">
      <c r="A210" s="52" t="s">
        <v>1030</v>
      </c>
      <c r="B210" s="55" t="s">
        <v>1031</v>
      </c>
      <c r="C210" s="55" t="s">
        <v>95</v>
      </c>
      <c r="D210" s="56">
        <v>891</v>
      </c>
      <c r="E210" s="56">
        <v>1350</v>
      </c>
      <c r="F210" s="66">
        <v>0</v>
      </c>
      <c r="G210" s="66">
        <v>1</v>
      </c>
      <c r="H210" s="65">
        <f t="shared" si="12"/>
        <v>1</v>
      </c>
      <c r="I210" s="65">
        <f>IF(D210&lt;&gt;"",D210,IFERROR(E210/(IFERROR(SUM(Sales!C:C),0))*(IFERROR(SUM(Purchases!C:C),0)),0))</f>
        <v>891</v>
      </c>
      <c r="J210" s="65">
        <f t="shared" si="13"/>
        <v>0</v>
      </c>
      <c r="K210" s="65">
        <f t="shared" si="14"/>
        <v>891</v>
      </c>
      <c r="L210" s="52"/>
      <c r="M210" s="52"/>
      <c r="N210" s="47" t="s">
        <v>678</v>
      </c>
      <c r="P210" s="47" t="s">
        <v>1032</v>
      </c>
      <c r="S210" s="47"/>
      <c r="T210" s="47"/>
    </row>
    <row r="211" spans="1:20" ht="15" customHeight="1">
      <c r="A211" s="55" t="s">
        <v>1033</v>
      </c>
      <c r="B211" s="52" t="s">
        <v>901</v>
      </c>
      <c r="C211" s="52" t="s">
        <v>95</v>
      </c>
      <c r="D211" s="53">
        <v>922</v>
      </c>
      <c r="E211" s="53">
        <v>1499</v>
      </c>
      <c r="F211" s="64">
        <v>0</v>
      </c>
      <c r="G211" s="64">
        <v>2</v>
      </c>
      <c r="H211" s="63">
        <f t="shared" si="12"/>
        <v>2</v>
      </c>
      <c r="I211" s="63">
        <f>IF(D211&lt;&gt;"",D211,IFERROR(E211/(IFERROR(SUM(Sales!C:C),0))*(IFERROR(SUM(Purchases!C:C),0)),0))</f>
        <v>922</v>
      </c>
      <c r="J211" s="63">
        <f t="shared" si="13"/>
        <v>0</v>
      </c>
      <c r="K211" s="63">
        <f t="shared" si="14"/>
        <v>1844</v>
      </c>
      <c r="L211" s="55"/>
      <c r="M211" s="55"/>
      <c r="N211" s="47" t="s">
        <v>678</v>
      </c>
      <c r="P211" s="47" t="s">
        <v>1034</v>
      </c>
      <c r="S211" s="47"/>
      <c r="T211" s="47"/>
    </row>
    <row r="212" spans="1:20" ht="15" customHeight="1">
      <c r="A212" s="52" t="s">
        <v>1035</v>
      </c>
      <c r="B212" s="55" t="s">
        <v>1108</v>
      </c>
      <c r="C212" s="55" t="s">
        <v>95</v>
      </c>
      <c r="D212" s="56">
        <v>891.5</v>
      </c>
      <c r="E212" s="56">
        <v>1380</v>
      </c>
      <c r="F212" s="66">
        <v>17</v>
      </c>
      <c r="G212" s="66">
        <v>15</v>
      </c>
      <c r="H212" s="65">
        <f t="shared" si="12"/>
        <v>32</v>
      </c>
      <c r="I212" s="65">
        <f>IF(D212&lt;&gt;"",D212,IFERROR(E212/(IFERROR(SUM(Sales!C:C),0))*(IFERROR(SUM(Purchases!C:C),0)),0))</f>
        <v>891.5</v>
      </c>
      <c r="J212" s="65">
        <f t="shared" si="13"/>
        <v>15155.5</v>
      </c>
      <c r="K212" s="65">
        <f t="shared" si="14"/>
        <v>13372.5</v>
      </c>
      <c r="L212" s="52" t="s">
        <v>1269</v>
      </c>
      <c r="M212" s="52"/>
      <c r="N212" s="47" t="s">
        <v>589</v>
      </c>
      <c r="S212" s="47"/>
      <c r="T212" s="47"/>
    </row>
    <row r="213" spans="1:20" ht="15" customHeight="1">
      <c r="A213" s="55" t="s">
        <v>1036</v>
      </c>
      <c r="B213" s="52" t="s">
        <v>1151</v>
      </c>
      <c r="C213" s="52" t="s">
        <v>95</v>
      </c>
      <c r="D213" s="53">
        <v>555</v>
      </c>
      <c r="E213" s="53">
        <v>850</v>
      </c>
      <c r="F213" s="64">
        <v>3</v>
      </c>
      <c r="G213" s="64">
        <v>6</v>
      </c>
      <c r="H213" s="63">
        <f t="shared" si="12"/>
        <v>9</v>
      </c>
      <c r="I213" s="63">
        <f>IF(D213&lt;&gt;"",D213,IFERROR(E213/(IFERROR(SUM(Sales!C:C),0))*(IFERROR(SUM(Purchases!C:C),0)),0))</f>
        <v>555</v>
      </c>
      <c r="J213" s="63">
        <f t="shared" si="13"/>
        <v>1665</v>
      </c>
      <c r="K213" s="63">
        <f t="shared" si="14"/>
        <v>3330</v>
      </c>
      <c r="L213" s="55" t="s">
        <v>1199</v>
      </c>
      <c r="M213" s="55"/>
      <c r="N213" s="47" t="s">
        <v>589</v>
      </c>
      <c r="P213" s="47" t="s">
        <v>1200</v>
      </c>
      <c r="S213" s="47"/>
      <c r="T213" s="47"/>
    </row>
    <row r="214" spans="1:20" ht="15" customHeight="1">
      <c r="A214" s="52" t="s">
        <v>1037</v>
      </c>
      <c r="B214" s="52" t="s">
        <v>1156</v>
      </c>
      <c r="C214" s="52" t="s">
        <v>95</v>
      </c>
      <c r="D214" s="53">
        <v>835</v>
      </c>
      <c r="E214" s="53">
        <v>1250</v>
      </c>
      <c r="F214" s="66">
        <v>0</v>
      </c>
      <c r="G214" s="66">
        <v>5</v>
      </c>
      <c r="H214" s="65">
        <f t="shared" si="12"/>
        <v>5</v>
      </c>
      <c r="I214" s="65">
        <f>IF(D214&lt;&gt;"",D214,IFERROR(E214/(IFERROR(SUM(Sales!C:C),0))*(IFERROR(SUM(Purchases!C:C),0)),0))</f>
        <v>835</v>
      </c>
      <c r="J214" s="65">
        <f t="shared" si="13"/>
        <v>0</v>
      </c>
      <c r="K214" s="65">
        <f t="shared" si="14"/>
        <v>4175</v>
      </c>
      <c r="L214" s="52"/>
      <c r="M214" s="52"/>
      <c r="N214" s="47" t="s">
        <v>678</v>
      </c>
      <c r="P214" s="47" t="s">
        <v>1157</v>
      </c>
      <c r="S214" s="47"/>
      <c r="T214" s="47"/>
    </row>
    <row r="215" spans="1:20" ht="15" customHeight="1">
      <c r="A215" s="55" t="s">
        <v>1038</v>
      </c>
      <c r="B215" s="55" t="s">
        <v>1158</v>
      </c>
      <c r="C215" s="55" t="s">
        <v>95</v>
      </c>
      <c r="D215" s="56">
        <v>992</v>
      </c>
      <c r="E215" s="56">
        <v>1450</v>
      </c>
      <c r="F215" s="64">
        <v>2</v>
      </c>
      <c r="G215" s="64">
        <v>3</v>
      </c>
      <c r="H215" s="63">
        <f t="shared" si="12"/>
        <v>5</v>
      </c>
      <c r="I215" s="63">
        <f>IF(D215&lt;&gt;"",D215,IFERROR(E215/(IFERROR(SUM(Sales!C:C),0))*(IFERROR(SUM(Purchases!C:C),0)),0))</f>
        <v>992</v>
      </c>
      <c r="J215" s="63">
        <f t="shared" si="13"/>
        <v>1984</v>
      </c>
      <c r="K215" s="63">
        <f t="shared" si="14"/>
        <v>2976</v>
      </c>
      <c r="L215" s="55" t="s">
        <v>1257</v>
      </c>
      <c r="M215" s="55"/>
      <c r="N215" s="47" t="s">
        <v>589</v>
      </c>
      <c r="P215" s="47" t="s">
        <v>1159</v>
      </c>
      <c r="S215" s="47"/>
      <c r="T215" s="47"/>
    </row>
    <row r="216" spans="1:20" ht="30">
      <c r="A216" s="52" t="s">
        <v>1039</v>
      </c>
      <c r="B216" s="52" t="s">
        <v>999</v>
      </c>
      <c r="C216" s="52" t="s">
        <v>95</v>
      </c>
      <c r="D216" s="53">
        <v>576</v>
      </c>
      <c r="E216" s="53">
        <v>899</v>
      </c>
      <c r="F216" s="66">
        <v>1</v>
      </c>
      <c r="G216" s="66">
        <v>5</v>
      </c>
      <c r="H216" s="65">
        <f t="shared" si="12"/>
        <v>6</v>
      </c>
      <c r="I216" s="65">
        <f>IF(D216&lt;&gt;"",D216,IFERROR(E216/(IFERROR(SUM(Sales!C:C),0))*(IFERROR(SUM(Purchases!C:C),0)),0))</f>
        <v>576</v>
      </c>
      <c r="J216" s="65">
        <f t="shared" si="13"/>
        <v>576</v>
      </c>
      <c r="K216" s="65">
        <f t="shared" si="14"/>
        <v>2880</v>
      </c>
      <c r="L216" s="52" t="s">
        <v>1197</v>
      </c>
      <c r="M216" s="52"/>
      <c r="N216" s="47" t="s">
        <v>589</v>
      </c>
      <c r="P216" s="47" t="s">
        <v>1198</v>
      </c>
      <c r="S216" s="47"/>
      <c r="T216" s="47"/>
    </row>
    <row r="217" spans="1:20" ht="15" customHeight="1">
      <c r="A217" s="55" t="s">
        <v>1040</v>
      </c>
      <c r="B217" s="55" t="s">
        <v>1160</v>
      </c>
      <c r="C217" s="55" t="s">
        <v>95</v>
      </c>
      <c r="D217" s="56">
        <v>1023</v>
      </c>
      <c r="E217" s="56">
        <v>1550</v>
      </c>
      <c r="F217" s="64">
        <v>0</v>
      </c>
      <c r="G217" s="64">
        <v>2</v>
      </c>
      <c r="H217" s="63">
        <f t="shared" si="12"/>
        <v>2</v>
      </c>
      <c r="I217" s="63">
        <f>IF(D217&lt;&gt;"",D217,IFERROR(E217/(IFERROR(SUM(Sales!C:C),0))*(IFERROR(SUM(Purchases!C:C),0)),0))</f>
        <v>1023</v>
      </c>
      <c r="J217" s="63">
        <f t="shared" si="13"/>
        <v>0</v>
      </c>
      <c r="K217" s="63">
        <f t="shared" si="14"/>
        <v>2046</v>
      </c>
      <c r="L217" s="55"/>
      <c r="M217" s="55"/>
      <c r="N217" s="47" t="s">
        <v>678</v>
      </c>
      <c r="P217" s="47" t="s">
        <v>1161</v>
      </c>
      <c r="S217" s="47"/>
      <c r="T217" s="47"/>
    </row>
    <row r="218" spans="1:20" ht="15">
      <c r="A218" s="52" t="s">
        <v>1041</v>
      </c>
      <c r="B218" s="52" t="s">
        <v>1162</v>
      </c>
      <c r="C218" s="52" t="s">
        <v>95</v>
      </c>
      <c r="D218" s="53">
        <v>414</v>
      </c>
      <c r="E218" s="53">
        <v>699</v>
      </c>
      <c r="F218" s="66">
        <v>1</v>
      </c>
      <c r="G218" s="66">
        <v>2</v>
      </c>
      <c r="H218" s="65">
        <f t="shared" si="12"/>
        <v>3</v>
      </c>
      <c r="I218" s="65">
        <f>IF(D218&lt;&gt;"",D218,IFERROR(E218/(IFERROR(SUM(Sales!C:C),0))*(IFERROR(SUM(Purchases!C:C),0)),0))</f>
        <v>414</v>
      </c>
      <c r="J218" s="65">
        <f t="shared" si="13"/>
        <v>414</v>
      </c>
      <c r="K218" s="65">
        <f t="shared" si="14"/>
        <v>828</v>
      </c>
      <c r="L218" s="52" t="s">
        <v>1195</v>
      </c>
      <c r="M218" s="52"/>
      <c r="N218" s="47" t="s">
        <v>589</v>
      </c>
      <c r="P218" s="47" t="s">
        <v>1196</v>
      </c>
      <c r="S218" s="47"/>
      <c r="T218" s="47"/>
    </row>
    <row r="219" spans="1:20" ht="15" customHeight="1">
      <c r="A219" s="55" t="s">
        <v>1042</v>
      </c>
      <c r="B219" s="55" t="s">
        <v>1163</v>
      </c>
      <c r="C219" s="55" t="s">
        <v>95</v>
      </c>
      <c r="D219" s="56">
        <v>761</v>
      </c>
      <c r="E219" s="56">
        <v>1150</v>
      </c>
      <c r="F219" s="64">
        <v>0</v>
      </c>
      <c r="G219" s="64">
        <v>3</v>
      </c>
      <c r="H219" s="63">
        <f t="shared" si="12"/>
        <v>3</v>
      </c>
      <c r="I219" s="63">
        <f>IF(D219&lt;&gt;"",D219,IFERROR(E219/(IFERROR(SUM(Sales!C:C),0))*(IFERROR(SUM(Purchases!C:C),0)),0))</f>
        <v>761</v>
      </c>
      <c r="J219" s="63">
        <f t="shared" si="13"/>
        <v>0</v>
      </c>
      <c r="K219" s="63">
        <f t="shared" si="14"/>
        <v>2283</v>
      </c>
      <c r="L219" s="55" t="s">
        <v>1207</v>
      </c>
      <c r="M219" s="55"/>
      <c r="N219" s="47" t="s">
        <v>678</v>
      </c>
      <c r="P219" s="47" t="s">
        <v>1206</v>
      </c>
      <c r="S219" s="47"/>
      <c r="T219" s="47"/>
    </row>
    <row r="220" spans="1:20" ht="15">
      <c r="A220" s="52" t="s">
        <v>1043</v>
      </c>
      <c r="B220" s="52" t="s">
        <v>1164</v>
      </c>
      <c r="C220" s="52" t="s">
        <v>95</v>
      </c>
      <c r="D220" s="53">
        <v>761</v>
      </c>
      <c r="E220" s="53">
        <v>1150</v>
      </c>
      <c r="F220" s="66">
        <v>1</v>
      </c>
      <c r="G220" s="66">
        <v>5</v>
      </c>
      <c r="H220" s="65">
        <f t="shared" si="12"/>
        <v>6</v>
      </c>
      <c r="I220" s="65">
        <f>IF(D220&lt;&gt;"",D220,IFERROR(E220/(IFERROR(SUM(Sales!C:C),0))*(IFERROR(SUM(Purchases!C:C),0)),0))</f>
        <v>761</v>
      </c>
      <c r="J220" s="65">
        <f t="shared" si="13"/>
        <v>761</v>
      </c>
      <c r="K220" s="65">
        <f t="shared" si="14"/>
        <v>3805</v>
      </c>
      <c r="L220" s="52" t="s">
        <v>1191</v>
      </c>
      <c r="M220" s="52"/>
      <c r="N220" s="47" t="s">
        <v>589</v>
      </c>
      <c r="P220" s="47" t="s">
        <v>1192</v>
      </c>
      <c r="S220" s="47"/>
      <c r="T220" s="47"/>
    </row>
    <row r="221" spans="1:20" ht="15" customHeight="1">
      <c r="A221" s="55" t="s">
        <v>1044</v>
      </c>
      <c r="B221" s="55" t="s">
        <v>1188</v>
      </c>
      <c r="C221" s="55" t="s">
        <v>95</v>
      </c>
      <c r="D221" s="56">
        <v>870</v>
      </c>
      <c r="E221" s="56">
        <v>1380</v>
      </c>
      <c r="F221" s="64">
        <v>0</v>
      </c>
      <c r="G221" s="64">
        <v>5</v>
      </c>
      <c r="H221" s="63">
        <f t="shared" si="12"/>
        <v>5</v>
      </c>
      <c r="I221" s="63">
        <f>IF(D221&lt;&gt;"",D221,IFERROR(E221/(IFERROR(SUM(Sales!C:C),0))*(IFERROR(SUM(Purchases!C:C),0)),0))</f>
        <v>870</v>
      </c>
      <c r="J221" s="63">
        <f t="shared" si="13"/>
        <v>0</v>
      </c>
      <c r="K221" s="63">
        <f t="shared" si="14"/>
        <v>4350</v>
      </c>
      <c r="L221" s="55"/>
      <c r="M221" s="55"/>
      <c r="N221" s="47" t="s">
        <v>678</v>
      </c>
      <c r="P221" s="47" t="s">
        <v>1189</v>
      </c>
      <c r="S221" s="47"/>
      <c r="T221" s="47"/>
    </row>
    <row r="222" spans="1:20" ht="17">
      <c r="A222" s="52" t="s">
        <v>1045</v>
      </c>
      <c r="B222" s="52" t="s">
        <v>1208</v>
      </c>
      <c r="C222" s="52" t="s">
        <v>96</v>
      </c>
      <c r="D222" s="53">
        <v>835</v>
      </c>
      <c r="E222" s="53">
        <v>1250</v>
      </c>
      <c r="F222" s="66">
        <v>0</v>
      </c>
      <c r="G222" s="66">
        <v>2</v>
      </c>
      <c r="H222" s="65">
        <f t="shared" si="12"/>
        <v>2</v>
      </c>
      <c r="I222" s="65">
        <f>IF(D222&lt;&gt;"",D222,IFERROR(E222/(IFERROR(SUM(Sales!C:C),0))*(IFERROR(SUM(Purchases!C:C),0)),0))</f>
        <v>835</v>
      </c>
      <c r="J222" s="65">
        <f t="shared" si="13"/>
        <v>0</v>
      </c>
      <c r="K222" s="65">
        <f t="shared" si="14"/>
        <v>1670</v>
      </c>
      <c r="L222" s="52"/>
      <c r="M222" s="52"/>
      <c r="N222" s="47" t="s">
        <v>678</v>
      </c>
      <c r="P222" s="86" t="s">
        <v>1235</v>
      </c>
      <c r="S222" s="47"/>
      <c r="T222" s="47"/>
    </row>
    <row r="223" spans="1:20" ht="15" customHeight="1">
      <c r="A223" s="55" t="s">
        <v>1046</v>
      </c>
      <c r="B223" s="55" t="s">
        <v>1209</v>
      </c>
      <c r="C223" s="55" t="s">
        <v>95</v>
      </c>
      <c r="D223" s="56">
        <v>919</v>
      </c>
      <c r="E223" s="56">
        <v>1250</v>
      </c>
      <c r="F223" s="64">
        <v>0</v>
      </c>
      <c r="G223" s="64">
        <v>5</v>
      </c>
      <c r="H223" s="63">
        <f t="shared" si="12"/>
        <v>5</v>
      </c>
      <c r="I223" s="63">
        <f>IF(D223&lt;&gt;"",D223,IFERROR(E223/(IFERROR(SUM(Sales!C:C),0))*(IFERROR(SUM(Purchases!C:C),0)),0))</f>
        <v>919</v>
      </c>
      <c r="J223" s="63">
        <f t="shared" si="13"/>
        <v>0</v>
      </c>
      <c r="K223" s="63">
        <f t="shared" si="14"/>
        <v>4595</v>
      </c>
      <c r="L223" s="55"/>
      <c r="M223" s="55"/>
      <c r="N223" s="47" t="s">
        <v>678</v>
      </c>
      <c r="P223" s="86" t="s">
        <v>1236</v>
      </c>
      <c r="S223" s="47"/>
      <c r="T223" s="47"/>
    </row>
    <row r="224" spans="1:20" ht="15" customHeight="1">
      <c r="A224" s="52" t="s">
        <v>1047</v>
      </c>
      <c r="B224" s="52" t="s">
        <v>1210</v>
      </c>
      <c r="C224" s="52" t="s">
        <v>95</v>
      </c>
      <c r="D224" s="53">
        <v>942</v>
      </c>
      <c r="E224" s="53">
        <v>1380</v>
      </c>
      <c r="F224" s="66">
        <v>1</v>
      </c>
      <c r="G224" s="66">
        <v>1</v>
      </c>
      <c r="H224" s="65">
        <f t="shared" si="12"/>
        <v>2</v>
      </c>
      <c r="I224" s="65">
        <f>IF(D224&lt;&gt;"",D224,IFERROR(E224/(IFERROR(SUM(Sales!C:C),0))*(IFERROR(SUM(Purchases!C:C),0)),0))</f>
        <v>942</v>
      </c>
      <c r="J224" s="65">
        <f t="shared" si="13"/>
        <v>942</v>
      </c>
      <c r="K224" s="65">
        <f t="shared" si="14"/>
        <v>942</v>
      </c>
      <c r="L224" s="52" t="s">
        <v>1260</v>
      </c>
      <c r="M224" s="52"/>
      <c r="N224" s="47" t="s">
        <v>589</v>
      </c>
      <c r="P224" s="86" t="s">
        <v>1264</v>
      </c>
      <c r="S224" s="47"/>
      <c r="T224" s="47"/>
    </row>
    <row r="225" spans="1:20" ht="15" customHeight="1">
      <c r="A225" s="55" t="s">
        <v>1048</v>
      </c>
      <c r="B225" s="55" t="s">
        <v>1211</v>
      </c>
      <c r="C225" s="55" t="s">
        <v>95</v>
      </c>
      <c r="D225" s="56">
        <v>944</v>
      </c>
      <c r="E225" s="56">
        <v>1450</v>
      </c>
      <c r="F225" s="64">
        <v>0</v>
      </c>
      <c r="G225" s="64">
        <v>2</v>
      </c>
      <c r="H225" s="63">
        <f t="shared" si="12"/>
        <v>2</v>
      </c>
      <c r="I225" s="63">
        <f>IF(D225&lt;&gt;"",D225,IFERROR(E225/(IFERROR(SUM(Sales!C:C),0))*(IFERROR(SUM(Purchases!C:C),0)),0))</f>
        <v>944</v>
      </c>
      <c r="J225" s="63">
        <f t="shared" si="13"/>
        <v>0</v>
      </c>
      <c r="K225" s="63">
        <f t="shared" si="14"/>
        <v>1888</v>
      </c>
      <c r="L225" s="55"/>
      <c r="M225" s="55"/>
      <c r="N225" s="47" t="s">
        <v>678</v>
      </c>
      <c r="P225" s="86" t="s">
        <v>1237</v>
      </c>
      <c r="S225" s="47"/>
      <c r="T225" s="47"/>
    </row>
    <row r="226" spans="1:20" ht="15" customHeight="1">
      <c r="A226" s="52" t="s">
        <v>1049</v>
      </c>
      <c r="B226" s="52" t="s">
        <v>1212</v>
      </c>
      <c r="C226" s="52" t="s">
        <v>95</v>
      </c>
      <c r="D226" s="53">
        <v>940</v>
      </c>
      <c r="E226" s="53">
        <v>1500</v>
      </c>
      <c r="F226" s="66">
        <v>0</v>
      </c>
      <c r="G226" s="66">
        <v>2</v>
      </c>
      <c r="H226" s="65">
        <f t="shared" si="12"/>
        <v>2</v>
      </c>
      <c r="I226" s="65">
        <f>IF(D226&lt;&gt;"",D226,IFERROR(E226/(IFERROR(SUM(Sales!C:C),0))*(IFERROR(SUM(Purchases!C:C),0)),0))</f>
        <v>940</v>
      </c>
      <c r="J226" s="65">
        <f t="shared" si="13"/>
        <v>0</v>
      </c>
      <c r="K226" s="65">
        <f t="shared" si="14"/>
        <v>1880</v>
      </c>
      <c r="L226" s="52"/>
      <c r="M226" s="52"/>
      <c r="N226" s="47" t="s">
        <v>678</v>
      </c>
      <c r="P226" s="86" t="s">
        <v>1238</v>
      </c>
      <c r="S226" s="47"/>
      <c r="T226" s="47"/>
    </row>
    <row r="227" spans="1:20" ht="17">
      <c r="A227" s="52" t="s">
        <v>1223</v>
      </c>
      <c r="B227" s="55" t="s">
        <v>1213</v>
      </c>
      <c r="C227" s="55" t="s">
        <v>95</v>
      </c>
      <c r="D227" s="56">
        <v>446</v>
      </c>
      <c r="E227" s="56">
        <v>699</v>
      </c>
      <c r="F227" s="64">
        <v>0</v>
      </c>
      <c r="G227" s="64">
        <v>4</v>
      </c>
      <c r="H227" s="63">
        <f t="shared" ref="H227:H238" si="15">F227+IF(LEN(G227)=0,0,G227)</f>
        <v>4</v>
      </c>
      <c r="I227" s="63">
        <f>IF(D227&lt;&gt;"",D227,IFERROR(E227/(IFERROR(SUM(Sales!C:C),0))*(IFERROR(SUM(Purchases!C:C),0)),0))</f>
        <v>446</v>
      </c>
      <c r="J227" s="63">
        <f t="shared" ref="J227:J238" si="16">F227*I227</f>
        <v>0</v>
      </c>
      <c r="K227" s="63">
        <f t="shared" ref="K227:K238" si="17">IF(LEN(G227)=0,0,G227)*I227</f>
        <v>1784</v>
      </c>
      <c r="L227" s="55"/>
      <c r="M227" s="55"/>
      <c r="N227" s="47" t="s">
        <v>678</v>
      </c>
      <c r="P227" s="86" t="s">
        <v>1239</v>
      </c>
      <c r="S227" s="47"/>
      <c r="T227" s="47"/>
    </row>
    <row r="228" spans="1:20" ht="17">
      <c r="A228" s="55" t="s">
        <v>1224</v>
      </c>
      <c r="B228" s="52" t="s">
        <v>1214</v>
      </c>
      <c r="C228" s="52" t="s">
        <v>95</v>
      </c>
      <c r="D228" s="53">
        <v>688</v>
      </c>
      <c r="E228" s="53">
        <v>1250</v>
      </c>
      <c r="F228" s="66">
        <v>0</v>
      </c>
      <c r="G228" s="66">
        <v>1</v>
      </c>
      <c r="H228" s="65">
        <f t="shared" si="15"/>
        <v>1</v>
      </c>
      <c r="I228" s="65">
        <f>IF(D228&lt;&gt;"",D228,IFERROR(E228/(IFERROR(SUM(Sales!C:C),0))*(IFERROR(SUM(Purchases!C:C),0)),0))</f>
        <v>688</v>
      </c>
      <c r="J228" s="65">
        <f t="shared" si="16"/>
        <v>0</v>
      </c>
      <c r="K228" s="65">
        <f t="shared" si="17"/>
        <v>688</v>
      </c>
      <c r="L228" s="52"/>
      <c r="M228" s="52"/>
      <c r="N228" s="47" t="s">
        <v>678</v>
      </c>
      <c r="P228" s="86" t="s">
        <v>1240</v>
      </c>
      <c r="S228" s="47"/>
      <c r="T228" s="47"/>
    </row>
    <row r="229" spans="1:20" ht="17">
      <c r="A229" s="52" t="s">
        <v>1225</v>
      </c>
      <c r="B229" s="55" t="s">
        <v>1215</v>
      </c>
      <c r="C229" s="55" t="s">
        <v>95</v>
      </c>
      <c r="D229" s="56">
        <v>555</v>
      </c>
      <c r="E229" s="56">
        <v>999</v>
      </c>
      <c r="F229" s="64">
        <v>0</v>
      </c>
      <c r="G229" s="64">
        <v>6</v>
      </c>
      <c r="H229" s="63">
        <f t="shared" si="15"/>
        <v>6</v>
      </c>
      <c r="I229" s="63">
        <f>IF(D229&lt;&gt;"",D229,IFERROR(E229/(IFERROR(SUM(Sales!C:C),0))*(IFERROR(SUM(Purchases!C:C),0)),0))</f>
        <v>555</v>
      </c>
      <c r="J229" s="63">
        <f t="shared" si="16"/>
        <v>0</v>
      </c>
      <c r="K229" s="63">
        <f t="shared" si="17"/>
        <v>3330</v>
      </c>
      <c r="L229" s="55"/>
      <c r="M229" s="55"/>
      <c r="N229" s="47" t="s">
        <v>678</v>
      </c>
      <c r="P229" s="86" t="s">
        <v>1241</v>
      </c>
      <c r="S229" s="47"/>
      <c r="T229" s="47"/>
    </row>
    <row r="230" spans="1:20" ht="17">
      <c r="A230" s="55" t="s">
        <v>1226</v>
      </c>
      <c r="B230" s="52" t="s">
        <v>1216</v>
      </c>
      <c r="C230" s="52" t="s">
        <v>95</v>
      </c>
      <c r="D230" s="53">
        <v>782</v>
      </c>
      <c r="E230" s="53">
        <v>1250</v>
      </c>
      <c r="F230" s="66">
        <v>1</v>
      </c>
      <c r="G230" s="66">
        <v>2</v>
      </c>
      <c r="H230" s="65">
        <f t="shared" si="15"/>
        <v>3</v>
      </c>
      <c r="I230" s="65">
        <f>IF(D230&lt;&gt;"",D230,IFERROR(E230/(IFERROR(SUM(Sales!C:C),0))*(IFERROR(SUM(Purchases!C:C),0)),0))</f>
        <v>782</v>
      </c>
      <c r="J230" s="65">
        <f t="shared" si="16"/>
        <v>782</v>
      </c>
      <c r="K230" s="65">
        <f t="shared" si="17"/>
        <v>1564</v>
      </c>
      <c r="L230" s="52" t="s">
        <v>1263</v>
      </c>
      <c r="M230" s="52"/>
      <c r="N230" s="47" t="s">
        <v>589</v>
      </c>
      <c r="P230" s="86" t="s">
        <v>1262</v>
      </c>
      <c r="S230" s="47"/>
      <c r="T230" s="47"/>
    </row>
    <row r="231" spans="1:20" ht="17">
      <c r="A231" s="52" t="s">
        <v>1227</v>
      </c>
      <c r="B231" s="55" t="s">
        <v>1215</v>
      </c>
      <c r="C231" s="55" t="s">
        <v>95</v>
      </c>
      <c r="D231" s="56">
        <v>576</v>
      </c>
      <c r="E231" s="56">
        <v>850</v>
      </c>
      <c r="F231" s="64">
        <v>0</v>
      </c>
      <c r="G231" s="64">
        <v>4</v>
      </c>
      <c r="H231" s="63">
        <f t="shared" si="15"/>
        <v>4</v>
      </c>
      <c r="I231" s="63">
        <f>IF(D231&lt;&gt;"",D231,IFERROR(E231/(IFERROR(SUM(Sales!C:C),0))*(IFERROR(SUM(Purchases!C:C),0)),0))</f>
        <v>576</v>
      </c>
      <c r="J231" s="63">
        <f t="shared" si="16"/>
        <v>0</v>
      </c>
      <c r="K231" s="63">
        <f t="shared" si="17"/>
        <v>2304</v>
      </c>
      <c r="L231" s="55"/>
      <c r="M231" s="55"/>
      <c r="N231" s="47" t="s">
        <v>678</v>
      </c>
      <c r="P231" s="86" t="s">
        <v>1242</v>
      </c>
      <c r="S231" s="47"/>
      <c r="T231" s="47"/>
    </row>
    <row r="232" spans="1:20" ht="17">
      <c r="A232" s="52" t="s">
        <v>1228</v>
      </c>
      <c r="B232" s="52" t="s">
        <v>1217</v>
      </c>
      <c r="C232" s="52" t="s">
        <v>95</v>
      </c>
      <c r="D232" s="53">
        <v>772</v>
      </c>
      <c r="E232" s="53">
        <v>1050</v>
      </c>
      <c r="F232" s="66">
        <v>0</v>
      </c>
      <c r="G232" s="66">
        <v>1</v>
      </c>
      <c r="H232" s="65">
        <f t="shared" si="15"/>
        <v>1</v>
      </c>
      <c r="I232" s="65">
        <f>IF(D232&lt;&gt;"",D232,IFERROR(E232/(IFERROR(SUM(Sales!C:C),0))*(IFERROR(SUM(Purchases!C:C),0)),0))</f>
        <v>772</v>
      </c>
      <c r="J232" s="65">
        <f t="shared" si="16"/>
        <v>0</v>
      </c>
      <c r="K232" s="65">
        <f t="shared" si="17"/>
        <v>772</v>
      </c>
      <c r="L232" s="52"/>
      <c r="M232" s="52"/>
      <c r="N232" s="47" t="s">
        <v>678</v>
      </c>
      <c r="P232" s="86" t="s">
        <v>1189</v>
      </c>
      <c r="S232" s="47"/>
      <c r="T232" s="47"/>
    </row>
    <row r="233" spans="1:20" ht="17">
      <c r="A233" s="55" t="s">
        <v>1229</v>
      </c>
      <c r="B233" s="55" t="s">
        <v>1218</v>
      </c>
      <c r="C233" s="55" t="s">
        <v>95</v>
      </c>
      <c r="D233" s="56">
        <v>719</v>
      </c>
      <c r="E233" s="56">
        <v>1450</v>
      </c>
      <c r="F233" s="64">
        <v>1</v>
      </c>
      <c r="G233" s="64">
        <v>0</v>
      </c>
      <c r="H233" s="63">
        <f t="shared" si="15"/>
        <v>1</v>
      </c>
      <c r="I233" s="63">
        <f>IF(D233&lt;&gt;"",D233,IFERROR(E233/(IFERROR(SUM(Sales!C:C),0))*(IFERROR(SUM(Purchases!C:C),0)),0))</f>
        <v>719</v>
      </c>
      <c r="J233" s="63">
        <f t="shared" si="16"/>
        <v>719</v>
      </c>
      <c r="K233" s="63">
        <f t="shared" si="17"/>
        <v>0</v>
      </c>
      <c r="L233" s="55" t="s">
        <v>1249</v>
      </c>
      <c r="M233" s="55"/>
      <c r="N233" s="47" t="s">
        <v>504</v>
      </c>
      <c r="P233" s="86" t="s">
        <v>1243</v>
      </c>
      <c r="S233" s="47"/>
      <c r="T233" s="47"/>
    </row>
    <row r="234" spans="1:20" ht="17">
      <c r="A234" s="52" t="s">
        <v>1230</v>
      </c>
      <c r="B234" s="52" t="s">
        <v>1219</v>
      </c>
      <c r="C234" s="52" t="s">
        <v>95</v>
      </c>
      <c r="D234" s="53">
        <v>524</v>
      </c>
      <c r="E234" s="53">
        <v>850</v>
      </c>
      <c r="F234" s="66">
        <v>0</v>
      </c>
      <c r="G234" s="66">
        <v>5</v>
      </c>
      <c r="H234" s="65">
        <v>4</v>
      </c>
      <c r="I234" s="65">
        <f>IF(D234&lt;&gt;"",D234,IFERROR(E234/(IFERROR(SUM(Sales!C:C),0))*(IFERROR(SUM(Purchases!C:C),0)),0))</f>
        <v>524</v>
      </c>
      <c r="J234" s="65">
        <f t="shared" si="16"/>
        <v>0</v>
      </c>
      <c r="K234" s="65">
        <f t="shared" si="17"/>
        <v>2620</v>
      </c>
      <c r="L234" s="52"/>
      <c r="M234" s="52"/>
      <c r="N234" s="47" t="s">
        <v>678</v>
      </c>
      <c r="P234" s="86" t="s">
        <v>1244</v>
      </c>
      <c r="S234" s="47"/>
      <c r="T234" s="47"/>
    </row>
    <row r="235" spans="1:20" ht="17">
      <c r="A235" s="55" t="s">
        <v>1231</v>
      </c>
      <c r="B235" s="55" t="s">
        <v>1220</v>
      </c>
      <c r="C235" s="55" t="s">
        <v>95</v>
      </c>
      <c r="D235" s="56">
        <v>891</v>
      </c>
      <c r="E235" s="56">
        <v>1380</v>
      </c>
      <c r="F235" s="64">
        <v>0</v>
      </c>
      <c r="G235" s="64">
        <v>3</v>
      </c>
      <c r="H235" s="63">
        <f t="shared" si="15"/>
        <v>3</v>
      </c>
      <c r="I235" s="63">
        <f>IF(D235&lt;&gt;"",D235,IFERROR(E235/(IFERROR(SUM(Sales!C:C),0))*(IFERROR(SUM(Purchases!C:C),0)),0))</f>
        <v>891</v>
      </c>
      <c r="J235" s="63">
        <f t="shared" si="16"/>
        <v>0</v>
      </c>
      <c r="K235" s="63">
        <f t="shared" si="17"/>
        <v>2673</v>
      </c>
      <c r="L235" s="55"/>
      <c r="M235" s="55"/>
      <c r="N235" s="47" t="s">
        <v>678</v>
      </c>
      <c r="P235" s="86" t="s">
        <v>1245</v>
      </c>
      <c r="S235" s="47"/>
      <c r="T235" s="47"/>
    </row>
    <row r="236" spans="1:20" ht="17">
      <c r="A236" s="52" t="s">
        <v>1232</v>
      </c>
      <c r="B236" s="52" t="s">
        <v>510</v>
      </c>
      <c r="C236" s="52" t="s">
        <v>95</v>
      </c>
      <c r="D236" s="53">
        <v>912</v>
      </c>
      <c r="E236" s="53">
        <v>1380</v>
      </c>
      <c r="F236" s="66">
        <v>0</v>
      </c>
      <c r="G236" s="66">
        <v>4</v>
      </c>
      <c r="H236" s="65">
        <f t="shared" si="15"/>
        <v>4</v>
      </c>
      <c r="I236" s="65">
        <f>IF(D236&lt;&gt;"",D236,IFERROR(E236/(IFERROR(SUM(Sales!C:C),0))*(IFERROR(SUM(Purchases!C:C),0)),0))</f>
        <v>912</v>
      </c>
      <c r="J236" s="65">
        <f t="shared" si="16"/>
        <v>0</v>
      </c>
      <c r="K236" s="65">
        <f t="shared" si="17"/>
        <v>3648</v>
      </c>
      <c r="L236" s="52"/>
      <c r="M236" s="52"/>
      <c r="N236" s="47" t="s">
        <v>678</v>
      </c>
      <c r="P236" s="86" t="s">
        <v>1246</v>
      </c>
      <c r="S236" s="47"/>
      <c r="T236" s="47"/>
    </row>
    <row r="237" spans="1:20" ht="17">
      <c r="A237" s="52" t="s">
        <v>1233</v>
      </c>
      <c r="B237" s="55" t="s">
        <v>1221</v>
      </c>
      <c r="C237" s="55" t="s">
        <v>95</v>
      </c>
      <c r="D237" s="56">
        <v>734</v>
      </c>
      <c r="E237" s="56">
        <v>1100</v>
      </c>
      <c r="F237" s="64">
        <v>0</v>
      </c>
      <c r="G237" s="64">
        <v>3</v>
      </c>
      <c r="H237" s="63">
        <f t="shared" si="15"/>
        <v>3</v>
      </c>
      <c r="I237" s="63">
        <f>IF(D237&lt;&gt;"",D237,IFERROR(E237/(IFERROR(SUM(Sales!C:C),0))*(IFERROR(SUM(Purchases!C:C),0)),0))</f>
        <v>734</v>
      </c>
      <c r="J237" s="63">
        <f t="shared" si="16"/>
        <v>0</v>
      </c>
      <c r="K237" s="63">
        <f t="shared" si="17"/>
        <v>2202</v>
      </c>
      <c r="L237" s="55"/>
      <c r="M237" s="55"/>
      <c r="N237" s="47" t="s">
        <v>678</v>
      </c>
      <c r="P237" s="86" t="s">
        <v>1247</v>
      </c>
      <c r="S237" s="47"/>
      <c r="T237" s="47"/>
    </row>
    <row r="238" spans="1:20" ht="17">
      <c r="A238" s="55" t="s">
        <v>1234</v>
      </c>
      <c r="B238" s="52" t="s">
        <v>1222</v>
      </c>
      <c r="C238" s="52" t="s">
        <v>95</v>
      </c>
      <c r="D238" s="53">
        <v>436</v>
      </c>
      <c r="E238" s="53">
        <v>699</v>
      </c>
      <c r="F238" s="66">
        <v>0</v>
      </c>
      <c r="G238" s="66">
        <v>3</v>
      </c>
      <c r="H238" s="65">
        <f t="shared" si="15"/>
        <v>3</v>
      </c>
      <c r="I238" s="65">
        <f>IF(D238&lt;&gt;"",D238,IFERROR(E238/(IFERROR(SUM(Sales!C:C),0))*(IFERROR(SUM(Purchases!C:C),0)),0))</f>
        <v>436</v>
      </c>
      <c r="J238" s="65">
        <f t="shared" si="16"/>
        <v>0</v>
      </c>
      <c r="K238" s="65">
        <f t="shared" si="17"/>
        <v>1308</v>
      </c>
      <c r="L238" s="52"/>
      <c r="M238" s="52"/>
      <c r="N238" s="47" t="s">
        <v>678</v>
      </c>
      <c r="P238" s="86" t="s">
        <v>1248</v>
      </c>
      <c r="S238" s="47"/>
      <c r="T238" s="47"/>
    </row>
    <row r="239" spans="1:20">
      <c r="A239" s="55"/>
      <c r="B239" s="55"/>
      <c r="C239" s="55"/>
      <c r="D239" s="56"/>
      <c r="E239" s="56"/>
      <c r="F239" s="64"/>
      <c r="G239" s="64"/>
      <c r="H239" s="63"/>
      <c r="I239" s="63"/>
      <c r="J239" s="63"/>
      <c r="K239" s="63"/>
      <c r="L239" s="55"/>
      <c r="M239" s="55"/>
      <c r="S239" s="47"/>
      <c r="T239" s="47"/>
    </row>
    <row r="240" spans="1:20">
      <c r="S240" s="47"/>
      <c r="T240" s="47"/>
    </row>
    <row r="241" spans="19:20">
      <c r="S241" s="47"/>
      <c r="T241" s="47"/>
    </row>
    <row r="242" spans="19:20">
      <c r="S242" s="47"/>
      <c r="T242" s="47"/>
    </row>
    <row r="243" spans="19:20">
      <c r="S243" s="47"/>
      <c r="T243" s="47"/>
    </row>
    <row r="244" spans="19:20">
      <c r="S244" s="47"/>
      <c r="T244" s="47"/>
    </row>
    <row r="245" spans="19:20">
      <c r="S245" s="47"/>
      <c r="T245" s="47"/>
    </row>
    <row r="246" spans="19:20">
      <c r="S246" s="47"/>
      <c r="T246" s="47"/>
    </row>
    <row r="247" spans="19:20">
      <c r="S247" s="47"/>
      <c r="T247" s="47"/>
    </row>
    <row r="248" spans="19:20">
      <c r="S248" s="47"/>
      <c r="T248" s="47"/>
    </row>
    <row r="249" spans="19:20">
      <c r="S249" s="47"/>
      <c r="T249" s="47"/>
    </row>
    <row r="250" spans="19:20">
      <c r="S250" s="47"/>
      <c r="T250" s="47"/>
    </row>
    <row r="251" spans="19:20">
      <c r="S251" s="47"/>
      <c r="T251" s="47"/>
    </row>
    <row r="252" spans="19:20">
      <c r="S252" s="47"/>
      <c r="T252" s="47"/>
    </row>
    <row r="253" spans="19:20">
      <c r="S253" s="47"/>
      <c r="T253" s="47"/>
    </row>
    <row r="254" spans="19:20">
      <c r="S254" s="47"/>
      <c r="T254" s="47"/>
    </row>
    <row r="255" spans="19:20">
      <c r="S255" s="47"/>
      <c r="T255" s="47"/>
    </row>
    <row r="256" spans="19:20">
      <c r="S256" s="47"/>
      <c r="T256" s="47"/>
    </row>
    <row r="257" spans="19:20">
      <c r="S257" s="47"/>
      <c r="T257" s="47"/>
    </row>
    <row r="258" spans="19:20">
      <c r="S258" s="47"/>
      <c r="T258" s="47"/>
    </row>
    <row r="259" spans="19:20">
      <c r="S259" s="47"/>
      <c r="T259" s="47"/>
    </row>
    <row r="260" spans="19:20">
      <c r="S260" s="47"/>
      <c r="T260" s="47"/>
    </row>
    <row r="261" spans="19:20">
      <c r="S261" s="47"/>
      <c r="T261" s="47"/>
    </row>
    <row r="262" spans="19:20">
      <c r="S262" s="47"/>
      <c r="T262" s="47"/>
    </row>
    <row r="263" spans="19:20">
      <c r="S263" s="47"/>
      <c r="T263" s="47"/>
    </row>
    <row r="264" spans="19:20">
      <c r="S264" s="47"/>
      <c r="T264" s="47"/>
    </row>
    <row r="265" spans="19:20">
      <c r="S265" s="47"/>
      <c r="T265" s="47"/>
    </row>
    <row r="266" spans="19:20">
      <c r="S266" s="47"/>
      <c r="T266" s="47"/>
    </row>
    <row r="267" spans="19:20">
      <c r="S267" s="47"/>
      <c r="T267" s="47"/>
    </row>
    <row r="268" spans="19:20">
      <c r="S268" s="47"/>
      <c r="T268" s="47"/>
    </row>
    <row r="269" spans="19:20">
      <c r="S269" s="47"/>
      <c r="T269" s="47"/>
    </row>
    <row r="270" spans="19:20">
      <c r="S270" s="47"/>
      <c r="T270" s="47"/>
    </row>
    <row r="271" spans="19:20">
      <c r="S271" s="47"/>
      <c r="T271" s="47"/>
    </row>
    <row r="272" spans="19:20">
      <c r="S272" s="47"/>
      <c r="T272" s="47"/>
    </row>
    <row r="273" spans="19:20">
      <c r="S273" s="47"/>
      <c r="T273" s="47"/>
    </row>
    <row r="274" spans="19:20">
      <c r="S274" s="47"/>
      <c r="T274" s="47"/>
    </row>
    <row r="275" spans="19:20">
      <c r="S275" s="47"/>
      <c r="T275" s="47"/>
    </row>
    <row r="276" spans="19:20">
      <c r="S276" s="47"/>
      <c r="T276" s="47"/>
    </row>
    <row r="277" spans="19:20">
      <c r="S277" s="47"/>
      <c r="T277" s="47"/>
    </row>
    <row r="278" spans="19:20">
      <c r="S278" s="47"/>
      <c r="T278" s="47"/>
    </row>
    <row r="279" spans="19:20">
      <c r="S279" s="47"/>
      <c r="T279" s="47"/>
    </row>
    <row r="280" spans="19:20">
      <c r="S280" s="47"/>
      <c r="T280" s="47"/>
    </row>
    <row r="281" spans="19:20">
      <c r="S281" s="47"/>
      <c r="T281" s="47"/>
    </row>
    <row r="282" spans="19:20">
      <c r="S282" s="47"/>
      <c r="T282" s="47"/>
    </row>
    <row r="283" spans="19:20">
      <c r="S283" s="47"/>
      <c r="T283" s="47"/>
    </row>
    <row r="284" spans="19:20">
      <c r="S284" s="47"/>
      <c r="T284" s="47"/>
    </row>
    <row r="285" spans="19:20">
      <c r="S285" s="47"/>
      <c r="T285" s="47"/>
    </row>
    <row r="286" spans="19:20">
      <c r="S286" s="47"/>
      <c r="T286" s="47"/>
    </row>
    <row r="287" spans="19:20">
      <c r="S287" s="47"/>
      <c r="T287" s="47"/>
    </row>
    <row r="288" spans="19:20">
      <c r="S288" s="47"/>
      <c r="T288" s="47"/>
    </row>
    <row r="289" spans="19:20">
      <c r="S289" s="47"/>
      <c r="T289" s="47"/>
    </row>
    <row r="290" spans="19:20">
      <c r="S290" s="47"/>
      <c r="T290" s="47"/>
    </row>
    <row r="291" spans="19:20">
      <c r="S291" s="47"/>
      <c r="T291" s="47"/>
    </row>
    <row r="292" spans="19:20">
      <c r="S292" s="47"/>
      <c r="T292" s="47"/>
    </row>
    <row r="293" spans="19:20">
      <c r="S293" s="47"/>
      <c r="T293" s="47"/>
    </row>
    <row r="294" spans="19:20">
      <c r="S294" s="47"/>
      <c r="T294" s="47"/>
    </row>
    <row r="295" spans="19:20">
      <c r="S295" s="47"/>
      <c r="T295" s="47"/>
    </row>
    <row r="296" spans="19:20">
      <c r="S296" s="47"/>
      <c r="T296" s="47"/>
    </row>
    <row r="297" spans="19:20">
      <c r="S297" s="47"/>
      <c r="T297" s="47"/>
    </row>
    <row r="298" spans="19:20">
      <c r="S298" s="47"/>
      <c r="T298" s="47"/>
    </row>
    <row r="299" spans="19:20">
      <c r="S299" s="47"/>
      <c r="T299" s="47"/>
    </row>
    <row r="300" spans="19:20">
      <c r="S300" s="47"/>
      <c r="T300" s="47"/>
    </row>
    <row r="301" spans="19:20">
      <c r="S301" s="47"/>
      <c r="T301" s="47"/>
    </row>
    <row r="302" spans="19:20">
      <c r="S302" s="47"/>
      <c r="T302" s="47"/>
    </row>
    <row r="303" spans="19:20">
      <c r="S303" s="47"/>
      <c r="T303" s="47"/>
    </row>
    <row r="304" spans="19:20">
      <c r="S304" s="47"/>
      <c r="T304" s="47"/>
    </row>
    <row r="305" spans="19:20">
      <c r="S305" s="47"/>
      <c r="T305" s="47"/>
    </row>
    <row r="306" spans="19:20">
      <c r="S306" s="47"/>
      <c r="T306" s="47"/>
    </row>
    <row r="307" spans="19:20">
      <c r="S307" s="47"/>
      <c r="T307" s="47"/>
    </row>
    <row r="308" spans="19:20">
      <c r="S308" s="47"/>
      <c r="T308" s="47"/>
    </row>
    <row r="309" spans="19:20">
      <c r="S309" s="47"/>
      <c r="T309" s="47"/>
    </row>
    <row r="310" spans="19:20">
      <c r="S310" s="47"/>
      <c r="T310" s="47"/>
    </row>
    <row r="311" spans="19:20">
      <c r="S311" s="47"/>
      <c r="T311" s="47"/>
    </row>
    <row r="312" spans="19:20">
      <c r="S312" s="47"/>
      <c r="T312" s="47"/>
    </row>
    <row r="313" spans="19:20">
      <c r="S313" s="47"/>
      <c r="T313" s="47"/>
    </row>
    <row r="314" spans="19:20">
      <c r="S314" s="47"/>
      <c r="T314" s="47"/>
    </row>
    <row r="315" spans="19:20">
      <c r="S315" s="47"/>
      <c r="T315" s="47"/>
    </row>
    <row r="316" spans="19:20">
      <c r="S316" s="47"/>
      <c r="T316" s="47"/>
    </row>
    <row r="317" spans="19:20">
      <c r="S317" s="47"/>
      <c r="T317" s="47"/>
    </row>
    <row r="318" spans="19:20">
      <c r="S318" s="47"/>
      <c r="T318" s="47"/>
    </row>
    <row r="319" spans="19:20">
      <c r="S319" s="47"/>
      <c r="T319" s="47"/>
    </row>
    <row r="320" spans="19:20">
      <c r="S320" s="47"/>
      <c r="T320" s="47"/>
    </row>
    <row r="321" spans="19:20">
      <c r="S321" s="47"/>
      <c r="T321" s="47"/>
    </row>
    <row r="322" spans="19:20">
      <c r="S322" s="47"/>
      <c r="T322" s="47"/>
    </row>
    <row r="323" spans="19:20">
      <c r="S323" s="47"/>
      <c r="T323" s="47"/>
    </row>
    <row r="324" spans="19:20">
      <c r="S324" s="47"/>
      <c r="T324" s="47"/>
    </row>
    <row r="325" spans="19:20">
      <c r="S325" s="47"/>
      <c r="T325" s="47"/>
    </row>
    <row r="326" spans="19:20">
      <c r="S326" s="47"/>
      <c r="T326" s="47"/>
    </row>
    <row r="327" spans="19:20">
      <c r="S327" s="47"/>
      <c r="T327" s="47"/>
    </row>
    <row r="328" spans="19:20">
      <c r="S328" s="47"/>
      <c r="T328" s="47"/>
    </row>
    <row r="329" spans="19:20">
      <c r="S329" s="47"/>
      <c r="T329" s="47"/>
    </row>
    <row r="330" spans="19:20">
      <c r="S330" s="47"/>
      <c r="T330" s="47"/>
    </row>
    <row r="331" spans="19:20">
      <c r="S331" s="47"/>
      <c r="T331" s="47"/>
    </row>
    <row r="332" spans="19:20">
      <c r="S332" s="47"/>
      <c r="T332" s="47"/>
    </row>
    <row r="333" spans="19:20">
      <c r="S333" s="47"/>
      <c r="T333" s="47"/>
    </row>
    <row r="334" spans="19:20">
      <c r="S334" s="47"/>
      <c r="T334" s="47"/>
    </row>
    <row r="335" spans="19:20">
      <c r="S335" s="47"/>
      <c r="T335" s="47"/>
    </row>
    <row r="336" spans="19:20">
      <c r="S336" s="47"/>
      <c r="T336" s="47"/>
    </row>
    <row r="337" spans="19:20">
      <c r="S337" s="47"/>
      <c r="T337" s="47"/>
    </row>
    <row r="338" spans="19:20">
      <c r="S338" s="47"/>
      <c r="T338" s="47"/>
    </row>
    <row r="339" spans="19:20">
      <c r="S339" s="47"/>
      <c r="T339" s="47"/>
    </row>
    <row r="340" spans="19:20">
      <c r="S340" s="47"/>
      <c r="T340" s="47"/>
    </row>
    <row r="341" spans="19:20">
      <c r="S341" s="47"/>
      <c r="T341" s="47"/>
    </row>
    <row r="342" spans="19:20">
      <c r="S342" s="47"/>
      <c r="T342" s="47"/>
    </row>
    <row r="343" spans="19:20">
      <c r="S343" s="47"/>
      <c r="T343" s="47"/>
    </row>
    <row r="344" spans="19:20">
      <c r="S344" s="47"/>
      <c r="T344" s="47"/>
    </row>
    <row r="345" spans="19:20">
      <c r="S345" s="47"/>
      <c r="T345" s="47"/>
    </row>
    <row r="346" spans="19:20">
      <c r="S346" s="47"/>
      <c r="T346" s="47"/>
    </row>
    <row r="347" spans="19:20">
      <c r="S347" s="47"/>
      <c r="T347" s="47"/>
    </row>
    <row r="348" spans="19:20">
      <c r="S348" s="47"/>
      <c r="T348" s="47"/>
    </row>
    <row r="349" spans="19:20">
      <c r="S349" s="47"/>
      <c r="T349" s="47"/>
    </row>
    <row r="350" spans="19:20">
      <c r="S350" s="47"/>
      <c r="T350" s="47"/>
    </row>
    <row r="351" spans="19:20">
      <c r="S351" s="47"/>
      <c r="T351" s="47"/>
    </row>
    <row r="352" spans="19:20">
      <c r="S352" s="47"/>
      <c r="T352" s="47"/>
    </row>
    <row r="353" spans="19:20">
      <c r="S353" s="47"/>
      <c r="T353" s="47"/>
    </row>
    <row r="354" spans="19:20">
      <c r="S354" s="47"/>
      <c r="T354" s="47"/>
    </row>
    <row r="355" spans="19:20">
      <c r="S355" s="47"/>
      <c r="T355" s="47"/>
    </row>
    <row r="356" spans="19:20">
      <c r="S356" s="47"/>
      <c r="T356" s="47"/>
    </row>
    <row r="357" spans="19:20">
      <c r="S357" s="47"/>
      <c r="T357" s="47"/>
    </row>
    <row r="358" spans="19:20">
      <c r="S358" s="47"/>
      <c r="T358" s="47"/>
    </row>
    <row r="359" spans="19:20">
      <c r="S359" s="47"/>
      <c r="T359" s="47"/>
    </row>
    <row r="360" spans="19:20">
      <c r="S360" s="47"/>
      <c r="T360" s="47"/>
    </row>
    <row r="361" spans="19:20">
      <c r="S361" s="47"/>
      <c r="T361" s="47"/>
    </row>
    <row r="362" spans="19:20">
      <c r="S362" s="47"/>
      <c r="T362" s="47"/>
    </row>
    <row r="363" spans="19:20">
      <c r="S363" s="47"/>
      <c r="T363" s="47"/>
    </row>
    <row r="364" spans="19:20">
      <c r="S364" s="47"/>
      <c r="T364" s="47"/>
    </row>
    <row r="365" spans="19:20">
      <c r="S365" s="47"/>
      <c r="T365" s="47"/>
    </row>
    <row r="366" spans="19:20">
      <c r="S366" s="47"/>
      <c r="T366" s="47"/>
    </row>
    <row r="367" spans="19:20">
      <c r="S367" s="47"/>
      <c r="T367" s="47"/>
    </row>
    <row r="368" spans="19:20">
      <c r="S368" s="47"/>
      <c r="T368" s="47"/>
    </row>
    <row r="369" spans="19:20">
      <c r="S369" s="47"/>
      <c r="T369" s="47"/>
    </row>
    <row r="370" spans="19:20">
      <c r="S370" s="47"/>
      <c r="T370" s="47"/>
    </row>
    <row r="371" spans="19:20">
      <c r="S371" s="47"/>
      <c r="T371" s="47"/>
    </row>
    <row r="372" spans="19:20">
      <c r="S372" s="47"/>
      <c r="T372" s="47"/>
    </row>
    <row r="373" spans="19:20">
      <c r="S373" s="47"/>
      <c r="T373" s="47"/>
    </row>
    <row r="374" spans="19:20">
      <c r="S374" s="47"/>
      <c r="T374" s="47"/>
    </row>
    <row r="375" spans="19:20">
      <c r="S375" s="47"/>
      <c r="T375" s="47"/>
    </row>
    <row r="376" spans="19:20">
      <c r="S376" s="47"/>
      <c r="T376" s="47"/>
    </row>
    <row r="377" spans="19:20">
      <c r="S377" s="47"/>
      <c r="T377" s="47"/>
    </row>
    <row r="378" spans="19:20">
      <c r="S378" s="47"/>
      <c r="T378" s="47"/>
    </row>
    <row r="379" spans="19:20">
      <c r="S379" s="47"/>
      <c r="T379" s="47"/>
    </row>
    <row r="380" spans="19:20">
      <c r="S380" s="47"/>
      <c r="T380" s="47"/>
    </row>
    <row r="381" spans="19:20">
      <c r="S381" s="47"/>
      <c r="T381" s="47"/>
    </row>
    <row r="382" spans="19:20">
      <c r="S382" s="47"/>
      <c r="T382" s="47"/>
    </row>
    <row r="383" spans="19:20">
      <c r="S383" s="47"/>
      <c r="T383" s="47"/>
    </row>
    <row r="384" spans="19:20">
      <c r="S384" s="47"/>
      <c r="T384" s="47"/>
    </row>
    <row r="385" spans="19:20">
      <c r="S385" s="47"/>
      <c r="T385" s="47"/>
    </row>
    <row r="386" spans="19:20">
      <c r="S386" s="47"/>
      <c r="T386" s="47"/>
    </row>
    <row r="387" spans="19:20">
      <c r="S387" s="47"/>
      <c r="T387" s="47"/>
    </row>
    <row r="388" spans="19:20">
      <c r="S388" s="47"/>
      <c r="T388" s="47"/>
    </row>
    <row r="389" spans="19:20">
      <c r="S389" s="47"/>
      <c r="T389" s="47"/>
    </row>
    <row r="390" spans="19:20">
      <c r="S390" s="47"/>
      <c r="T390" s="47"/>
    </row>
    <row r="391" spans="19:20">
      <c r="S391" s="47"/>
      <c r="T391" s="47"/>
    </row>
    <row r="392" spans="19:20">
      <c r="S392" s="47"/>
      <c r="T392" s="47"/>
    </row>
    <row r="393" spans="19:20">
      <c r="S393" s="47"/>
      <c r="T393" s="47"/>
    </row>
    <row r="394" spans="19:20">
      <c r="S394" s="47"/>
      <c r="T394" s="47"/>
    </row>
    <row r="395" spans="19:20">
      <c r="S395" s="47"/>
      <c r="T395" s="47"/>
    </row>
    <row r="396" spans="19:20">
      <c r="S396" s="47"/>
      <c r="T396" s="47"/>
    </row>
    <row r="397" spans="19:20">
      <c r="S397" s="47"/>
      <c r="T397" s="47"/>
    </row>
    <row r="398" spans="19:20">
      <c r="S398" s="47"/>
      <c r="T398" s="47"/>
    </row>
    <row r="399" spans="19:20">
      <c r="S399" s="47"/>
      <c r="T399" s="47"/>
    </row>
    <row r="400" spans="19:20">
      <c r="S400" s="47"/>
      <c r="T400" s="47"/>
    </row>
    <row r="401" spans="19:20">
      <c r="S401" s="47"/>
      <c r="T401" s="47"/>
    </row>
    <row r="402" spans="19:20">
      <c r="S402" s="47"/>
      <c r="T402" s="47"/>
    </row>
    <row r="403" spans="19:20">
      <c r="S403" s="47"/>
      <c r="T403" s="47"/>
    </row>
    <row r="404" spans="19:20">
      <c r="S404" s="47"/>
      <c r="T404" s="47"/>
    </row>
    <row r="405" spans="19:20">
      <c r="S405" s="47"/>
      <c r="T405" s="47"/>
    </row>
    <row r="406" spans="19:20">
      <c r="S406" s="47"/>
      <c r="T406" s="47"/>
    </row>
    <row r="407" spans="19:20">
      <c r="S407" s="47"/>
      <c r="T407" s="47"/>
    </row>
    <row r="408" spans="19:20">
      <c r="S408" s="47"/>
      <c r="T408" s="47"/>
    </row>
    <row r="409" spans="19:20">
      <c r="S409" s="47"/>
      <c r="T409" s="47"/>
    </row>
    <row r="410" spans="19:20">
      <c r="S410" s="47"/>
      <c r="T410" s="47"/>
    </row>
    <row r="411" spans="19:20">
      <c r="S411" s="47"/>
      <c r="T411" s="47"/>
    </row>
    <row r="412" spans="19:20">
      <c r="S412" s="47"/>
      <c r="T412" s="47"/>
    </row>
    <row r="413" spans="19:20">
      <c r="S413" s="47"/>
      <c r="T413" s="47"/>
    </row>
    <row r="414" spans="19:20">
      <c r="S414" s="47"/>
      <c r="T414" s="47"/>
    </row>
    <row r="415" spans="19:20">
      <c r="S415" s="47"/>
      <c r="T415" s="47"/>
    </row>
    <row r="416" spans="19: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row r="1189" spans="19:20">
      <c r="S1189" s="47"/>
      <c r="T1189" s="47"/>
    </row>
  </sheetData>
  <autoFilter ref="A1:T188" xr:uid="{00000000-0009-0000-0000-000005000000}"/>
  <phoneticPr fontId="30" type="noConversion"/>
  <dataValidations count="1">
    <dataValidation type="list" allowBlank="1" showInputMessage="1" showErrorMessage="1" sqref="N2:N988"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1050</v>
      </c>
      <c r="B1" s="88"/>
    </row>
    <row r="2" spans="1:8" ht="13.5" customHeight="1">
      <c r="A2" s="8" t="s">
        <v>42</v>
      </c>
      <c r="B2" s="8" t="s">
        <v>1051</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1052</v>
      </c>
      <c r="C7" s="71" t="s">
        <v>1053</v>
      </c>
      <c r="D7" s="71" t="s">
        <v>1054</v>
      </c>
      <c r="E7" s="71" t="s">
        <v>1055</v>
      </c>
      <c r="F7" s="71" t="s">
        <v>1056</v>
      </c>
      <c r="G7" s="71" t="s">
        <v>1057</v>
      </c>
      <c r="H7" s="71" t="s">
        <v>1058</v>
      </c>
    </row>
    <row r="8" spans="1:8" ht="13.5" customHeight="1">
      <c r="A8" s="9" t="s">
        <v>49</v>
      </c>
      <c r="B8" s="9">
        <f>IFERROR(SUMIF(Purchases!$B:$B,$A8,Purchases!$C:$C),0)</f>
        <v>261817</v>
      </c>
      <c r="C8" s="9">
        <f>SUM($B$8:$B$10)/3</f>
        <v>188578</v>
      </c>
      <c r="D8" s="9">
        <f>B8-C8</f>
        <v>73239</v>
      </c>
      <c r="E8" s="9">
        <f>IF(Summary!$B$6&gt;0, Summary!$B$6*VLOOKUP($A8,$A$3:$B$5,2,FALSE()),0)</f>
        <v>0</v>
      </c>
      <c r="F8" s="9">
        <f>D8+E8</f>
        <v>73239</v>
      </c>
      <c r="G8" s="9">
        <f>IFERROR(SUMIFS($E$13:$E$499,$D$13:$D$499,$A8,$B$13:$B$499,"Contribution"),0)+IFERROR(SUMIFS($E$13:$E$499,$D$13:$D$499,$A8,$B$13:$B$499,"Profit"),0)-IFERROR(SUMIFS($E$13:$E$499,$C$13:$C$499,$A8,$B$13:$B$499,"Contribution"),0)-IFERROR(SUMIFS($E$13:$E$499,$C$13:$C$499,$A8,$B$13:$B$499,"Profit"),0)</f>
        <v>18303.34</v>
      </c>
      <c r="H8" s="73">
        <f>F8-G8</f>
        <v>54935.66</v>
      </c>
    </row>
    <row r="9" spans="1:8" ht="13.5" customHeight="1">
      <c r="A9" s="11" t="s">
        <v>50</v>
      </c>
      <c r="B9" s="11">
        <f>IFERROR(SUMIF(Purchases!$B:$B,$A9,Purchases!$C:$C),0)</f>
        <v>271317</v>
      </c>
      <c r="C9" s="11">
        <f>SUM($B$8:$B$10)/3</f>
        <v>188578</v>
      </c>
      <c r="D9" s="11">
        <f>B9-C9</f>
        <v>82739</v>
      </c>
      <c r="E9" s="11">
        <f>IF(Summary!$B$6&gt;0, Summary!$B$6*VLOOKUP($A9,$A$3:$B$5,2,FALSE()),0)</f>
        <v>0</v>
      </c>
      <c r="F9" s="11">
        <f>D9+E9</f>
        <v>82739</v>
      </c>
      <c r="G9" s="11">
        <f>IFERROR(SUMIFS($E$13:$E$499,$D$13:$D$499,$A9,$B$13:$B$499,"Contribution"),0)+IFERROR(SUMIFS($E$13:$E$499,$D$13:$D$499,$A9,$B$13:$B$499,"Profit"),0)-IFERROR(SUMIFS($E$13:$E$499,$C$13:$C$499,$A9,$B$13:$B$499,"Contribution"),0)-IFERROR(SUMIFS($E$13:$E$499,$C$13:$C$499,$A9,$B$13:$B$499,"Profit"),0)</f>
        <v>41639.33</v>
      </c>
      <c r="H9" s="74">
        <f>F9-G9</f>
        <v>41099.67</v>
      </c>
    </row>
    <row r="10" spans="1:8" ht="13.5" customHeight="1">
      <c r="A10" s="9" t="s">
        <v>51</v>
      </c>
      <c r="B10" s="9">
        <f>IFERROR(SUMIF(Purchases!$B:$B,$A10,Purchases!$C:$C),0)</f>
        <v>32600</v>
      </c>
      <c r="C10" s="9">
        <f>SUM($B$8:$B$10)/3</f>
        <v>188578</v>
      </c>
      <c r="D10" s="9">
        <f>B10-C10</f>
        <v>-155978</v>
      </c>
      <c r="E10" s="9">
        <f>IF(Summary!$B$6&gt;0, Summary!$B$6*VLOOKUP($A10,$A$3:$B$5,2,FALSE()),0)</f>
        <v>0</v>
      </c>
      <c r="F10" s="9">
        <f>D10+E10</f>
        <v>-155978</v>
      </c>
      <c r="G10" s="9">
        <f>IFERROR(SUMIFS($E$13:$E$499,$D$13:$D$499,$A10,$B$13:$B$499,"Contribution"),0)+IFERROR(SUMIFS($E$13:$E$499,$D$13:$D$499,$A10,$B$13:$B$499,"Profit"),0)-IFERROR(SUMIFS($E$13:$E$499,$C$13:$C$499,$A10,$B$13:$B$499,"Contribution"),0)-IFERROR(SUMIFS($E$13:$E$499,$C$13:$C$499,$A10,$B$13:$B$499,"Profit"),0)</f>
        <v>-59942.67</v>
      </c>
      <c r="H10" s="73">
        <f>F10-G10</f>
        <v>-96035.33</v>
      </c>
    </row>
    <row r="12" spans="1:8" s="75" customFormat="1" ht="15.75" customHeight="1">
      <c r="A12" s="89" t="s">
        <v>1059</v>
      </c>
      <c r="B12" s="89"/>
      <c r="C12" s="89"/>
      <c r="D12" s="89"/>
      <c r="E12" s="89"/>
      <c r="F12" s="89"/>
    </row>
    <row r="13" spans="1:8" s="72" customFormat="1" ht="13.5" customHeight="1">
      <c r="A13" s="71" t="s">
        <v>98</v>
      </c>
      <c r="B13" s="71" t="s">
        <v>1060</v>
      </c>
      <c r="C13" s="71" t="s">
        <v>1061</v>
      </c>
      <c r="D13" s="71" t="s">
        <v>1062</v>
      </c>
      <c r="E13" s="71" t="s">
        <v>99</v>
      </c>
      <c r="F13" s="71" t="s">
        <v>100</v>
      </c>
    </row>
    <row r="14" spans="1:8" ht="13.5" customHeight="1">
      <c r="A14" s="76">
        <v>45952</v>
      </c>
      <c r="B14" s="9" t="s">
        <v>1063</v>
      </c>
      <c r="C14" s="9" t="s">
        <v>51</v>
      </c>
      <c r="D14" s="9" t="s">
        <v>49</v>
      </c>
      <c r="E14" s="69">
        <v>16032</v>
      </c>
      <c r="F14" s="9"/>
    </row>
    <row r="15" spans="1:8" ht="13.5" customHeight="1">
      <c r="A15" s="77">
        <v>45952</v>
      </c>
      <c r="B15" s="11" t="s">
        <v>1063</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1063</v>
      </c>
      <c r="C18" s="9" t="s">
        <v>50</v>
      </c>
      <c r="D18" s="9" t="s">
        <v>51</v>
      </c>
      <c r="E18" s="69">
        <v>3209.34</v>
      </c>
      <c r="F18" s="9"/>
    </row>
    <row r="19" spans="1:6" ht="13.5" customHeight="1">
      <c r="A19" s="77">
        <v>45970</v>
      </c>
      <c r="B19" s="11" t="s">
        <v>1063</v>
      </c>
      <c r="C19" s="11" t="s">
        <v>50</v>
      </c>
      <c r="D19" s="11" t="s">
        <v>49</v>
      </c>
      <c r="E19" s="70">
        <v>411</v>
      </c>
      <c r="F19" s="11"/>
    </row>
    <row r="20" spans="1:6" ht="13.5" customHeight="1">
      <c r="A20" s="76">
        <v>45973</v>
      </c>
      <c r="B20" s="9" t="s">
        <v>1063</v>
      </c>
      <c r="C20" s="9" t="s">
        <v>50</v>
      </c>
      <c r="D20" s="9" t="s">
        <v>51</v>
      </c>
      <c r="E20" s="69">
        <v>905</v>
      </c>
      <c r="F20" s="9"/>
    </row>
    <row r="21" spans="1:6" ht="13.5" customHeight="1">
      <c r="A21" s="77">
        <v>45973</v>
      </c>
      <c r="B21" s="11" t="s">
        <v>1063</v>
      </c>
      <c r="C21" s="11" t="s">
        <v>49</v>
      </c>
      <c r="D21" s="11" t="s">
        <v>51</v>
      </c>
      <c r="E21" s="70">
        <v>904</v>
      </c>
      <c r="F21" s="11"/>
    </row>
    <row r="22" spans="1:6" ht="13.5" customHeight="1">
      <c r="A22" s="76">
        <v>46058</v>
      </c>
      <c r="B22" s="9" t="s">
        <v>1063</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1063</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1063</v>
      </c>
      <c r="C26" s="9" t="s">
        <v>50</v>
      </c>
      <c r="D26" s="9" t="s">
        <v>49</v>
      </c>
      <c r="E26" s="69">
        <v>4933.33</v>
      </c>
      <c r="F26" s="9"/>
    </row>
    <row r="27" spans="1:6" ht="13.5" customHeight="1">
      <c r="A27" s="77">
        <v>46093</v>
      </c>
      <c r="B27" s="11" t="s">
        <v>1063</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1064</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1065</v>
      </c>
    </row>
    <row r="3" spans="1:7" s="72" customFormat="1" ht="13.5" customHeight="1">
      <c r="A3" s="71" t="s">
        <v>42</v>
      </c>
      <c r="B3" s="71" t="s">
        <v>1066</v>
      </c>
      <c r="C3" s="71" t="s">
        <v>1051</v>
      </c>
      <c r="D3" s="71" t="s">
        <v>1067</v>
      </c>
      <c r="E3" s="71" t="s">
        <v>1068</v>
      </c>
      <c r="F3" s="71" t="s">
        <v>1069</v>
      </c>
      <c r="G3" s="71" t="s">
        <v>1070</v>
      </c>
    </row>
    <row r="4" spans="1:7" ht="13.5" customHeight="1">
      <c r="A4" s="9" t="s">
        <v>49</v>
      </c>
      <c r="B4" s="9">
        <f>IFERROR(SUMIFS(Sales!$C:$C,Sales!$E:$E,$A4,Sales!$I:$I,"Completed"),0)</f>
        <v>432799</v>
      </c>
      <c r="C4" s="9">
        <f>VLOOKUP($A4,PartnerShares!$A$3:$B$5,2,FALSE())</f>
        <v>0.33339999999999997</v>
      </c>
      <c r="D4" s="9">
        <f>Summary!$B$4*C4</f>
        <v>166684.3302</v>
      </c>
      <c r="E4" s="9">
        <f>B4-D4</f>
        <v>266114.66980000003</v>
      </c>
      <c r="F4" s="9">
        <f>IFERROR(SUMIFS(PartnerShares!$E$13:$E$499,PartnerShares!$D$13:$D$499,$A4,PartnerShares!$B$13:$B$499,"Cash"),0)-IFERROR(SUMIFS(PartnerShares!$E$13:$E$499,PartnerShares!$C$13:$C$499,$A4,PartnerShares!$B$13:$B$499,"Cash"),0)</f>
        <v>-137310.02600000001</v>
      </c>
      <c r="G4" s="73">
        <f>E4+F4</f>
        <v>128804.64380000002</v>
      </c>
    </row>
    <row r="5" spans="1:7" ht="13.5" customHeight="1">
      <c r="A5" s="11" t="s">
        <v>50</v>
      </c>
      <c r="B5" s="11">
        <f>IFERROR(SUMIFS(Sales!$C:$C,Sales!$E:$E,$A5,Sales!$I:$I,"Completed"),0)</f>
        <v>54624</v>
      </c>
      <c r="C5" s="11">
        <f>VLOOKUP($A5,PartnerShares!$A$3:$B$5,2,FALSE())</f>
        <v>0.3332</v>
      </c>
      <c r="D5" s="11">
        <f>Summary!$B$4*C5</f>
        <v>166584.33960000001</v>
      </c>
      <c r="E5" s="11">
        <f>B5-D5</f>
        <v>-111960.33960000001</v>
      </c>
      <c r="F5" s="11">
        <f>IFERROR(SUMIFS(PartnerShares!$E$13:$E$499,PartnerShares!$D$13:$D$499,$A5,PartnerShares!$B$13:$B$499,"Cash"),0)-IFERROR(SUMIFS(PartnerShares!$E$13:$E$499,PartnerShares!$C$13:$C$499,$A5,PartnerShares!$B$13:$B$499,"Cash"),0)</f>
        <v>71587.042000000001</v>
      </c>
      <c r="G5" s="74">
        <f>E5+F5</f>
        <v>-40373.297600000005</v>
      </c>
    </row>
    <row r="6" spans="1:7" ht="13.5" customHeight="1">
      <c r="A6" s="9" t="s">
        <v>51</v>
      </c>
      <c r="B6" s="9">
        <f>IFERROR(SUMIFS(Sales!$C:$C,Sales!$E:$E,$A6,Sales!$I:$I,"Completed"),0)</f>
        <v>12530</v>
      </c>
      <c r="C6" s="9">
        <f>VLOOKUP($A6,PartnerShares!$A$3:$B$5,2,FALSE())</f>
        <v>0.33339999999999997</v>
      </c>
      <c r="D6" s="9">
        <f>Summary!$B$4*C6</f>
        <v>166684.3302</v>
      </c>
      <c r="E6" s="9">
        <f>B6-D6</f>
        <v>-154154.3302</v>
      </c>
      <c r="F6" s="9">
        <f>IFERROR(SUMIFS(PartnerShares!$E$13:$E$499,PartnerShares!$D$13:$D$499,$A6,PartnerShares!$B$13:$B$499,"Cash"),0)-IFERROR(SUMIFS(PartnerShares!$E$13:$E$499,PartnerShares!$C$13:$C$499,$A6,PartnerShares!$B$13:$B$499,"Cash"),0)</f>
        <v>65722.984000000011</v>
      </c>
      <c r="G6" s="73">
        <f>E6+F6</f>
        <v>-88431.346199999985</v>
      </c>
    </row>
    <row r="9" spans="1:7" ht="13.5" customHeight="1">
      <c r="A9" s="6" t="s">
        <v>0</v>
      </c>
    </row>
    <row r="10" spans="1:7" ht="13.5" customHeight="1">
      <c r="A10" s="6" t="s">
        <v>1071</v>
      </c>
    </row>
    <row r="11" spans="1:7" ht="13.5" customHeight="1">
      <c r="A11" s="6" t="s">
        <v>1072</v>
      </c>
    </row>
    <row r="12" spans="1:7" ht="13.5" customHeight="1">
      <c r="A12" s="6" t="s">
        <v>1073</v>
      </c>
    </row>
    <row r="13" spans="1:7" ht="13.5" customHeight="1">
      <c r="A13" s="6" t="s">
        <v>1074</v>
      </c>
    </row>
    <row r="14" spans="1:7" ht="13.5" customHeight="1">
      <c r="A14" s="6" t="s">
        <v>1075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2026-08-06T03:54:46Z</dcterms:modified>
  <dc:language>en-US</dc:language>
</cp:coreProperties>
</file>