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F2539D27-BCD0-8F46-96B6-5D9251EBB0C6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<sst xmlns="http://schemas.openxmlformats.org/spreadsheetml/2006/main" count="3060" uniqueCount="1201">
  <si>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</si>
  <si>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</si>
  <si>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</si>
  <si>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</si>
  <si>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</si>
  <si>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</si>
  <si>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</si>
  <si>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</si>
  <si>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</si>
  <si>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</si>
  <si>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</si>
  <si>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</si>
  <si>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</si>
  <si>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</si>
  <si>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</si>
  <si>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</si>
  <si>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</si>
  <si>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</si>
  <si>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</si>
  <si>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</si>
  <si>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</si>
  <si>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</si>
  <si>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</si>
  <si>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</si>
  <si>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</si>
  <si>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</si>
  <si>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</si>
  <si>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</si>
  <si>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</si>
  <si>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</si>
  <si>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</si>
  <si>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</si>
  <si>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</si>
  <si>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</si>
  <si>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</si>
  <si>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</si>
  <si>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</si>
  <si>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</si>
  <si>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</si>
  <si>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</si>
  <si>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</si>
  <si>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</si>
  <si>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</si>
  <si>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</si>
  <si>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</si>
  <si>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</si>
  <si>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</si>
  <si>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</si>
  <si>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</si>
  <si>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</si>
  <si>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</si>
  <si>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</si>
  <si>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</si>
  <si>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</si>
  <si>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</si>
  <si>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</si>
  <si>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</si>
  <si>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</si>
  <si>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</si>
  <si>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</si>
  <si>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</si>
  <si>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</si>
  <si>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</si>
  <si>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</si>
  <si>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</si>
  <si>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</si>
  <si>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</si>
  <si>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</si>
  <si>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</si>
  <si>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</si>
  <si>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</si>
  <si>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</si>
  <si>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</si>
  <si>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</si>
  <si>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</si>
  <si>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</si>
  <si>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</si>
  <si>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</si>
  <si>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</si>
  <si>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</si>
  <si>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</si>
  <si>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</si>
  <si>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</si>
  <si>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</si>
  <si>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</si>
  <si>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</si>
  <si>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</si>
  <si>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</si>
  <si>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</si>
  <si>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</si>
  <si>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</si>
  <si>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</si>
  <si>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</si>
  <si>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</si>
  <si>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</si>
  <si>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</si>
  <si>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</si>
  <si>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</si>
  <si>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</si>
  <si>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</si>
  <si>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</si>
  <si>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</si>
  <si>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</si>
  <si>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</si>
  <si>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</si>
  <si>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</si>
  <si>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</si>
  <si>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</si>
  <si>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</si>
  <si>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</si>
  <si>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</si>
  <si>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</si>
  <si>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</si>
  <si>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</si>
  <si>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</si>
  <si>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</si>
  <si>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</si>
  <si>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</si>
  <si>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</si>
  <si>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</si>
  <si>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</si>
  <si>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</si>
  <si>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</si>
  <si>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</si>
  <si>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</si>
  <si>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</si>
  <si>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</si>
  <si>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</si>
  <si>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</si>
  <si>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</si>
  <si>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</si>
  <si>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</si>
  <si>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</si>
  <si>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</si>
  <si>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</si>
  <si>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</si>
  <si>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</si>
  <si>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</si>
  <si>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</si>
  <si>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</si>
  <si>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</si>
  <si>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</si>
  <si>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</si>
  <si>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</si>
  <si>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</si>
  <si>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</si>
  <si>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</si>
  <si>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</si>
  <si>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</si>
  <si>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</si>
  <si>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</si>
  <si>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</si>
  <si>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</si>
  <si>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</si>
  <si>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</si>
  <si>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</si>
  <si>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</si>
  <si>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</si>
  <si>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</si>
  <si>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</si>
  <si>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</si>
  <si>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</si>
  <si>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</si>
  <si>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</si>
  <si>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</si>
  <si>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</si>
  <si>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</si>
  <si>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</si>
  <si>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</si>
  <si>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</si>
  <si>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</si>
  <si>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</si>
  <si>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</si>
  <si>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</si>
  <si>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</si>
  <si>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</si>
  <si>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</si>
  <si>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</si>
  <si>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</si>
  <si>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</si>
  <si>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</si>
  <si>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</si>
  <si>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</si>
  <si>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</si>
  <si>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</si>
  <si>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</si>
  <si>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</si>
  <si>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</si>
  <si>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</si>
  <si>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</si>
  <si>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</si>
  <si>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</si>
  <si>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</si>
  <si>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</si>
  <si>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</si>
  <si>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</si>
  <si>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</si>
  <si>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</si>
  <si>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</si>
  <si>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</si>
  <si>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</si>
  <si>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</si>
  <si>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</si>
  <si>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</si>
  <si>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</si>
  <si>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</si>
  <si>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</si>
  <si>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</si>
  <si>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</si>
  <si>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</si>
  <si>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</si>
  <si>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</si>
  <si>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</si>
  <si>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</si>
  <si>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</si>
  <si>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</si>
  <si>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</si>
  <si>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</si>
  <si>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</si>
  <si>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</si>
  <si>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</si>
  <si>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</si>
  <si>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</si>
  <si>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</si>
  <si>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</si>
  <si>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</si>
  <si>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</si>
  <si>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</si>
  <si>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</si>
  <si>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</si>
  <si>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</si>
  <si>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</si>
  <si>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</si>
  <si>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</si>
  <si>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</si>
  <si>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</si>
  <si>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</si>
  <si>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</si>
  <si>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</si>
  <si>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</si>
  <si>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</si>
  <si>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</si>
  <si>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</si>
  <si>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</si>
  <si>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</si>
  <si>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</si>
  <si>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</si>
  <si>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</si>
  <si>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</si>
  <si>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</si>
  <si>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</si>
  <si>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</si>
  <si>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</si>
  <si>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</si>
  <si>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</si>
  <si>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</si>
  <si>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</si>
  <si>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</si>
  <si>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</si>
  <si>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</si>
  <si>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</si>
  <si>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</si>
  <si>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</si>
  <si>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</si>
  <si>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</si>
  <si>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</si>
  <si>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</si>
  <si>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</si>
  <si>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</si>
  <si>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</si>
  <si>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</si>
  <si>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</si>
  <si>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</si>
  <si>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</si>
  <si>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</si>
  <si>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</si>
  <si>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</si>
  <si>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</si>
  <si>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</si>
  <si>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</si>
  <si>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</si>
  <si>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</si>
  <si>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</si>
  <si>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</si>
  <si>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</si>
  <si>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</si>
  <si>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</si>
  <si>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</si>
  <si>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</si>
  <si>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</si>
  <si>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</si>
  <si>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</si>
  <si>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</si>
  <si>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</si>
  <si>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</si>
  <si>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</si>
  <si>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</si>
  <si>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</si>
  <si>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</si>
  <si>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</si>
  <si>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</si>
  <si>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</si>
  <si>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</si>
  <si>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</si>
  <si>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</si>
  <si>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</si>
  <si>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</si>
  <si>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</si>
  <si>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</si>
  <si>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</si>
  <si>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</si>
  <si>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</si>
  <si>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</si>
  <si>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</si>
  <si>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</si>
  <si>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</si>
  <si>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</si>
  <si>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</si>
  <si>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</si>
  <si>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</si>
  <si>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</si>
  <si>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</si>
  <si>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</si>
  <si>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</si>
  <si>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</si>
  <si>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</si>
  <si>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</si>
  <si>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</si>
  <si>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</si>
  <si>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</si>
  <si>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</si>
  <si>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</si>
  <si>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</si>
  <si>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</si>
  <si>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</si>
  <si>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</si>
  <si>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</si>
  <si>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</si>
  <si>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</si>
  <si>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</si>
  <si>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</si>
  <si>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</si>
  <si>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</si>
  <si>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</si>
  <si>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</si>
  <si>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</si>
  <si>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</si>
  <si>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</si>
  <si>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</si>
  <si>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</si>
  <si>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</si>
  <si>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</si>
  <si>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</si>
  <si>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</si>
  <si>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</si>
  <si>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</si>
  <si>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</si>
  <si>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</si>
  <si>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</si>
  <si>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</si>
  <si>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</si>
  <si>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</si>
  <si>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</si>
  <si>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</si>
  <si>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</si>
  <si>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</si>
  <si>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</si>
  <si>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</si>
  <si>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</si>
  <si>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</si>
  <si>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</si>
  <si>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</si>
  <si>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</si>
  <si>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</si>
  <si>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</si>
  <si>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</si>
  <si>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</si>
  <si>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</si>
  <si>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</si>
  <si>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</si>
  <si>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</si>
  <si>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</si>
  <si>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</si>
  <si>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</si>
  <si>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</si>
  <si>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</si>
  <si>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</si>
  <si>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</si>
  <si>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</si>
  <si>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</si>
  <si>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</si>
  <si>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</si>
  <si>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</si>
  <si>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</si>
  <si>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</si>
  <si>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</si>
  <si>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</si>
  <si>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</si>
  <si>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</si>
  <si>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</si>
  <si>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</si>
  <si>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</si>
  <si>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</si>
  <si>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</si>
  <si>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</si>
  <si>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</si>
  <si>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</si>
  <si>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</si>
  <si>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</si>
  <si>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</si>
  <si>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</si>
  <si>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</si>
  <si>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</si>
  <si>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</si>
  <si>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</si>
  <si>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</si>
  <si>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</si>
  <si>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</si>
  <si>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</si>
  <si>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</si>
  <si>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</si>
  <si>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</si>
  <si>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</si>
  <si>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</si>
  <si>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</si>
  <si>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</si>
  <si>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</si>
  <si>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</si>
  <si>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</si>
  <si>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</si>
  <si>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</si>
  <si>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</si>
  <si>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</si>
  <si>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</si>
  <si>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</si>
  <si>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</si>
  <si>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</si>
  <si>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</si>
  <si>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</si>
  <si>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</si>
  <si>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</si>
  <si>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</si>
  <si>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</si>
  <si>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</si>
  <si>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</si>
  <si>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</si>
  <si>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</si>
  <si>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</si>
  <si>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</si>
  <si>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</si>
  <si>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</si>
  <si>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</si>
  <si>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</si>
  <si>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</si>
  <si>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</si>
  <si>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</si>
  <si>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</si>
  <si>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</si>
  <si>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</si>
  <si>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</si>
  <si>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</si>
  <si>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</si>
  <si>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</si>
  <si>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</si>
  <si>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</si>
  <si>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</si>
  <si>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</si>
  <si>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</si>
  <si>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</si>
  <si>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</si>
  <si>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</si>
  <si>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</si>
  <si>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</si>
  <si>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</si>
  <si>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</si>
  <si>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</si>
  <si>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</si>
  <si>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</si>
  <si>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</si>
  <si>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</si>
  <si>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</si>
  <si>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</si>
  <si>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</si>
  <si>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</si>
  <si>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</si>
  <si>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</si>
  <si>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</si>
  <si>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</si>
  <si>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</si>
  <si>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</si>
  <si>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</si>
  <si>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</si>
  <si>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</si>
  <si>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</si>
  <si>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</si>
  <si>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</si>
  <si>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</si>
  <si>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</si>
  <si>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</si>
  <si>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</si>
  <si>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</si>
  <si>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</si>
  <si>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</si>
  <si>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</si>
  <si>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</si>
  <si>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</si>
  <si>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</si>
  <si>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</si>
  <si>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</si>
  <si>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</si>
  <si>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</si>
  <si>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</si>
  <si>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</si>
  <si>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</si>
  <si>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</si>
  <si>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</si>
  <si>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</si>
  <si>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</si>
  <si>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</si>
  <si>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</si>
  <si>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</si>
  <si>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</si>
  <si>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</si>
  <si>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</si>
  <si>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</si>
  <si>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</si>
  <si>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</si>
  <si>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</si>
  <si>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</si>
  <si>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</si>
  <si>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</si>
  <si>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</si>
  <si>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</si>
  <si>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</si>
  <si>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</si>
  <si>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</si>
  <si>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</si>
  <si>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</si>
  <si>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</si>
  <si>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</si>
  <si>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</si>
  <si>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</si>
  <si>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</si>
  <si>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</si>
  <si>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</si>
  <si>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</si>
  <si>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</si>
  <si>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</si>
  <si>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</si>
  <si>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</si>
  <si>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</si>
  <si>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</si>
  <si>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</si>
  <si>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</si>
  <si>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</si>
  <si>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</si>
  <si>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</si>
  <si>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</si>
  <si>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</si>
  <si>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</si>
  <si>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</si>
  <si>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</si>
  <si>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</si>
  <si>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</si>
  <si>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</si>
  <si>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</si>
  <si>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</si>
  <si>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</si>
  <si>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</si>
  <si>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</si>
  <si>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</si>
  <si>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</si>
  <si>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</si>
  <si>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</si>
  <si>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</si>
  <si>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</si>
  <si>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</si>
  <si>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</si>
  <si>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</si>
  <si>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</si>
  <si>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</si>
  <si>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</si>
  <si>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</si>
  <si>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</si>
  <si>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</si>
  <si>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</si>
  <si>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</si>
  <si>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</si>
  <si>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</si>
  <si>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</si>
  <si>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</si>
  <si>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</si>
  <si>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</si>
  <si>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</si>
  <si>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</si>
  <si>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</si>
  <si>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</si>
  <si>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</si>
  <si>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</si>
  <si>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</si>
  <si>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</si>
  <si>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</si>
  <si>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</si>
  <si>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</si>
  <si>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</si>
  <si>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</si>
  <si>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</si>
  <si>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</si>
  <si>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</si>
  <si>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</si>
  <si>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</si>
  <si>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</si>
  <si>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</si>
  <si>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</si>
  <si>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</si>
  <si>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</si>
  <si>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</si>
  <si>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</si>
  <si>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</si>
  <si>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</si>
  <si>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</si>
  <si>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</si>
  <si>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</si>
  <si>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</si>
  <si>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</si>
  <si>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</si>
  <si>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</si>
  <si>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</si>
  <si>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</si>
  <si>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</si>
  <si>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</si>
  <si>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</si>
  <si>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</si>
  <si>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</si>
  <si>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</si>
  <si>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</si>
  <si>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</si>
  <si>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</si>
  <si>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</si>
  <si>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</si>
  <si>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</si>
  <si>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</si>
  <si>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</si>
  <si>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</si>
  <si>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</si>
  <si>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</si>
  <si>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</si>
  <si>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</si>
  <si>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</si>
  <si>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</si>
  <si>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</si>
  <si>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</si>
  <si>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</si>
  <si>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</si>
  <si>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</si>
  <si>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</si>
  <si>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</si>
  <si>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</si>
  <si>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</si>
  <si>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</si>
  <si>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</si>
  <si>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</si>
  <si>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</si>
  <si>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</si>
  <si>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</si>
  <si>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</si>
  <si>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</si>
  <si>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</si>
  <si>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</si>
  <si>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</si>
  <si>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</si>
  <si>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</si>
  <si>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</si>
  <si>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</si>
  <si>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</si>
  <si>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</si>
  <si>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</si>
  <si>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</si>
  <si>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</si>
  <si>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</si>
  <si>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</si>
  <si>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</si>
  <si>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</si>
  <si>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</si>
  <si>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</si>
  <si>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</si>
  <si>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</si>
  <si>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</si>
  <si>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</si>
  <si>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</si>
  <si>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</si>
  <si>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</si>
  <si>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</si>
  <si>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</si>
  <si>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</si>
  <si>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</si>
  <si>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</si>
  <si>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</si>
  <si>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</si>
  <si>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</si>
  <si>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</si>
  <si>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</si>
  <si>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</si>
  <si>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</si>
  <si>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</si>
  <si>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</si>
  <si>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</si>
  <si>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</si>
  <si>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</si>
  <si>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</si>
  <si>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</si>
  <si>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</si>
  <si>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</si>
  <si>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</si>
  <si>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</si>
  <si>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</si>
  <si>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</si>
  <si>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</si>
  <si>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</si>
  <si>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</si>
  <si>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</si>
  <si>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</si>
  <si>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</si>
  <si>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</si>
  <si>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</si>
  <si>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</si>
  <si>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</si>
  <si>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</si>
  <si>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</si>
  <si>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</si>
  <si>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</si>
  <si>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</si>
  <si>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</si>
  <si>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</si>
  <si>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</si>
  <si>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</si>
  <si>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</si>
  <si>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</si>
  <si>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</si>
  <si>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</si>
  <si>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</si>
  <si>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</si>
  <si>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</si>
  <si>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</si>
  <si>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</si>
  <si>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</si>
  <si>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</si>
  <si>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</si>
  <si>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</si>
  <si>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</si>
  <si>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</si>
  <si>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</si>
  <si>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</si>
  <si>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</si>
  <si>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</si>
  <si>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</si>
  <si>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</si>
  <si>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</si>
  <si>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</si>
  <si>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</si>
  <si>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</si>
  <si>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</si>
  <si>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</si>
  <si>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</si>
  <si>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</si>
  <si>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</si>
  <si>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</si>
  <si>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</si>
  <si>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</si>
  <si>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</si>
  <si>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</si>
  <si>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</si>
  <si>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</si>
  <si>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</si>
  <si>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</si>
  <si>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</si>
  <si>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</si>
  <si>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</si>
  <si>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</si>
  <si>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</si>
  <si>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</si>
  <si>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</si>
  <si>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</si>
  <si>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</si>
  <si>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</si>
  <si>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</si>
  <si>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</si>
  <si>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</si>
  <si>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</si>
  <si>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</si>
  <si>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</si>
  <si>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</si>
  <si>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</si>
  <si>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</si>
  <si>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</si>
  <si>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</si>
  <si>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</si>
  <si>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</si>
  <si>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</si>
  <si>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</si>
  <si>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</si>
  <si>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</si>
  <si>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</si>
  <si>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</si>
  <si>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</si>
  <si>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</si>
  <si>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</si>
  <si>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</si>
  <si>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</si>
  <si>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</si>
  <si>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</si>
  <si>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</si>
  <si>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</si>
  <si>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</si>
  <si>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</si>
  <si>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</si>
  <si>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</si>
  <si>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</si>
  <si>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</si>
  <si>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</si>
  <si>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</si>
  <si>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</si>
  <si>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</si>
  <si>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</si>
  <si>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</si>
  <si>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</si>
  <si>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</si>
  <si>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</si>
  <si>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</si>
  <si>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</si>
  <si>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</si>
  <si>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</si>
  <si>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</si>
  <si>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</si>
  <si>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</si>
  <si>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</si>
  <si>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</si>
  <si>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</si>
  <si>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</si>
  <si>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</si>
  <si>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</si>
  <si>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</si>
  <si>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</si>
  <si>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</si>
  <si>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</si>
  <si>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</si>
  <si>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</si>
  <si>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</si>
  <si>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</si>
  <si>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</si>
  <si>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</si>
  <si>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</si>
  <si>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</si>
  <si>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</si>
  <si>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</si>
  <si>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</si>
  <si>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</si>
  <si>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</si>
  <si>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</si>
  <si>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</si>
  <si>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</si>
  <si>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</si>
  <si>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</si>
  <si>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</si>
  <si>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</si>
  <si>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</si>
  <si>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</si>
  <si>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</si>
  <si>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</si>
  <si>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</si>
  <si>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</si>
  <si>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</si>
  <si>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</si>
  <si>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</si>
  <si>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</si>
  <si>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</si>
  <si>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</si>
  <si>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</si>
  <si>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</si>
  <si>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</si>
  <si>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</si>
  <si>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</si>
  <si>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</si>
  <si>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</si>
  <si>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</si>
  <si>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</si>
  <si>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</si>
  <si>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</si>
  <si>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</si>
  <si>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</si>
  <si>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</si>
  <si>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</si>
  <si>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</si>
  <si>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</si>
  <si>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</si>
  <si>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</si>
  <si>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</si>
  <si>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</si>
  <si>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</si>
  <si>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</si>
  <si>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</si>
  <si>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</si>
  <si>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</si>
  <si>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</si>
  <si>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</si>
  <si>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</si>
  <si>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</si>
  <si>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</si>
  <si>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</si>
  <si>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</si>
  <si>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</si>
  <si>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</si>
  <si>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</si>
  <si>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</si>
  <si>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</si>
  <si>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</si>
  <si>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</si>
  <si>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</si>
  <si>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</si>
  <si>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</si>
  <si>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</si>
  <si>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</si>
  <si>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</si>
  <si>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</si>
  <si>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</si>
  <si>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</si>
  <si>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</si>
  <si>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</si>
  <si>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</si>
  <si>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</si>
  <si>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</si>
  <si>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</si>
  <si>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</si>
  <si>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</si>
  <si>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</si>
  <si>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</si>
  <si>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</si>
  <si>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</si>
  <si>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</si>
  <si>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</si>
  <si>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</si>
  <si>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</si>
  <si>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</si>
  <si>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</si>
  <si>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</si>
  <si>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</si>
  <si>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</si>
  <si>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</si>
  <si>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</si>
  <si>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</si>
  <si>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</si>
  <si>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</si>
  <si>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</si>
  <si>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</si>
  <si>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</si>
  <si>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</si>
  <si>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</si>
  <si>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</si>
  <si>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</si>
  <si>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</si>
  <si>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</si>
  <si>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</si>
  <si>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</si>
  <si>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</si>
  <si>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</si>
  <si>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</si>
  <si>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</si>
  <si>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</si>
  <si>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</si>
  <si>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</si>
  <si>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</si>
  <si>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</si>
  <si>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</si>
  <si>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</si>
  <si>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</si>
  <si>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</si>
  <si>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</si>
  <si>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</si>
  <si>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</si>
  <si>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</si>
  <si>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</si>
  <si>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</si>
  <si>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</si>
  <si>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</si>
  <si>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</si>
  <si>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</si>
  <si>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</si>
  <si>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</si>
  <si>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</si>
  <si>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</si>
  <si>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</si>
  <si>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</si>
  <si>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</si>
  <si>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</si>
  <si>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</si>
  <si>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</si>
  <si>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</si>
  <si>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</si>
  <si>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</si>
  <si>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</si>
  <si>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</si>
  <si>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</si>
  <si>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</si>
  <si>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</si>
  <si>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</si>
  <si>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</si>
  <si>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</si>
  <si>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</si>
  <si>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</si>
  <si>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</si>
  <si>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</si>
  <si>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</si>
  <si>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</si>
  <si>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</si>
  <si>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</si>
  <si>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</si>
  <si>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</si>
  <si>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</si>
  <si>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</si>
  <si>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</si>
  <si>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</si>
  <si>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</si>
  <si>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</si>
  <si>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</si>
  <si>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</si>
  <si>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</si>
  <si>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</si>
  <si>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</si>
  <si>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</si>
  <si>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</si>
  <si>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</si>
  <si>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</si>
  <si>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</si>
  <si>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</si>
  <si>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</si>
  <si>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</si>
  <si>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</si>
  <si>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</si>
  <si>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</si>
  <si>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</si>
  <si>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</si>
  <si>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</si>
  <si>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</si>
  <si>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</si>
  <si>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</si>
  <si>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</si>
  <si>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</si>
  <si>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</si>
  <si>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</si>
  <si>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</si>
  <si>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</si>
  <si>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</si>
  <si>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</si>
  <si>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</si>
  <si>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</si>
  <si>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</si>
  <si>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</si>
  <si>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</si>
  <si>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</si>
  <si>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</si>
  <si>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</si>
  <si>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</si>
  <si>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</si>
  <si>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</si>
  <si>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</si>
  <si>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</si>
  <si>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</si>
  <si>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</si>
  <si>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</si>
  <si>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</si>
  <si>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</si>
  <si>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</si>
  <si>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</si>
  <si>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</si>
  <si>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</si>
  <si>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</si>
  <si>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</si>
  <si>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</si>
  <si>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</si>
  <si>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</si>
  <si>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</si>
  <si>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</si>
  <si>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</si>
  <si>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</si>
  <si>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</si>
  <si>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</si>
  <si>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</si>
  <si>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</si>
  <si>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</si>
  <si>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</si>
  <si>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</si>
  <si>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</si>
  <si>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</si>
  <si>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</si>
  <si>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</si>
  <si>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</si>
  <si>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</si>
  <si>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</si>
  <si>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</si>
  <si>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</si>
  <si>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</si>
  <si>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</si>
  <si>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</si>
  <si>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</si>
  <si>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</si>
  <si>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</si>
  <si>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</si>
  <si>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</si>
  <si>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</si>
  <si>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</si>
  <si>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</si>
  <si>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</si>
  <si>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</si>
  <si>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</si>
  <si>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</si>
  <si>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</si>
  <si>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</si>
  <si>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</si>
  <si>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</si>
  <si>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</si>
  <si>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</si>
  <si>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</si>
  <si>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</si>
  <si>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</si>
  <si>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</si>
  <si>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</si>
  <si>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</si>
  <si>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</si>
  <si>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</si>
  <si>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</si>
  <si>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</si>
  <si>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</si>
  <si>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</si>
  <si>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</si>
  <si>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</si>
  <si>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</si>
  <si>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</si>
  <si>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</si>
  <si>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</si>
  <si>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</si>
  <si>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</si>
  <si>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</si>
  <si>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</si>
  <si>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</si>
  <si>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</si>
  <si>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</si>
  <si>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</si>
  <si>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</si>
  <si>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</si>
  <si>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</si>
  <si>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</si>
  <si>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</si>
  <si>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</si>
  <si>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</si>
  <si>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</si>
  <si>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</si>
  <si>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Latha - Red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</si>
  <si>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</si>
  <si>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</si>
  <si>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</si>
  <si>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</si>
  <si>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Yellow/Orange(4), Red, Green, Blue, Purple</t>
  </si>
  <si>
    <t>120-count mulmul cotton saree</t>
  </si>
  <si>
    <t>Black with gold stripes</t>
  </si>
  <si>
    <t>Chanderi Silk Saree</t>
  </si>
  <si>
    <t>Yellow/Blue</t>
  </si>
  <si>
    <t>Green and maroon, deep purple and dark green, blue and dark green, green and maroon, rose pink and olive green, Red</t>
  </si>
  <si>
    <t>Butter silk saree collection</t>
  </si>
  <si>
    <t xml:space="preserve">Lime Green, Parrot Green </t>
  </si>
  <si>
    <t xml:space="preserve">Cream/gold with leaves, cream/gold with flowers, cream/gold with stars and paisley </t>
  </si>
  <si>
    <t>Shimmer Saree Collection</t>
  </si>
  <si>
    <t>Soft Mul Tissue saree Collection</t>
  </si>
  <si>
    <t>Rust, Purple, Dark Grey, Olive Green</t>
  </si>
  <si>
    <t>Mul Tissue saree Collection</t>
  </si>
  <si>
    <t>Rose pink, dusty lavender, brick red, champagne, chocolate brown, magenta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</si>
  <si>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</si>
  <si>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</si>
  <si>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</si>
  <si>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</si>
  <si>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</si>
  <si>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</si>
  <si>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</si>
  <si>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</si>
  <si>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Teena mathew - Paeach</t>
  </si>
  <si>
    <t>light blue, pink, light green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</si>
  <si>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</si>
  <si>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</si>
  <si>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</si>
  <si>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</si>
  <si>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</si>
  <si>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</si>
  <si>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</si>
  <si>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</si>
  <si>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</si>
  <si>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Saraladevi</t>
  </si>
  <si>
    <t>Simi Upanesh</t>
  </si>
  <si>
    <t>Sourabhya (XL - 580), Lakshmi - L</t>
  </si>
  <si>
    <t>CHR-157 2 piece cotton salwar, Banarasi golden yellow blue</t>
  </si>
  <si>
    <t>Violet - Ambika, Navy Blue - Simi Upanesh, Light Green - Saraladevi</t>
  </si>
  <si>
    <t>CHR-189 - Navy Blue</t>
  </si>
  <si>
    <t>CHR-189 - Light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</si>
</sst>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289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181</c:v>
                </c:pt>
                <c:pt idx="1">
                  <c:v>53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136591.19666666666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65078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51746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-13332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389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519225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472214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480244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-47011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58779.66</v>
      </c>
      <c r="C10" s="9"/>
    </row>
    <row r="11" spans="1:6" ht="13.5" customHeight="1">
      <c r="A11" s="11" t="s">
        <v>50</v>
      </c>
      <c r="B11" s="14">
        <f>PartnerShares!H9</f>
        <v>21752.67</v>
      </c>
      <c r="C11" s="11"/>
    </row>
    <row r="12" spans="1:6" ht="13.5" customHeight="1">
      <c r="A12" s="9" t="s">
        <v>51</v>
      </c>
      <c r="B12" s="13">
        <f>PartnerShares!H10</f>
        <v>-80532.33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250158</v>
      </c>
      <c r="C18" s="10">
        <f>PartnerShares!C8</f>
        <v>173075</v>
      </c>
      <c r="D18" s="10">
        <f>PartnerShares!D8</f>
        <v>77083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58779.66</v>
      </c>
      <c r="G18" s="16" t="str">
        <f>IF(ROUND(F18,0)&gt;0,"Receive ₹"&amp;TEXT(ABS(F18),"#,##0"),IF(ROUND(F18,0)&lt;0,"Pay ₹"&amp;TEXT(ABS(F18),"#,##0"),"✓ Settled"))</f>
        <v>Receive ₹58,780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173075</v>
      </c>
      <c r="D19" s="12">
        <f>PartnerShares!D9</f>
        <v>63392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21752.67</v>
      </c>
      <c r="G19" s="17" t="str">
        <f>IF(ROUND(F19,0)&gt;0,"Receive ₹"&amp;TEXT(ABS(F19),"#,##0"),IF(ROUND(F19,0)&lt;0,"Pay ₹"&amp;TEXT(ABS(F19),"#,##0"),"✓ Settled"))</f>
        <v>Receive ₹21,753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173075</v>
      </c>
      <c r="D20" s="10">
        <f>PartnerShares!D10</f>
        <v>-140475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-80532.33</v>
      </c>
      <c r="G20" s="17" t="str">
        <f>IF(ROUND(F20,0)&gt;0,"Receive ₹"&amp;TEXT(ABS(F20),"#,##0"),IF(ROUND(F20,0)&lt;0,"Pay ₹"&amp;TEXT(ABS(F20),"#,##0"),"✓ Settled"))</f>
        <v>Pay ₹80,532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405060</v>
      </c>
      <c r="C26" s="10">
        <f>'Cash Pool'!D4</f>
        <v>157436.1476</v>
      </c>
      <c r="D26" s="10">
        <f>'Cash Pool'!E4</f>
        <v>247623.8524</v>
      </c>
      <c r="E26" s="10">
        <f>'Cash Pool'!F4</f>
        <v>-137310.02600000001</v>
      </c>
      <c r="F26" s="13">
        <f>'Cash Pool'!G4</f>
        <v>110313.82639999999</v>
      </c>
      <c r="G26" s="17" t="str">
        <f>IF(ROUND(F26,0)&gt;0,"Pay ₹"&amp;TEXT(ABS(F26),"#,##0"),IF(ROUND(F26,0)&lt;0,"Receive ₹"&amp;TEXT(ABS(F26),"#,##0"),"✓ Settled"))</f>
        <v>Pay ₹110,314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157341.70480000001</v>
      </c>
      <c r="D27" s="12">
        <f>'Cash Pool'!E5</f>
        <v>-102717.70480000001</v>
      </c>
      <c r="E27" s="12">
        <f>'Cash Pool'!F5</f>
        <v>71587.042000000001</v>
      </c>
      <c r="F27" s="14">
        <f>'Cash Pool'!G5</f>
        <v>-31130.662800000006</v>
      </c>
      <c r="G27" s="18" t="str">
        <f>IF(ROUND(F27,0)&gt;0,"Pay ₹"&amp;TEXT(ABS(F27),"#,##0"),IF(ROUND(F27,0)&lt;0,"Receive ₹"&amp;TEXT(ABS(F27),"#,##0"),"✓ Settled"))</f>
        <v>Receive ₹31,131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157436.1476</v>
      </c>
      <c r="D28" s="10">
        <f>'Cash Pool'!E6</f>
        <v>-144906.1476</v>
      </c>
      <c r="E28" s="10">
        <f>'Cash Pool'!F6</f>
        <v>65722.984000000011</v>
      </c>
      <c r="F28" s="13">
        <f>'Cash Pool'!G6</f>
        <v>-79183.163599999985</v>
      </c>
      <c r="G28" s="16" t="str">
        <f>IF(ROUND(F28,0)&gt;0,"Pay ₹"&amp;TEXT(ABS(F28),"#,##0"),IF(ROUND(F28,0)&lt;0,"Receive ₹"&amp;TEXT(ABS(F28),"#,##0"),"✓ Settled"))</f>
        <v>Receive ₹79,183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46224</v>
      </c>
    </row>
    <row r="5" spans="1:8" ht="15" customHeight="1">
      <c r="A5" s="19" t="s">
        <v>41</v>
      </c>
      <c r="B5" s="21">
        <f>Summary!B3</f>
        <v>519225</v>
      </c>
      <c r="D5" s="19" t="s">
        <v>69</v>
      </c>
      <c r="E5" s="21">
        <f>Summary!B4</f>
        <v>472214</v>
      </c>
    </row>
    <row r="6" spans="1:8" ht="15" customHeight="1">
      <c r="A6" s="19" t="s">
        <v>70</v>
      </c>
      <c r="B6" s="21">
        <f>Summary!B6</f>
        <v>-47011</v>
      </c>
      <c r="D6" s="19" t="s">
        <v>71</v>
      </c>
      <c r="E6" s="21">
        <f>SUMIFS(INVENTORY!K:K, INVENTORY!N:N, "&lt;&gt;Sold Out")</f>
        <v>184466.39666666667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389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6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65078</v>
      </c>
      <c r="C16" s="21">
        <f>IFERROR(SUMPRODUCT((TEXT(Sales!$A$2:$A$995,"MMM")=$A16)*(YEAR(Sales!$A$2:$A$995)=$B$7)*Sales!$C$2:$C$995),0)</f>
        <v>51746</v>
      </c>
      <c r="D16" s="21">
        <f t="shared" si="0"/>
        <v>-13332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289</v>
      </c>
      <c r="H47" s="30">
        <f>SUMIF(INVENTORY!C:C, F47, INVENTORY!G:G)</f>
        <v>181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136591.19666666666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9" activePane="bottomLeft" state="frozen"/>
      <selection pane="bottomLeft" activeCell="E101" sqref="E10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1149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1150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1151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>
        <v>46223</v>
      </c>
      <c r="B100" s="36" t="s">
        <v>49</v>
      </c>
      <c r="C100" s="37">
        <v>42</v>
      </c>
      <c r="D100" s="36" t="s">
        <v>138</v>
      </c>
    </row>
    <row r="101" spans="1:4" ht="15" customHeight="1">
      <c r="A101" s="38">
        <v>46223</v>
      </c>
      <c r="B101" s="39" t="s">
        <v>49</v>
      </c>
      <c r="C101" s="40">
        <v>188</v>
      </c>
      <c r="D101" s="39" t="s">
        <v>138</v>
      </c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61" activePane="bottomLeft" state="frozen"/>
      <selection pane="bottomLeft" activeCell="H290" sqref="H290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1078</v>
      </c>
      <c r="I250" s="49" t="s">
        <v>356</v>
      </c>
    </row>
    <row r="251" spans="1:9" ht="14">
      <c r="A251" s="52">
        <v>46201</v>
      </c>
      <c r="B251" s="53" t="s">
        <v>1093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1079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1080</v>
      </c>
      <c r="I252" s="49" t="s">
        <v>148</v>
      </c>
    </row>
    <row r="253" spans="1:9" ht="14">
      <c r="A253" s="52">
        <v>46201</v>
      </c>
      <c r="B253" s="53" t="s">
        <v>1081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1082</v>
      </c>
      <c r="I253" s="53" t="s">
        <v>148</v>
      </c>
    </row>
    <row r="254" spans="1:9" ht="14">
      <c r="A254" s="48">
        <v>46201</v>
      </c>
      <c r="B254" s="49" t="s">
        <v>1083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1085</v>
      </c>
      <c r="I255" s="53" t="s">
        <v>148</v>
      </c>
    </row>
    <row r="256" spans="1:9" ht="14">
      <c r="A256" s="48">
        <v>46203</v>
      </c>
      <c r="B256" s="49" t="s">
        <v>1094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1095</v>
      </c>
      <c r="I256" s="49" t="s">
        <v>148</v>
      </c>
    </row>
    <row r="257" spans="1:9" ht="14">
      <c r="A257" s="52">
        <v>46204</v>
      </c>
      <c r="B257" s="53" t="s">
        <v>1098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1099</v>
      </c>
      <c r="I257" s="53" t="s">
        <v>148</v>
      </c>
    </row>
    <row r="258" spans="1:9" ht="14">
      <c r="A258" s="48">
        <v>46205</v>
      </c>
      <c r="B258" s="49" t="s">
        <v>1100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1101</v>
      </c>
      <c r="I258" s="49" t="s">
        <v>148</v>
      </c>
    </row>
    <row r="259" spans="1:9" ht="14">
      <c r="A259" s="52">
        <v>46205</v>
      </c>
      <c r="B259" s="53" t="s">
        <v>1100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1104</v>
      </c>
      <c r="I259" s="53" t="s">
        <v>148</v>
      </c>
    </row>
    <row r="260" spans="1:9" ht="14">
      <c r="A260" s="48">
        <v>46205</v>
      </c>
      <c r="B260" s="49" t="s">
        <v>1106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1105</v>
      </c>
      <c r="I260" s="49" t="s">
        <v>148</v>
      </c>
    </row>
    <row r="261" spans="1:9" ht="14">
      <c r="A261" s="52">
        <v>46205</v>
      </c>
      <c r="B261" s="53" t="s">
        <v>1109</v>
      </c>
      <c r="C261" s="54">
        <v>2600</v>
      </c>
      <c r="D261" s="53" t="s">
        <v>162</v>
      </c>
      <c r="E261" s="53" t="s">
        <v>49</v>
      </c>
      <c r="F261" s="56"/>
      <c r="G261" s="56"/>
      <c r="H261" s="57" t="s">
        <v>1197</v>
      </c>
      <c r="I261" s="53" t="s">
        <v>148</v>
      </c>
    </row>
    <row r="262" spans="1:9" ht="14">
      <c r="A262" s="48">
        <v>46206</v>
      </c>
      <c r="B262" s="49" t="s">
        <v>1113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1125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1126</v>
      </c>
      <c r="I264" s="49" t="s">
        <v>356</v>
      </c>
    </row>
    <row r="265" spans="1:9" ht="14">
      <c r="A265" s="52">
        <v>46206</v>
      </c>
      <c r="B265" s="53" t="s">
        <v>1117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1133</v>
      </c>
      <c r="I265" s="53" t="s">
        <v>356</v>
      </c>
    </row>
    <row r="266" spans="1:9" ht="14">
      <c r="A266" s="48">
        <v>46206</v>
      </c>
      <c r="B266" s="49" t="s">
        <v>1106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1118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1119</v>
      </c>
      <c r="I267" s="53" t="s">
        <v>148</v>
      </c>
    </row>
    <row r="268" spans="1:9" ht="28">
      <c r="A268" s="48">
        <v>46208</v>
      </c>
      <c r="B268" s="49" t="s">
        <v>1124</v>
      </c>
      <c r="C268" s="50">
        <v>2350</v>
      </c>
      <c r="D268" s="49"/>
      <c r="E268" s="49"/>
      <c r="F268" s="49"/>
      <c r="G268" s="49"/>
      <c r="H268" s="51" t="s">
        <v>1134</v>
      </c>
      <c r="I268" s="49" t="s">
        <v>356</v>
      </c>
    </row>
    <row r="269" spans="1:9" ht="14">
      <c r="A269" s="52">
        <v>46209</v>
      </c>
      <c r="B269" s="53" t="s">
        <v>1122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1123</v>
      </c>
      <c r="I269" s="53" t="s">
        <v>148</v>
      </c>
    </row>
    <row r="270" spans="1:9" ht="14">
      <c r="A270" s="48">
        <v>46210</v>
      </c>
      <c r="B270" s="49" t="s">
        <v>1129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1130</v>
      </c>
      <c r="I270" s="49" t="s">
        <v>148</v>
      </c>
    </row>
    <row r="271" spans="1:9" ht="14">
      <c r="A271" s="52">
        <v>46211</v>
      </c>
      <c r="B271" s="53" t="s">
        <v>1131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1132</v>
      </c>
      <c r="I271" s="53" t="s">
        <v>148</v>
      </c>
    </row>
    <row r="272" spans="1:9" ht="14">
      <c r="A272" s="48">
        <v>46215</v>
      </c>
      <c r="B272" s="49" t="s">
        <v>1136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1137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1099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1139</v>
      </c>
      <c r="I274" s="49" t="s">
        <v>148</v>
      </c>
    </row>
    <row r="275" spans="1:9" ht="14">
      <c r="A275" s="52">
        <v>46216</v>
      </c>
      <c r="B275" s="53" t="s">
        <v>1140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1099</v>
      </c>
      <c r="I275" s="53" t="s">
        <v>148</v>
      </c>
    </row>
    <row r="276" spans="1:9" ht="14">
      <c r="A276" s="48">
        <v>46216</v>
      </c>
      <c r="B276" s="49" t="s">
        <v>1143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1142</v>
      </c>
      <c r="I276" s="49" t="s">
        <v>148</v>
      </c>
    </row>
    <row r="277" spans="1:9" ht="14">
      <c r="A277" s="52">
        <v>46219</v>
      </c>
      <c r="B277" s="53" t="s">
        <v>1144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1148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1154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1160</v>
      </c>
      <c r="I281" s="53" t="s">
        <v>148</v>
      </c>
    </row>
    <row r="282" spans="1:9" ht="14">
      <c r="A282" s="48">
        <v>46220</v>
      </c>
      <c r="B282" s="49" t="s">
        <v>1175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1176</v>
      </c>
      <c r="I282" s="49" t="s">
        <v>148</v>
      </c>
    </row>
    <row r="283" spans="1:9" ht="14">
      <c r="A283" s="52">
        <v>46221</v>
      </c>
      <c r="B283" s="53" t="s">
        <v>1179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1180</v>
      </c>
      <c r="I283" s="53" t="s">
        <v>148</v>
      </c>
    </row>
    <row r="284" spans="1:9" ht="14">
      <c r="A284" s="48">
        <v>46222</v>
      </c>
      <c r="B284" s="49" t="s">
        <v>1181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1182</v>
      </c>
      <c r="I284" s="49" t="s">
        <v>148</v>
      </c>
    </row>
    <row r="285" spans="1:9" ht="14">
      <c r="A285" s="52">
        <v>46222</v>
      </c>
      <c r="B285" s="53" t="s">
        <v>1185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1186</v>
      </c>
      <c r="I285" s="53" t="s">
        <v>148</v>
      </c>
    </row>
    <row r="286" spans="1:9" ht="14">
      <c r="A286" s="48">
        <v>46222</v>
      </c>
      <c r="B286" s="49" t="s">
        <v>1188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1189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 ht="14">
      <c r="A288" s="48">
        <v>46223</v>
      </c>
      <c r="B288" s="49" t="s">
        <v>1192</v>
      </c>
      <c r="C288" s="50">
        <v>1380</v>
      </c>
      <c r="D288" s="49" t="s">
        <v>162</v>
      </c>
      <c r="E288" s="49" t="s">
        <v>49</v>
      </c>
      <c r="F288" s="49"/>
      <c r="G288" s="49"/>
      <c r="H288" s="51" t="s">
        <v>1193</v>
      </c>
      <c r="I288" s="49" t="s">
        <v>148</v>
      </c>
    </row>
    <row r="289" spans="1:9" ht="14">
      <c r="A289" s="52">
        <v>46224</v>
      </c>
      <c r="B289" s="53" t="s">
        <v>1195</v>
      </c>
      <c r="C289" s="54">
        <v>1380</v>
      </c>
      <c r="D289" s="53" t="s">
        <v>162</v>
      </c>
      <c r="E289" s="53" t="s">
        <v>49</v>
      </c>
      <c r="F289" s="56"/>
      <c r="G289" s="56"/>
      <c r="H289" s="57" t="s">
        <v>1199</v>
      </c>
      <c r="I289" s="53" t="s">
        <v>148</v>
      </c>
    </row>
    <row r="290" spans="1:9" ht="14">
      <c r="A290" s="48">
        <v>46224</v>
      </c>
      <c r="B290" s="49" t="s">
        <v>1194</v>
      </c>
      <c r="C290" s="50">
        <v>1380</v>
      </c>
      <c r="D290" s="49" t="s">
        <v>162</v>
      </c>
      <c r="E290" s="49" t="s">
        <v>49</v>
      </c>
      <c r="F290" s="49"/>
      <c r="G290" s="49"/>
      <c r="H290" s="51" t="s">
        <v>1200</v>
      </c>
      <c r="I290" s="49" t="s">
        <v>148</v>
      </c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J1" zoomScaleNormal="100" workbookViewId="0">
      <pane ySplit="1" topLeftCell="A170" activePane="bottomLeft" state="frozen"/>
      <selection activeCell="E1" sqref="E1"/>
      <selection pane="bottomLeft" activeCell="P190" sqref="P190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1127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1128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1</v>
      </c>
      <c r="H93" s="66">
        <f t="shared" si="4"/>
        <v>4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472</v>
      </c>
      <c r="L93" s="66" t="s">
        <v>1196</v>
      </c>
      <c r="M93" s="66"/>
      <c r="N93" s="63" t="s">
        <v>589</v>
      </c>
      <c r="O93" s="66" t="s">
        <v>216</v>
      </c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1190</v>
      </c>
      <c r="M120" s="63" t="s">
        <v>49</v>
      </c>
      <c r="N120" s="63" t="s">
        <v>589</v>
      </c>
      <c r="O120" s="63"/>
      <c r="P120" s="63" t="s">
        <v>1191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1187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1152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1153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1115</v>
      </c>
      <c r="M154" s="63"/>
      <c r="N154" s="63" t="s">
        <v>589</v>
      </c>
      <c r="O154" s="63" t="s">
        <v>1112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1138</v>
      </c>
      <c r="M155" s="66"/>
      <c r="N155" s="66" t="s">
        <v>589</v>
      </c>
      <c r="O155" s="66" t="s">
        <v>1112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1116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1159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1096</v>
      </c>
      <c r="M166" s="63"/>
      <c r="N166" s="63" t="s">
        <v>504</v>
      </c>
      <c r="O166" s="63"/>
      <c r="P166" s="63" t="s">
        <v>1097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1103</v>
      </c>
      <c r="M175" s="66"/>
      <c r="N175" s="66" t="s">
        <v>589</v>
      </c>
      <c r="O175" s="66"/>
      <c r="P175" s="66" t="s">
        <v>1102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1110</v>
      </c>
      <c r="M181" s="66"/>
      <c r="N181" s="66" t="s">
        <v>589</v>
      </c>
      <c r="O181" s="66" t="s">
        <v>1111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1141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1145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1135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1146</v>
      </c>
      <c r="M189" s="66"/>
      <c r="N189" s="66" t="s">
        <v>589</v>
      </c>
      <c r="O189" s="66"/>
      <c r="P189" s="66" t="s">
        <v>1147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3</v>
      </c>
      <c r="G190" s="78">
        <v>0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2673</v>
      </c>
      <c r="K190" s="77">
        <f t="shared" si="10"/>
        <v>0</v>
      </c>
      <c r="L190" s="63" t="s">
        <v>1198</v>
      </c>
      <c r="M190" s="63"/>
      <c r="N190" s="58" t="s">
        <v>504</v>
      </c>
      <c r="S190" s="58"/>
      <c r="T190" s="58"/>
    </row>
    <row r="191" spans="1:20" ht="30" customHeight="1">
      <c r="A191" s="66" t="s">
        <v>975</v>
      </c>
      <c r="B191" s="63" t="s">
        <v>976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977</v>
      </c>
      <c r="S191" s="58"/>
      <c r="T191" s="58"/>
    </row>
    <row r="192" spans="1:20" ht="15" customHeight="1">
      <c r="A192" s="63" t="s">
        <v>978</v>
      </c>
      <c r="B192" s="66" t="s">
        <v>979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1086</v>
      </c>
      <c r="M192" s="63"/>
      <c r="N192" s="58" t="s">
        <v>589</v>
      </c>
      <c r="P192" s="58" t="s">
        <v>1087</v>
      </c>
      <c r="S192" s="58"/>
      <c r="T192" s="58"/>
    </row>
    <row r="193" spans="1:20" ht="15" customHeight="1">
      <c r="A193" s="66" t="s">
        <v>980</v>
      </c>
      <c r="B193" s="63" t="s">
        <v>981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982</v>
      </c>
      <c r="S193" s="58"/>
      <c r="T193" s="58"/>
    </row>
    <row r="194" spans="1:20" ht="15" customHeight="1">
      <c r="A194" s="63" t="s">
        <v>983</v>
      </c>
      <c r="B194" s="63" t="s">
        <v>984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985</v>
      </c>
      <c r="S194" s="58"/>
      <c r="T194" s="58"/>
    </row>
    <row r="195" spans="1:20" ht="15" customHeight="1">
      <c r="A195" s="66" t="s">
        <v>986</v>
      </c>
      <c r="B195" s="66" t="s">
        <v>987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988</v>
      </c>
      <c r="M195" s="66"/>
      <c r="N195" s="58" t="s">
        <v>589</v>
      </c>
      <c r="P195" s="58" t="s">
        <v>989</v>
      </c>
      <c r="S195" s="58"/>
      <c r="T195" s="58"/>
    </row>
    <row r="196" spans="1:20" ht="15" customHeight="1">
      <c r="A196" s="63" t="s">
        <v>990</v>
      </c>
      <c r="B196" s="63" t="s">
        <v>991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1157</v>
      </c>
      <c r="M196" s="63"/>
      <c r="N196" s="58" t="s">
        <v>589</v>
      </c>
      <c r="P196" s="58" t="s">
        <v>1158</v>
      </c>
      <c r="S196" s="58"/>
      <c r="T196" s="58"/>
    </row>
    <row r="197" spans="1:20" ht="15" customHeight="1">
      <c r="A197" s="66" t="s">
        <v>992</v>
      </c>
      <c r="B197" s="66" t="s">
        <v>993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994</v>
      </c>
      <c r="S197" s="58"/>
      <c r="T197" s="58"/>
    </row>
    <row r="198" spans="1:20" ht="15" customHeight="1">
      <c r="A198" s="63" t="s">
        <v>995</v>
      </c>
      <c r="B198" s="63" t="s">
        <v>996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997</v>
      </c>
      <c r="S198" s="58"/>
      <c r="T198" s="58"/>
    </row>
    <row r="199" spans="1:20" ht="15" customHeight="1">
      <c r="A199" s="66" t="s">
        <v>998</v>
      </c>
      <c r="B199" s="63" t="s">
        <v>999</v>
      </c>
      <c r="C199" s="63" t="s">
        <v>95</v>
      </c>
      <c r="D199" s="64">
        <v>467</v>
      </c>
      <c r="E199" s="64">
        <v>850</v>
      </c>
      <c r="F199" s="76">
        <v>1</v>
      </c>
      <c r="G199" s="76">
        <v>3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467</v>
      </c>
      <c r="K199" s="75">
        <f t="shared" si="14"/>
        <v>1401</v>
      </c>
      <c r="L199" s="66" t="s">
        <v>1183</v>
      </c>
      <c r="M199" s="66"/>
      <c r="N199" s="58" t="s">
        <v>589</v>
      </c>
      <c r="P199" s="58" t="s">
        <v>1184</v>
      </c>
      <c r="S199" s="58"/>
      <c r="T199" s="58"/>
    </row>
    <row r="200" spans="1:20" ht="30" customHeight="1">
      <c r="A200" s="63" t="s">
        <v>1000</v>
      </c>
      <c r="B200" s="66" t="s">
        <v>1001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1090</v>
      </c>
      <c r="M200" s="63"/>
      <c r="N200" s="58" t="s">
        <v>589</v>
      </c>
      <c r="P200" s="58" t="s">
        <v>1091</v>
      </c>
      <c r="S200" s="58"/>
      <c r="T200" s="58"/>
    </row>
    <row r="201" spans="1:20" ht="15" customHeight="1">
      <c r="A201" s="66" t="s">
        <v>1002</v>
      </c>
      <c r="B201" s="63" t="s">
        <v>1003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1004</v>
      </c>
      <c r="M201" s="66"/>
      <c r="N201" s="58" t="s">
        <v>589</v>
      </c>
      <c r="P201" s="58" t="s">
        <v>1005</v>
      </c>
      <c r="S201" s="58"/>
      <c r="T201" s="58"/>
    </row>
    <row r="202" spans="1:20" ht="15" customHeight="1">
      <c r="A202" s="63" t="s">
        <v>1006</v>
      </c>
      <c r="B202" s="66" t="s">
        <v>1007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1177</v>
      </c>
      <c r="M202" s="63"/>
      <c r="N202" s="58" t="s">
        <v>589</v>
      </c>
      <c r="P202" s="58" t="s">
        <v>1178</v>
      </c>
      <c r="S202" s="58"/>
      <c r="T202" s="58"/>
    </row>
    <row r="203" spans="1:20" ht="15" customHeight="1">
      <c r="A203" s="66" t="s">
        <v>1008</v>
      </c>
      <c r="B203" s="63" t="s">
        <v>1009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1010</v>
      </c>
      <c r="M203" s="66"/>
      <c r="N203" s="58" t="s">
        <v>504</v>
      </c>
      <c r="P203" s="58" t="s">
        <v>1011</v>
      </c>
      <c r="S203" s="58"/>
      <c r="T203" s="58"/>
    </row>
    <row r="204" spans="1:20" ht="15" customHeight="1">
      <c r="A204" s="63" t="s">
        <v>1012</v>
      </c>
      <c r="B204" s="63" t="s">
        <v>1013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1121</v>
      </c>
      <c r="M204" s="63"/>
      <c r="N204" s="58" t="s">
        <v>589</v>
      </c>
      <c r="P204" s="58" t="s">
        <v>1120</v>
      </c>
      <c r="S204" s="58"/>
      <c r="T204" s="58"/>
    </row>
    <row r="205" spans="1:20" ht="15" customHeight="1">
      <c r="A205" s="66" t="s">
        <v>1014</v>
      </c>
      <c r="B205" s="66" t="s">
        <v>1015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1016</v>
      </c>
      <c r="M205" s="66"/>
      <c r="N205" s="58" t="s">
        <v>678</v>
      </c>
      <c r="P205" s="58" t="s">
        <v>1017</v>
      </c>
      <c r="S205" s="58"/>
      <c r="T205" s="58"/>
    </row>
    <row r="206" spans="1:20" ht="15" customHeight="1">
      <c r="A206" s="63" t="s">
        <v>1018</v>
      </c>
      <c r="B206" s="63" t="s">
        <v>1019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1020</v>
      </c>
      <c r="S206" s="58"/>
      <c r="T206" s="58"/>
    </row>
    <row r="207" spans="1:20" ht="15" customHeight="1">
      <c r="A207" s="66" t="s">
        <v>1021</v>
      </c>
      <c r="B207" s="66" t="s">
        <v>1022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1023</v>
      </c>
      <c r="M207" s="66"/>
      <c r="N207" s="58" t="s">
        <v>589</v>
      </c>
      <c r="P207" s="58" t="s">
        <v>1024</v>
      </c>
      <c r="S207" s="58"/>
      <c r="T207" s="58"/>
    </row>
    <row r="208" spans="1:20" ht="30" customHeight="1">
      <c r="A208" s="63" t="s">
        <v>1025</v>
      </c>
      <c r="B208" s="63" t="s">
        <v>1026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1027</v>
      </c>
      <c r="S208" s="58"/>
      <c r="T208" s="58"/>
    </row>
    <row r="209" spans="1:20" ht="15" customHeight="1">
      <c r="A209" s="66" t="s">
        <v>1028</v>
      </c>
      <c r="B209" s="63" t="s">
        <v>1029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1089</v>
      </c>
      <c r="M209" s="66"/>
      <c r="N209" s="58" t="s">
        <v>589</v>
      </c>
      <c r="P209" s="58" t="s">
        <v>1088</v>
      </c>
      <c r="S209" s="58"/>
      <c r="T209" s="58"/>
    </row>
    <row r="210" spans="1:20" ht="15" customHeight="1">
      <c r="A210" s="63" t="s">
        <v>1030</v>
      </c>
      <c r="B210" s="66" t="s">
        <v>1031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1032</v>
      </c>
      <c r="S210" s="58"/>
      <c r="T210" s="58"/>
    </row>
    <row r="211" spans="1:20" ht="15" customHeight="1">
      <c r="A211" s="66" t="s">
        <v>1033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1034</v>
      </c>
      <c r="S211" s="58"/>
      <c r="T211" s="58"/>
    </row>
    <row r="212" spans="1:20" ht="15" customHeight="1">
      <c r="A212" s="63" t="s">
        <v>1035</v>
      </c>
      <c r="B212" s="66" t="s">
        <v>1108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1036</v>
      </c>
      <c r="B213" s="63" t="s">
        <v>1155</v>
      </c>
      <c r="C213" s="63" t="s">
        <v>95</v>
      </c>
      <c r="D213" s="64">
        <v>555</v>
      </c>
      <c r="E213" s="64">
        <v>850</v>
      </c>
      <c r="F213" s="76">
        <v>1</v>
      </c>
      <c r="G213" s="76">
        <v>8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555</v>
      </c>
      <c r="K213" s="75">
        <f t="shared" si="14"/>
        <v>4440</v>
      </c>
      <c r="L213" s="66" t="s">
        <v>1156</v>
      </c>
      <c r="M213" s="66"/>
      <c r="N213" s="58" t="s">
        <v>589</v>
      </c>
      <c r="P213" s="58" t="s">
        <v>1161</v>
      </c>
      <c r="S213" s="58"/>
      <c r="T213" s="58"/>
    </row>
    <row r="214" spans="1:20" ht="15" customHeight="1">
      <c r="A214" s="63" t="s">
        <v>1037</v>
      </c>
      <c r="B214" s="63" t="s">
        <v>1162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1163</v>
      </c>
      <c r="S214" s="58"/>
      <c r="T214" s="58"/>
    </row>
    <row r="215" spans="1:20" ht="15" customHeight="1">
      <c r="A215" s="66" t="s">
        <v>1038</v>
      </c>
      <c r="B215" s="66" t="s">
        <v>1164</v>
      </c>
      <c r="C215" s="66" t="s">
        <v>95</v>
      </c>
      <c r="D215" s="67">
        <v>992</v>
      </c>
      <c r="E215" s="67">
        <v>1450</v>
      </c>
      <c r="F215" s="76">
        <v>0</v>
      </c>
      <c r="G215" s="76">
        <v>6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0</v>
      </c>
      <c r="K215" s="75">
        <f t="shared" si="14"/>
        <v>5952</v>
      </c>
      <c r="L215" s="66"/>
      <c r="M215" s="66"/>
      <c r="N215" s="58" t="s">
        <v>678</v>
      </c>
      <c r="P215" s="58" t="s">
        <v>1165</v>
      </c>
      <c r="S215" s="58"/>
      <c r="T215" s="58"/>
    </row>
    <row r="216" spans="1:20" ht="30">
      <c r="A216" s="63" t="s">
        <v>1039</v>
      </c>
      <c r="B216" s="63" t="s">
        <v>999</v>
      </c>
      <c r="C216" s="63" t="s">
        <v>95</v>
      </c>
      <c r="D216" s="64">
        <v>576</v>
      </c>
      <c r="E216" s="64">
        <v>899</v>
      </c>
      <c r="F216" s="78">
        <v>0</v>
      </c>
      <c r="G216" s="78">
        <v>6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0</v>
      </c>
      <c r="K216" s="77">
        <f t="shared" si="14"/>
        <v>3456</v>
      </c>
      <c r="L216" s="63"/>
      <c r="M216" s="63"/>
      <c r="N216" s="58" t="s">
        <v>678</v>
      </c>
      <c r="P216" s="58" t="s">
        <v>1166</v>
      </c>
      <c r="S216" s="58"/>
      <c r="T216" s="58"/>
    </row>
    <row r="217" spans="1:20" ht="15" customHeight="1">
      <c r="A217" s="66" t="s">
        <v>1040</v>
      </c>
      <c r="B217" s="66" t="s">
        <v>1167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1168</v>
      </c>
      <c r="S217" s="58"/>
      <c r="T217" s="58"/>
    </row>
    <row r="218" spans="1:20" ht="30">
      <c r="A218" s="63" t="s">
        <v>1041</v>
      </c>
      <c r="B218" s="63" t="s">
        <v>1170</v>
      </c>
      <c r="C218" s="63" t="s">
        <v>95</v>
      </c>
      <c r="D218" s="64">
        <v>414</v>
      </c>
      <c r="E218" s="64">
        <v>699</v>
      </c>
      <c r="F218" s="78">
        <v>0</v>
      </c>
      <c r="G218" s="78">
        <v>3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0</v>
      </c>
      <c r="K218" s="77">
        <f t="shared" si="14"/>
        <v>1242</v>
      </c>
      <c r="L218" s="63"/>
      <c r="M218" s="63"/>
      <c r="N218" s="58" t="s">
        <v>678</v>
      </c>
      <c r="P218" s="58" t="s">
        <v>1169</v>
      </c>
      <c r="S218" s="58"/>
      <c r="T218" s="58"/>
    </row>
    <row r="219" spans="1:20" ht="15" customHeight="1">
      <c r="A219" s="66" t="s">
        <v>1042</v>
      </c>
      <c r="B219" s="63" t="s">
        <v>1171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1172</v>
      </c>
      <c r="S219" s="58"/>
      <c r="T219" s="58"/>
    </row>
    <row r="220" spans="1:20" ht="30">
      <c r="A220" s="63" t="s">
        <v>1043</v>
      </c>
      <c r="B220" s="66" t="s">
        <v>1173</v>
      </c>
      <c r="C220" s="66" t="s">
        <v>95</v>
      </c>
      <c r="D220" s="67">
        <v>761</v>
      </c>
      <c r="E220" s="67">
        <v>1150</v>
      </c>
      <c r="F220" s="78">
        <v>0</v>
      </c>
      <c r="G220" s="78">
        <v>6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0</v>
      </c>
      <c r="K220" s="77">
        <f t="shared" si="14"/>
        <v>4566</v>
      </c>
      <c r="L220" s="63"/>
      <c r="M220" s="63"/>
      <c r="N220" s="58" t="s">
        <v>678</v>
      </c>
      <c r="P220" s="58" t="s">
        <v>1174</v>
      </c>
      <c r="S220" s="58"/>
      <c r="T220" s="58"/>
    </row>
    <row r="221" spans="1:20" ht="15" customHeight="1">
      <c r="A221" s="66" t="s">
        <v>1044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1045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1046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1047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1048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1049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1050</v>
      </c>
      <c r="B1" s="92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1052</v>
      </c>
      <c r="C7" s="83" t="s">
        <v>1053</v>
      </c>
      <c r="D7" s="83" t="s">
        <v>1054</v>
      </c>
      <c r="E7" s="83" t="s">
        <v>1055</v>
      </c>
      <c r="F7" s="83" t="s">
        <v>1056</v>
      </c>
      <c r="G7" s="83" t="s">
        <v>1057</v>
      </c>
      <c r="H7" s="83" t="s">
        <v>1058</v>
      </c>
    </row>
    <row r="8" spans="1:8" ht="13.5" customHeight="1">
      <c r="A8" s="9" t="s">
        <v>49</v>
      </c>
      <c r="B8" s="9">
        <f>IFERROR(SUMIF(Purchases!$B:$B,$A8,Purchases!$C:$C),0)</f>
        <v>250158</v>
      </c>
      <c r="C8" s="9">
        <f>SUM($B$8:$B$10)/3</f>
        <v>173075</v>
      </c>
      <c r="D8" s="9">
        <f>B8-C8</f>
        <v>77083</v>
      </c>
      <c r="E8" s="9">
        <f>IF(Summary!$B$6&gt;0, Summary!$B$6*VLOOKUP($A8,$A$3:$B$5,2,FALSE()),0)</f>
        <v>0</v>
      </c>
      <c r="F8" s="9">
        <f>D8+E8</f>
        <v>77083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58779.66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173075</v>
      </c>
      <c r="D9" s="11">
        <f>B9-C9</f>
        <v>63392</v>
      </c>
      <c r="E9" s="11">
        <f>IF(Summary!$B$6&gt;0, Summary!$B$6*VLOOKUP($A9,$A$3:$B$5,2,FALSE()),0)</f>
        <v>0</v>
      </c>
      <c r="F9" s="11">
        <f>D9+E9</f>
        <v>63392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21752.67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173075</v>
      </c>
      <c r="D10" s="9">
        <f>B10-C10</f>
        <v>-140475</v>
      </c>
      <c r="E10" s="9">
        <f>IF(Summary!$B$6&gt;0, Summary!$B$6*VLOOKUP($A10,$A$3:$B$5,2,FALSE()),0)</f>
        <v>0</v>
      </c>
      <c r="F10" s="9">
        <f>D10+E10</f>
        <v>-140475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-80532.33</v>
      </c>
    </row>
    <row r="12" spans="1:8" s="87" customFormat="1" ht="15.75" customHeight="1">
      <c r="A12" s="93" t="s">
        <v>1059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1060</v>
      </c>
      <c r="C13" s="83" t="s">
        <v>1061</v>
      </c>
      <c r="D13" s="83" t="s">
        <v>1062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1063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1063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1063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1063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1063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1063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1063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1063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1063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1063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1065</v>
      </c>
    </row>
    <row r="3" spans="1:7" s="84" customFormat="1" ht="13.5" customHeight="1">
      <c r="A3" s="83" t="s">
        <v>42</v>
      </c>
      <c r="B3" s="83" t="s">
        <v>1066</v>
      </c>
      <c r="C3" s="83" t="s">
        <v>1051</v>
      </c>
      <c r="D3" s="83" t="s">
        <v>1067</v>
      </c>
      <c r="E3" s="83" t="s">
        <v>1068</v>
      </c>
      <c r="F3" s="83" t="s">
        <v>1069</v>
      </c>
      <c r="G3" s="83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405060</v>
      </c>
      <c r="C4" s="9">
        <f>VLOOKUP($A4,PartnerShares!$A$3:$B$5,2,FALSE())</f>
        <v>0.33339999999999997</v>
      </c>
      <c r="D4" s="9">
        <f>Summary!$B$4*C4</f>
        <v>157436.1476</v>
      </c>
      <c r="E4" s="9">
        <f>B4-D4</f>
        <v>247623.8524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110313.82639999999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157341.70480000001</v>
      </c>
      <c r="E5" s="11">
        <f>B5-D5</f>
        <v>-102717.70480000001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-31130.662800000006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157436.1476</v>
      </c>
      <c r="E6" s="9">
        <f>B6-D6</f>
        <v>-144906.1476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-79183.163599999985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2026-07-22T03:51:30Z</dcterms:modified>
  <dc:language>en-US</dc:language>
</cp:coreProperties>
</file>