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5F34603D-7B5A-A041-9D1D-AAE44F8289F1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Sales!$A$1:$I$257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<sst xmlns="http://schemas.openxmlformats.org/spreadsheetml/2006/main" count="2827" uniqueCount="1131">
  <si>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</si>
  <si>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</si>
  <si>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</si>
  <si>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</si>
  <si>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</si>
  <si>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</si>
  <si>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</si>
  <si>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</si>
  <si>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</si>
  <si>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</si>
  <si>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</si>
  <si>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</si>
  <si>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</si>
  <si>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</si>
  <si>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</si>
  <si>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</si>
  <si>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</si>
  <si>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</si>
  <si>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</si>
  <si>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</si>
  <si>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</si>
  <si>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</si>
  <si>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</si>
  <si>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</si>
  <si>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</si>
  <si>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</si>
  <si>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</si>
  <si>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</si>
  <si>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</si>
  <si>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</si>
  <si>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</si>
  <si>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</si>
  <si>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</si>
  <si>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</si>
  <si>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</si>
  <si>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</si>
  <si>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</si>
  <si>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</si>
  <si>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</si>
  <si>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</si>
  <si>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</si>
  <si>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</si>
  <si>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</si>
  <si>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</si>
  <si>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</si>
  <si>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</si>
  <si>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</si>
  <si>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</si>
  <si>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</si>
  <si>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</si>
  <si>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</si>
  <si>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</si>
  <si>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</si>
  <si>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</si>
  <si>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</si>
  <si>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</si>
  <si>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</si>
  <si>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</si>
  <si>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</si>
  <si>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</si>
  <si>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</si>
  <si>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</si>
  <si>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</si>
  <si>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</si>
  <si>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</si>
  <si>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</si>
  <si>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</si>
  <si>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</si>
  <si>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</si>
  <si>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</si>
  <si>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</si>
  <si>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</si>
  <si>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</si>
  <si>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</si>
  <si>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</si>
  <si>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</si>
  <si>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</si>
  <si>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</si>
  <si>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</si>
  <si>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</si>
  <si>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</si>
  <si>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</si>
  <si>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</si>
  <si>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</si>
  <si>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</si>
  <si>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</si>
  <si>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</si>
  <si>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</si>
  <si>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</si>
  <si>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</si>
  <si>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</si>
  <si>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</si>
  <si>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</si>
  <si>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</si>
  <si>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</si>
  <si>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</si>
  <si>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</si>
  <si>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</si>
  <si>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</si>
  <si>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</si>
  <si>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</si>
  <si>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</si>
  <si>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</si>
  <si>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</si>
  <si>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</si>
  <si>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</si>
  <si>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</si>
  <si>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</si>
  <si>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</si>
  <si>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</si>
  <si>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</si>
  <si>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</si>
  <si>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</si>
  <si>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</si>
  <si>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</si>
  <si>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</si>
  <si>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</si>
  <si>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</si>
  <si>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</si>
  <si>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</si>
  <si>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</si>
  <si>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</si>
  <si>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</si>
  <si>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</si>
  <si>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</si>
  <si>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</si>
  <si>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</si>
  <si>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</si>
  <si>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</si>
  <si>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</si>
  <si>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</si>
  <si>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</si>
  <si>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</si>
  <si>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</si>
  <si>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</si>
  <si>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</si>
  <si>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</si>
  <si>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</si>
  <si>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</si>
  <si>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</si>
  <si>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</si>
  <si>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</si>
  <si>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</si>
  <si>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</si>
  <si>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</si>
  <si>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</si>
  <si>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</si>
  <si>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</si>
  <si>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</si>
  <si>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</si>
  <si>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</si>
  <si>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</si>
  <si>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</si>
  <si>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</si>
  <si>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</si>
  <si>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</si>
  <si>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</si>
  <si>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</si>
  <si>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</si>
  <si>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</si>
  <si>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</si>
  <si>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</si>
  <si>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</si>
  <si>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</si>
  <si>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</si>
  <si>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</si>
  <si>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</si>
  <si>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</si>
  <si>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</si>
  <si>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</si>
  <si>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</si>
  <si>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</si>
  <si>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</si>
  <si>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</si>
  <si>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</si>
  <si>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</si>
  <si>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</si>
  <si>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</si>
  <si>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</si>
  <si>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</si>
  <si>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</si>
  <si>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</si>
  <si>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</si>
  <si>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</si>
  <si>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</si>
  <si>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</si>
  <si>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</si>
  <si>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</si>
  <si>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</si>
  <si>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</si>
  <si>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</si>
  <si>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</si>
  <si>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</si>
  <si>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</si>
  <si>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</si>
  <si>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</si>
  <si>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</si>
  <si>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</si>
  <si>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</si>
  <si>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</si>
  <si>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</si>
  <si>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</si>
  <si>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</si>
  <si>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</si>
  <si>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</si>
  <si>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</si>
  <si>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</si>
  <si>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</si>
  <si>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</si>
  <si>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</si>
  <si>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</si>
  <si>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</si>
  <si>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</si>
  <si>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</si>
  <si>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</si>
  <si>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</si>
  <si>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</si>
  <si>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</si>
  <si>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</si>
  <si>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</si>
  <si>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</si>
  <si>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</si>
  <si>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</si>
  <si>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</si>
  <si>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</si>
  <si>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</si>
  <si>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</si>
  <si>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</si>
  <si>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</si>
  <si>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</si>
  <si>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</si>
  <si>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</si>
  <si>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</si>
  <si>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</si>
  <si>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</si>
  <si>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</si>
  <si>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</si>
  <si>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</si>
  <si>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</si>
  <si>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</si>
  <si>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</si>
  <si>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</si>
  <si>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</si>
  <si>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</si>
  <si>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</si>
  <si>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</si>
  <si>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</si>
  <si>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</si>
  <si>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</si>
  <si>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</si>
  <si>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</si>
  <si>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</si>
  <si>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</si>
  <si>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</si>
  <si>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</si>
  <si>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</si>
  <si>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</si>
  <si>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</si>
  <si>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</si>
  <si>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</si>
  <si>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</si>
  <si>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</si>
  <si>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</si>
  <si>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</si>
  <si>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</si>
  <si>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</si>
  <si>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</si>
  <si>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</si>
  <si>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</si>
  <si>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</si>
  <si>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</si>
  <si>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</si>
  <si>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</si>
  <si>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</si>
  <si>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</si>
  <si>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</si>
  <si>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</si>
  <si>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</si>
  <si>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</si>
  <si>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</si>
  <si>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</si>
  <si>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</si>
  <si>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</si>
  <si>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</si>
  <si>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</si>
  <si>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</si>
  <si>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</si>
  <si>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</si>
  <si>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</si>
  <si>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</si>
  <si>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</si>
  <si>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</si>
  <si>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</si>
  <si>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</si>
  <si>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</si>
  <si>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</si>
  <si>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</si>
  <si>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</si>
  <si>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</si>
  <si>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</si>
  <si>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</si>
  <si>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</si>
  <si>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</si>
  <si>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</si>
  <si>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</si>
  <si>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</si>
  <si>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</si>
  <si>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</si>
  <si>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</si>
  <si>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</si>
  <si>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</si>
  <si>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</si>
  <si>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</si>
  <si>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</si>
  <si>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</si>
  <si>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</si>
  <si>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</si>
  <si>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</si>
  <si>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</si>
  <si>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</si>
  <si>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</si>
  <si>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</si>
  <si>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</si>
  <si>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</si>
  <si>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</si>
  <si>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</si>
  <si>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</si>
  <si>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</si>
  <si>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</si>
  <si>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</si>
  <si>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</si>
  <si>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</si>
  <si>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</si>
  <si>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</si>
  <si>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</si>
  <si>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</si>
  <si>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</si>
  <si>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</si>
  <si>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</si>
  <si>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</si>
  <si>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</si>
  <si>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</si>
  <si>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</si>
  <si>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</si>
  <si>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</si>
  <si>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</si>
  <si>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</si>
  <si>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</si>
  <si>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</si>
  <si>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</si>
  <si>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</si>
  <si>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</si>
  <si>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</si>
  <si>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</si>
  <si>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</si>
  <si>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</si>
  <si>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</si>
  <si>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</si>
  <si>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</si>
  <si>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</si>
  <si>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</si>
  <si>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</si>
  <si>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</si>
  <si>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</si>
  <si>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</si>
  <si>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</si>
  <si>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</si>
  <si>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</si>
  <si>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</si>
  <si>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</si>
  <si>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</si>
  <si>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</si>
  <si>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</si>
  <si>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</si>
  <si>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</si>
  <si>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</si>
  <si>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</si>
  <si>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</si>
  <si>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</si>
  <si>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</si>
  <si>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</si>
  <si>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</si>
  <si>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</si>
  <si>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</si>
  <si>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</si>
  <si>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</si>
  <si>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</si>
  <si>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</si>
  <si>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</si>
  <si>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</si>
  <si>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</si>
  <si>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</si>
  <si>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</si>
  <si>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</si>
  <si>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</si>
  <si>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</si>
  <si>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</si>
  <si>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</si>
  <si>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</si>
  <si>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</si>
  <si>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</si>
  <si>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</si>
  <si>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</si>
  <si>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</si>
  <si>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</si>
  <si>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</si>
  <si>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</si>
  <si>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</si>
  <si>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</si>
  <si>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</si>
  <si>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</si>
  <si>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</si>
  <si>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</si>
  <si>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</si>
  <si>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</si>
  <si>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</si>
  <si>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</si>
  <si>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</si>
  <si>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</si>
  <si>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</si>
  <si>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</si>
  <si>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</si>
  <si>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</si>
  <si>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</si>
  <si>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</si>
  <si>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</si>
  <si>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</si>
  <si>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</si>
  <si>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</si>
  <si>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</si>
  <si>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</si>
  <si>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</si>
  <si>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</si>
  <si>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</si>
  <si>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</si>
  <si>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</si>
  <si>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</si>
  <si>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</si>
  <si>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</si>
  <si>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</si>
  <si>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</si>
  <si>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</si>
  <si>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</si>
  <si>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</si>
  <si>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</si>
  <si>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</si>
  <si>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</si>
  <si>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</si>
  <si>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</si>
  <si>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</si>
  <si>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</si>
  <si>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</si>
  <si>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</si>
  <si>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</si>
  <si>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</si>
  <si>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</si>
  <si>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</si>
  <si>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</si>
  <si>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</si>
  <si>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</si>
  <si>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</si>
  <si>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</si>
  <si>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</si>
  <si>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</si>
  <si>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</si>
  <si>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</si>
  <si>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</si>
  <si>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</si>
  <si>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</si>
  <si>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</si>
  <si>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</si>
  <si>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</si>
  <si>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</si>
  <si>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</si>
  <si>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</si>
  <si>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</si>
  <si>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</si>
  <si>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</si>
  <si>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</si>
  <si>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</si>
  <si>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</si>
  <si>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</si>
  <si>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</si>
  <si>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</si>
  <si>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</si>
  <si>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</si>
  <si>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</si>
  <si>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</si>
  <si>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</si>
  <si>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</si>
  <si>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</si>
  <si>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</si>
  <si>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</si>
  <si>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</si>
  <si>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</si>
  <si>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</si>
  <si>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</si>
  <si>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</si>
  <si>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</si>
  <si>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</si>
  <si>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</si>
  <si>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</si>
  <si>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</si>
  <si>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</si>
  <si>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</si>
  <si>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</si>
  <si>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</si>
  <si>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</si>
  <si>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</si>
  <si>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</si>
  <si>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</si>
  <si>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</si>
  <si>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</si>
  <si>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</si>
  <si>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</si>
  <si>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</si>
  <si>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</si>
  <si>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</si>
  <si>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</si>
  <si>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</si>
  <si>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</si>
  <si>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</si>
  <si>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</si>
  <si>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</si>
  <si>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</si>
  <si>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</si>
  <si>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</si>
  <si>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</si>
  <si>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</si>
  <si>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</si>
  <si>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</si>
  <si>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</si>
  <si>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</si>
  <si>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</si>
  <si>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</si>
  <si>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</si>
  <si>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</si>
  <si>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</si>
  <si>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</si>
  <si>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</si>
  <si>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</si>
  <si>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</si>
  <si>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</si>
  <si>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</si>
  <si>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</si>
  <si>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</si>
  <si>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</si>
  <si>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</si>
  <si>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</si>
  <si>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</si>
  <si>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</si>
  <si>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</si>
  <si>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</si>
  <si>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</si>
  <si>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</si>
  <si>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</si>
  <si>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</si>
  <si>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</si>
  <si>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</si>
  <si>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</si>
  <si>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</si>
  <si>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</si>
  <si>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</si>
  <si>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</si>
  <si>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</si>
  <si>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</si>
  <si>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</si>
  <si>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</si>
  <si>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</si>
  <si>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</si>
  <si>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</si>
  <si>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</si>
  <si>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</si>
  <si>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</si>
  <si>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</si>
  <si>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</si>
  <si>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</si>
  <si>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</si>
  <si>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</si>
  <si>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</si>
  <si>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</si>
  <si>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</si>
  <si>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</si>
  <si>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</si>
  <si>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</si>
  <si>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</si>
  <si>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</si>
  <si>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</si>
  <si>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</si>
  <si>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</si>
  <si>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</si>
  <si>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</si>
  <si>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</si>
  <si>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</si>
  <si>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</si>
  <si>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</si>
  <si>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</si>
  <si>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</si>
  <si>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</si>
  <si>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</si>
  <si>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</si>
  <si>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</si>
  <si>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</si>
  <si>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</si>
  <si>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</si>
  <si>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</si>
  <si>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</si>
  <si>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</si>
  <si>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</si>
  <si>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</si>
  <si>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</si>
  <si>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</si>
  <si>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</si>
  <si>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</si>
  <si>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</si>
  <si>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</si>
  <si>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</si>
  <si>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</si>
  <si>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</si>
  <si>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</si>
  <si>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</si>
  <si>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</si>
  <si>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</si>
  <si>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</si>
  <si>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</si>
  <si>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</si>
  <si>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</si>
  <si>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</si>
  <si>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</si>
  <si>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</si>
  <si>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</si>
  <si>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</si>
  <si>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</si>
  <si>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</si>
  <si>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</si>
  <si>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</si>
  <si>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</si>
  <si>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</si>
  <si>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</si>
  <si>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</si>
  <si>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</si>
  <si>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</si>
  <si>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</si>
  <si>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</si>
  <si>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</si>
  <si>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</si>
  <si>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</si>
  <si>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</si>
  <si>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</si>
  <si>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</si>
  <si>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</si>
  <si>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</si>
  <si>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</si>
  <si>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</si>
  <si>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</si>
  <si>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</si>
  <si>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</si>
  <si>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</si>
  <si>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</si>
  <si>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</si>
  <si>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</si>
  <si>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</si>
  <si>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</si>
  <si>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</si>
  <si>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</si>
  <si>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</si>
  <si>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</si>
  <si>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</si>
  <si>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</si>
  <si>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</si>
  <si>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</si>
  <si>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</si>
  <si>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</si>
  <si>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</si>
  <si>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</si>
  <si>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</si>
  <si>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</si>
  <si>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</si>
  <si>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</si>
  <si>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</si>
  <si>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</si>
  <si>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</si>
  <si>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</si>
  <si>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</si>
  <si>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</si>
  <si>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</si>
  <si>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</si>
  <si>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</si>
  <si>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</si>
  <si>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</si>
  <si>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</si>
  <si>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</si>
  <si>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</si>
  <si>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</si>
  <si>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</si>
  <si>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</si>
  <si>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</si>
  <si>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</si>
  <si>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</si>
  <si>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</si>
  <si>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</si>
  <si>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</si>
  <si>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</si>
  <si>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</si>
  <si>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</si>
  <si>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</si>
  <si>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</si>
  <si>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</si>
  <si>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</si>
  <si>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</si>
  <si>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</si>
  <si>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</si>
  <si>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</si>
  <si>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</si>
  <si>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</si>
  <si>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</si>
  <si>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</si>
  <si>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</si>
  <si>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</si>
  <si>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</si>
  <si>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</si>
  <si>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</si>
  <si>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</si>
  <si>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</si>
  <si>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</si>
  <si>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</si>
  <si>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</si>
  <si>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</si>
  <si>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</si>
  <si>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</si>
  <si>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</si>
  <si>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</si>
  <si>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</si>
  <si>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</si>
  <si>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</si>
  <si>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</si>
  <si>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</si>
  <si>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</si>
  <si>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</si>
  <si>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</si>
  <si>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</si>
  <si>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</si>
  <si>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</si>
  <si>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</si>
  <si>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</si>
  <si>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</si>
  <si>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</si>
  <si>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</si>
  <si>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</si>
  <si>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</si>
  <si>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</si>
  <si>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</si>
  <si>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</si>
  <si>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</si>
  <si>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</si>
  <si>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</si>
  <si>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</si>
  <si>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</si>
  <si>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</si>
  <si>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</si>
  <si>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</si>
  <si>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</si>
  <si>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</si>
  <si>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</si>
  <si>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</si>
  <si>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</si>
  <si>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</si>
  <si>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</si>
  <si>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</si>
  <si>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</si>
  <si>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</si>
  <si>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</si>
  <si>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</si>
  <si>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</si>
  <si>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</si>
  <si>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</si>
  <si>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</si>
  <si>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</si>
  <si>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</si>
  <si>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</si>
  <si>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</si>
  <si>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</si>
  <si>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</si>
  <si>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</si>
  <si>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</si>
  <si>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</si>
  <si>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</si>
  <si>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</si>
  <si>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</si>
  <si>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</si>
  <si>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</si>
  <si>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</si>
  <si>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</si>
  <si>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</si>
  <si>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</si>
  <si>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</si>
  <si>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</si>
  <si>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</si>
  <si>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</si>
  <si>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</si>
  <si>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</si>
  <si>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</si>
  <si>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</si>
  <si>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</si>
  <si>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</si>
  <si>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</si>
  <si>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</si>
  <si>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</si>
  <si>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</si>
  <si>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</si>
  <si>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</si>
  <si>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</si>
  <si>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</si>
  <si>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</si>
  <si>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</si>
  <si>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</si>
  <si>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</si>
  <si>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</si>
  <si>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</si>
  <si>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</si>
  <si>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</si>
  <si>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</si>
  <si>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</si>
  <si>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</si>
  <si>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</si>
  <si>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</si>
  <si>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</si>
  <si>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</si>
  <si>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</si>
  <si>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</si>
  <si>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</si>
  <si>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</si>
  <si>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</si>
  <si>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</si>
  <si>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</si>
  <si>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</si>
  <si>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</si>
  <si>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</si>
  <si>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</si>
  <si>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</si>
  <si>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</si>
  <si>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</si>
  <si>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</si>
  <si>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</si>
  <si>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</si>
  <si>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</si>
  <si>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</si>
  <si>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</si>
  <si>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</si>
  <si>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</si>
  <si>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</si>
  <si>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</si>
  <si>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</si>
  <si>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</si>
  <si>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</si>
  <si>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</si>
  <si>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</si>
  <si>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</si>
  <si>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</si>
  <si>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</si>
  <si>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</si>
  <si>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</si>
  <si>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</si>
  <si>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</si>
  <si>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</si>
  <si>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</si>
  <si>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</si>
  <si>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</si>
  <si>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</si>
  <si>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</si>
  <si>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</si>
  <si>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</si>
  <si>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</si>
  <si>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</si>
  <si>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</si>
  <si>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</si>
  <si>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</si>
  <si>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</si>
  <si>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</si>
  <si>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</si>
  <si>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</si>
  <si>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</si>
  <si>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</si>
  <si>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</si>
  <si>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</si>
  <si>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</si>
  <si>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</si>
  <si>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</si>
  <si>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</si>
  <si>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</si>
  <si>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</si>
  <si>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</si>
  <si>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</si>
  <si>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</si>
  <si>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</si>
  <si>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</si>
  <si>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</si>
  <si>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</si>
  <si>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</si>
  <si>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</si>
  <si>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</si>
  <si>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</si>
  <si>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</si>
  <si>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</si>
  <si>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</si>
  <si>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</si>
  <si>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</si>
  <si>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</si>
  <si>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</si>
  <si>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</si>
  <si>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</si>
  <si>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</si>
  <si>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Chithra- peacok blue, Indu Varier - Green, Susmi - Maroon, Jaimy - Purple/Bottle Green</t>
  </si>
  <si>
    <t>Grey-Black/Red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</si>
  <si>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</si>
  <si>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</si>
  <si>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</si>
  <si>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</si>
  <si>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</si>
  <si>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</si>
  <si>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</si>
  <si>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</si>
  <si>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</si>
  <si>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</si>
  <si>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</si>
  <si>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</si>
  <si>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</si>
  <si>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</si>
  <si>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</si>
  <si>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</si>
  <si>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</si>
  <si>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</si>
  <si>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</si>
  <si>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</si>
  <si>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</si>
  <si>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</si>
  <si>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</si>
  <si>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</si>
  <si>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</si>
  <si>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</si>
  <si>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</si>
  <si>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</si>
  <si>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</si>
  <si>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</si>
  <si>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</si>
  <si>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</si>
  <si>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</si>
  <si>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Sherin - Maroon/navy blue(1099), Lakshmi - Navy Blue &amp; Maroon, Jaimy - Peacok Blue/Maroon, Shinoob Cousin - Lavender/Violet</t>
  </si>
  <si>
    <t>Peacok Blue/Maroon - 2,
Navy Blue/Maroon - 2,
Grey/Blue - 1, Purple/Green - 1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</si>
  <si>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</si>
  <si>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</si>
  <si>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</si>
  <si>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</si>
  <si>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</si>
  <si>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</si>
  <si>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</si>
  <si>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</si>
  <si>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</si>
  <si>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</si>
  <si>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</si>
  <si>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</si>
  <si>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</si>
  <si>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</si>
  <si>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</si>
  <si>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</si>
  <si>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</si>
  <si>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</si>
  <si>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</si>
  <si>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</si>
  <si>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M, L, XL, XXL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</si>
  <si>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</si>
  <si>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</si>
  <si>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</si>
  <si>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</si>
  <si>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</si>
  <si>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</si>
  <si>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</si>
  <si>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</si>
  <si>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</si>
  <si>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</si>
  <si>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</si>
  <si>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</si>
  <si>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</si>
  <si>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</si>
  <si>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</si>
  <si>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</si>
  <si>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</si>
  <si>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</si>
  <si>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</si>
  <si>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</si>
  <si>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 xml:space="preserve">New </t>
  </si>
  <si>
    <t>Light green/dark green, navy/light, violet/green (leaf designs)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</si>
  <si>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</si>
  <si>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</si>
  <si>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</si>
  <si>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</si>
  <si>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</si>
  <si>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</si>
  <si>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</si>
  <si>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</si>
  <si>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</si>
  <si>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</si>
  <si>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</si>
  <si>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</si>
  <si>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</si>
  <si>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</si>
  <si>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</si>
  <si>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</si>
  <si>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</si>
  <si>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</si>
  <si>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</si>
  <si>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</si>
  <si>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</si>
  <si>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</si>
  <si>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</si>
  <si>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</si>
  <si>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</si>
  <si>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Peach, light blue, pink, light green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</si>
  <si>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</si>
  <si>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</si>
  <si>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</si>
  <si>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</si>
  <si>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</si>
  <si>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</si>
  <si>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</si>
  <si>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</si>
  <si>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Blue, pink, yellow, maroon, deep blue, green</t>
  </si>
  <si>
    <t>CHR-202</t>
  </si>
  <si>
    <t>Linen Saree</t>
  </si>
  <si>
    <t>Latha, Nishida</t>
  </si>
  <si>
    <t>Yellow</t>
  </si>
  <si>
    <t>CHR-203</t>
  </si>
  <si>
    <t>Kalyani Cotton Sarees with check</t>
  </si>
  <si>
    <t>Nishitha Friend - brown/maroon (1100)</t>
  </si>
  <si>
    <t>Blue/maroon, light green/maroon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</si>
  <si>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</si>
  <si>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</si>
  <si>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</si>
  <si>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</si>
  <si>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</si>
  <si>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</si>
  <si>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</si>
  <si>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</si>
  <si>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</si>
  <si>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</si>
  <si>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</si>
  <si>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</si>
  <si>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</si>
  <si>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</si>
  <si>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</si>
  <si>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</si>
  <si>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</si>
  <si>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</si>
  <si>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</si>
  <si>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</si>
  <si>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</si>
  <si>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</si>
  <si>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</si>
  <si>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</si>
  <si>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</si>
  <si>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</si>
  <si>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</si>
  <si>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</si>
  <si>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</si>
  <si>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</si>
  <si>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</si>
  <si>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</si>
  <si>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</si>
  <si>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</si>
  <si>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</si>
  <si>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</si>
  <si>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</si>
  <si>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</si>
  <si>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</si>
  <si>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</si>
  <si>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</si>
  <si>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</si>
  <si>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</si>
  <si>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</si>
  <si>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</si>
  <si>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</si>
  <si>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</si>
  <si>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</si>
  <si>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</si>
  <si>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</si>
  <si>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</si>
  <si>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</si>
  <si>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</si>
  <si>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</si>
  <si>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</si>
  <si>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</si>
  <si>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</si>
  <si>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</si>
  <si>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</si>
  <si>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</si>
  <si>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</si>
  <si>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</si>
  <si>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Blue/bottle green - Saranya Hyd, Blue/red - Jothika, Mustard - Vineetha, Bottle Green/Golden Yellow - Swapna (Thrissur)-1200, Black/Golden yellow - Kavya(Kasargod) - 1200, Back/Yellow - Subha - 1200, Navy Blue/Bottle Green - Latha</t>
  </si>
  <si>
    <t>Bottle Green/Golden Yellow - 1
Navy Blue/Bottle Green - 1</t>
  </si>
  <si>
    <t>Matka old design - Navy Blue/Bottle Green</t>
  </si>
  <si>
    <t>Leena - 950</t>
  </si>
  <si>
    <t>Net Kota Stairs</t>
  </si>
  <si>
    <t>Mustard, navy, rani pink, olive green (×2)</t>
  </si>
  <si>
    <t>purple - Malini</t>
  </si>
  <si>
    <t>Sheeba George, Soji Thomas, Jessy Joseph, Jeeja Anil ,Sanam, Geetha, Sushama Bhaskar, Divya Jacob, Baby Johny, Jayasree, Navya, Bindu Saji, Vanajakshi, Abudhabi Customer</t>
  </si>
  <si>
    <t>Linu Goerge</t>
  </si>
  <si>
    <t>CHR-119 Black</t>
  </si>
  <si>
    <t>Sheeja S</t>
  </si>
  <si>
    <t>CHR-119 White</t>
  </si>
  <si>
    <t>SARANYA S</t>
  </si>
  <si>
    <t>CHR-119 Maroon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</si>
  <si>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</t>
  </si>
  <si>
    <t xml:space="preserve">
White(3)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</si>
  <si>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</si>
  <si>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</si>
  <si>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</si>
  <si>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</si>
  <si>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</si>
  <si>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</si>
  <si>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</si>
  <si>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</si>
  <si>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peacock blue/navy, red/green, mustard/blue, golden yellow &amp; green triangle</t>
  </si>
  <si>
    <t>Green/maroon - Rajitha Teacher,  chikku green - Razia Salim, Rust Orange/Coffee Brown - Nishida, Chikku Maroon(1200) - Nishida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</si>
  <si>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</si>
  <si>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</si>
  <si>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</si>
  <si>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</si>
  <si>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</si>
  <si>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</si>
  <si>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</si>
  <si>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Irene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</si>
</sst>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261</c:v>
                </c:pt>
                <c:pt idx="1">
                  <c:v>88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128</c:v>
                </c:pt>
                <c:pt idx="1">
                  <c:v>60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63190</c:v>
                </c:pt>
                <c:pt idx="1">
                  <c:v>97069.68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54524</c:v>
                </c:pt>
                <c:pt idx="5">
                  <c:v>72985</c:v>
                </c:pt>
                <c:pt idx="6">
                  <c:v>699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50075</c:v>
                </c:pt>
                <c:pt idx="5">
                  <c:v>-26058</c:v>
                </c:pt>
                <c:pt idx="6">
                  <c:v>699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353</c:v>
                </c:pt>
                <c:pt idx="1">
                  <c:v>-319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A16" sqref="A16:G28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8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454147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419637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429197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-34510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43524.32666666666</v>
      </c>
      <c r="C10" s="9"/>
    </row>
    <row r="11" spans="1:6" ht="13.5" customHeight="1">
      <c r="A11" s="11" t="s">
        <v>50</v>
      </c>
      <c r="B11" s="14">
        <f>PartnerShares!H9</f>
        <v>15315.336666666655</v>
      </c>
      <c r="C11" s="11"/>
    </row>
    <row r="12" spans="1:6" ht="13.5" customHeight="1">
      <c r="A12" s="9" t="s">
        <v>51</v>
      </c>
      <c r="B12" s="13">
        <f>PartnerShares!H10</f>
        <v>-58839.663333333345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213210</v>
      </c>
      <c r="C18" s="10">
        <f>PartnerShares!C8</f>
        <v>151382.33333333334</v>
      </c>
      <c r="D18" s="10">
        <f>PartnerShares!D8</f>
        <v>61827.666666666657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43524.32666666666</v>
      </c>
      <c r="G18" s="16" t="str">
        <f>IF(ROUND(F18,0)&gt;0,"Receive ₹"&amp;TEXT(ABS(F18),"#,##0"),IF(ROUND(F18,0)&lt;0,"Pay ₹"&amp;TEXT(ABS(F18),"#,##0"),"✓ Settled"))</f>
        <v>Receive ₹43,524</v>
      </c>
    </row>
    <row r="19" spans="1:7" ht="13.5" customHeight="1">
      <c r="A19" s="11" t="str">
        <f>PartnerShares!A9</f>
        <v>Anoop</v>
      </c>
      <c r="B19" s="12">
        <f>PartnerShares!B9</f>
        <v>208337</v>
      </c>
      <c r="C19" s="12">
        <f>PartnerShares!C9</f>
        <v>151382.33333333334</v>
      </c>
      <c r="D19" s="12">
        <f>PartnerShares!D9</f>
        <v>56954.666666666657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15315.336666666655</v>
      </c>
      <c r="G19" s="17" t="str">
        <f>IF(ROUND(F19,0)&gt;0,"Receive ₹"&amp;TEXT(ABS(F19),"#,##0"),IF(ROUND(F19,0)&lt;0,"Pay ₹"&amp;TEXT(ABS(F19),"#,##0"),"✓ Settled"))</f>
        <v>Receive ₹15,315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151382.33333333334</v>
      </c>
      <c r="D20" s="10">
        <f>PartnerShares!D10</f>
        <v>-118782.33333333334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-58839.663333333345</v>
      </c>
      <c r="G20" s="17" t="str">
        <f>IF(ROUND(F20,0)&gt;0,"Receive ₹"&amp;TEXT(ABS(F20),"#,##0"),IF(ROUND(F20,0)&lt;0,"Pay ₹"&amp;TEXT(ABS(F20),"#,##0"),"✓ Settled"))</f>
        <v>Pay ₹58,840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352483</v>
      </c>
      <c r="C26" s="10">
        <f>'Cash Pool'!D4</f>
        <v>139906.97579999999</v>
      </c>
      <c r="D26" s="10">
        <f>'Cash Pool'!E4</f>
        <v>212576.02420000001</v>
      </c>
      <c r="E26" s="10">
        <f>'Cash Pool'!F4</f>
        <v>-137310.02600000001</v>
      </c>
      <c r="F26" s="13">
        <f>'Cash Pool'!G4</f>
        <v>75265.998200000002</v>
      </c>
      <c r="G26" s="17" t="str">
        <f>IF(ROUND(F26,0)&gt;0,"Pay ₹"&amp;TEXT(ABS(F26),"#,##0"),IF(ROUND(F26,0)&lt;0,"Receive ₹"&amp;TEXT(ABS(F26),"#,##0"),"✓ Settled"))</f>
        <v>Pay ₹75,266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139823.0484</v>
      </c>
      <c r="D27" s="12">
        <f>'Cash Pool'!E5</f>
        <v>-85199.0484</v>
      </c>
      <c r="E27" s="12">
        <f>'Cash Pool'!F5</f>
        <v>71587.042000000001</v>
      </c>
      <c r="F27" s="14">
        <f>'Cash Pool'!G5</f>
        <v>-13612.006399999998</v>
      </c>
      <c r="G27" s="18" t="str">
        <f>IF(ROUND(F27,0)&gt;0,"Pay ₹"&amp;TEXT(ABS(F27),"#,##0"),IF(ROUND(F27,0)&lt;0,"Receive ₹"&amp;TEXT(ABS(F27),"#,##0"),"✓ Settled"))</f>
        <v>Receive ₹13,612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139906.97579999999</v>
      </c>
      <c r="D28" s="10">
        <f>'Cash Pool'!E6</f>
        <v>-127376.97579999999</v>
      </c>
      <c r="E28" s="10">
        <f>'Cash Pool'!F6</f>
        <v>65722.984000000011</v>
      </c>
      <c r="F28" s="13">
        <f>'Cash Pool'!G6</f>
        <v>-61653.991799999974</v>
      </c>
      <c r="G28" s="16" t="str">
        <f>IF(ROUND(F28,0)&gt;0,"Pay ₹"&amp;TEXT(ABS(F28),"#,##0"),IF(ROUND(F28,0)&lt;0,"Receive ₹"&amp;TEXT(ABS(F28),"#,##0"),"✓ Settled"))</f>
        <v>Receive ₹61,654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46205</v>
      </c>
    </row>
    <row r="5" spans="1:8" ht="15" customHeight="1">
      <c r="A5" s="19" t="s">
        <v>41</v>
      </c>
      <c r="B5" s="21">
        <f>Summary!B3</f>
        <v>454147</v>
      </c>
      <c r="D5" s="19" t="s">
        <v>69</v>
      </c>
      <c r="E5" s="21">
        <f>Summary!B4</f>
        <v>419637</v>
      </c>
    </row>
    <row r="6" spans="1:8" ht="15" customHeight="1">
      <c r="A6" s="19" t="s">
        <v>70</v>
      </c>
      <c r="B6" s="21">
        <f>Summary!B6</f>
        <v>-34510</v>
      </c>
      <c r="D6" s="19" t="s">
        <v>71</v>
      </c>
      <c r="E6" s="21">
        <f>SUMIFS(INVENTORY!K:K, INVENTORY!N:N, "&lt;&gt;Sold Out")</f>
        <v>151700.88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353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-319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54524</v>
      </c>
      <c r="D14" s="21">
        <f t="shared" si="0"/>
        <v>50075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72985</v>
      </c>
      <c r="D15" s="27">
        <f t="shared" si="0"/>
        <v>-26058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IFERROR(SUMPRODUCT((TEXT(Sales!$A$2:$A$995,"MMM")=$A16)*(YEAR(Sales!$A$2:$A$995)=$B$7)*Sales!$C$2:$C$995),0)</f>
        <v>699</v>
      </c>
      <c r="D16" s="21">
        <f t="shared" si="0"/>
        <v>699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261</v>
      </c>
      <c r="H47" s="30">
        <f>SUMIF(INVENTORY!C:C, F47, INVENTORY!G:G)</f>
        <v>128</v>
      </c>
      <c r="J47" s="30" t="s">
        <v>96</v>
      </c>
      <c r="K47" s="31">
        <f t="array" ref="K47">SUMPRODUCT((INVENTORY!$C$2:$C$477=J47)*(INVENTORY!$D$2:$D$477)*(INVENTORY!$G$2:$G$477))</f>
        <v>63190</v>
      </c>
    </row>
    <row r="48" spans="6:11" ht="15" customHeight="1">
      <c r="F48" s="29" t="s">
        <v>96</v>
      </c>
      <c r="G48" s="30">
        <f>SUMIF(INVENTORY!C:C, F48, INVENTORY!F:F)</f>
        <v>88</v>
      </c>
      <c r="H48" s="30">
        <f>SUMIF(INVENTORY!C:C, F48, INVENTORY!G:G)</f>
        <v>60</v>
      </c>
      <c r="J48" s="30" t="s">
        <v>95</v>
      </c>
      <c r="K48" s="31">
        <f t="array" ref="K48">SUMPRODUCT((INVENTORY!$C$2:$C$477=J48)*(INVENTORY!$D$2:$D$477)*(INVENTORY!$G$2:$G$477))</f>
        <v>97069.68</v>
      </c>
    </row>
    <row r="49" spans="5:12" ht="15" customHeight="1">
      <c r="F49" s="29" t="s">
        <v>97</v>
      </c>
      <c r="G49" s="30">
        <f>SUMIF(INVENTORY!C:C, F49, INVENTORY!F:F)</f>
        <v>4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D90" sqref="D90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59"/>
  <sheetViews>
    <sheetView tabSelected="1" zoomScale="130" zoomScaleNormal="130" workbookViewId="0">
      <pane ySplit="1" topLeftCell="A158" activePane="bottomLeft" state="frozen"/>
      <selection pane="bottomLeft" activeCell="H250" sqref="H250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/>
      <c r="E158" s="53" t="s">
        <v>49</v>
      </c>
      <c r="F158" s="56"/>
      <c r="G158" s="56"/>
      <c r="H158" s="57" t="s">
        <v>341</v>
      </c>
      <c r="I158" s="53" t="s">
        <v>356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3000</v>
      </c>
      <c r="D194" s="53"/>
      <c r="E194" s="53"/>
      <c r="F194" s="56"/>
      <c r="G194" s="56"/>
      <c r="H194" s="57" t="s">
        <v>415</v>
      </c>
      <c r="I194" s="53" t="s">
        <v>356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1120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2500</v>
      </c>
      <c r="D233" s="53"/>
      <c r="E233" s="53"/>
      <c r="F233" s="56"/>
      <c r="G233" s="56"/>
      <c r="H233" s="57" t="s">
        <v>470</v>
      </c>
      <c r="I233" s="53" t="s">
        <v>356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/>
      <c r="E249" s="53"/>
      <c r="F249" s="56"/>
      <c r="G249" s="56"/>
      <c r="H249" s="57" t="s">
        <v>1099</v>
      </c>
      <c r="I249" s="53" t="s">
        <v>356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1101</v>
      </c>
      <c r="I250" s="49" t="s">
        <v>356</v>
      </c>
    </row>
    <row r="251" spans="1:9" ht="14">
      <c r="A251" s="52">
        <v>46201</v>
      </c>
      <c r="B251" s="53" t="s">
        <v>1123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1105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1106</v>
      </c>
      <c r="I252" s="49" t="s">
        <v>148</v>
      </c>
    </row>
    <row r="253" spans="1:9" ht="14">
      <c r="A253" s="52">
        <v>46201</v>
      </c>
      <c r="B253" s="53" t="s">
        <v>1107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1108</v>
      </c>
      <c r="I253" s="53" t="s">
        <v>148</v>
      </c>
    </row>
    <row r="254" spans="1:9" ht="14">
      <c r="A254" s="48">
        <v>46201</v>
      </c>
      <c r="B254" s="49" t="s">
        <v>1109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1110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1113</v>
      </c>
      <c r="I255" s="53" t="s">
        <v>148</v>
      </c>
    </row>
    <row r="256" spans="1:9" ht="14">
      <c r="A256" s="48">
        <v>46203</v>
      </c>
      <c r="B256" s="49" t="s">
        <v>1124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1125</v>
      </c>
      <c r="I256" s="49" t="s">
        <v>148</v>
      </c>
    </row>
    <row r="257" spans="1:9" ht="14">
      <c r="A257" s="52">
        <v>46204</v>
      </c>
      <c r="B257" s="53" t="s">
        <v>1128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1129</v>
      </c>
      <c r="I257" s="53" t="s">
        <v>148</v>
      </c>
    </row>
    <row r="258" spans="1:9">
      <c r="A258" s="48"/>
      <c r="B258" s="49"/>
      <c r="C258" s="50"/>
      <c r="D258" s="49"/>
      <c r="E258" s="49"/>
      <c r="F258" s="49"/>
      <c r="G258" s="49"/>
      <c r="H258" s="51"/>
      <c r="I258" s="49"/>
    </row>
    <row r="259" spans="1:9">
      <c r="A259" s="58"/>
      <c r="B259" s="59"/>
      <c r="C259" s="60"/>
      <c r="D259" s="59"/>
      <c r="E259" s="59"/>
      <c r="I259" s="59"/>
    </row>
  </sheetData>
  <autoFilter ref="A1:I25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C1" zoomScaleNormal="100" workbookViewId="0">
      <pane ySplit="1" topLeftCell="A162" activePane="bottomLeft" state="frozen"/>
      <selection activeCell="E1" sqref="E1"/>
      <selection pane="bottomLeft" activeCell="F184" sqref="F184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70.5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490</v>
      </c>
      <c r="B1" s="63" t="s">
        <v>491</v>
      </c>
      <c r="C1" s="63" t="s">
        <v>93</v>
      </c>
      <c r="D1" s="63" t="s">
        <v>492</v>
      </c>
      <c r="E1" s="63" t="s">
        <v>493</v>
      </c>
      <c r="F1" s="63" t="s">
        <v>80</v>
      </c>
      <c r="G1" s="63" t="s">
        <v>82</v>
      </c>
      <c r="H1" s="63" t="s">
        <v>494</v>
      </c>
      <c r="I1" s="63" t="s">
        <v>495</v>
      </c>
      <c r="J1" s="63" t="s">
        <v>496</v>
      </c>
      <c r="K1" s="63" t="s">
        <v>497</v>
      </c>
      <c r="L1" s="63" t="s">
        <v>498</v>
      </c>
      <c r="M1" s="63" t="s">
        <v>141</v>
      </c>
      <c r="N1" s="63" t="s">
        <v>145</v>
      </c>
      <c r="O1" s="63" t="s">
        <v>142</v>
      </c>
      <c r="P1" s="63" t="s">
        <v>143</v>
      </c>
      <c r="Q1" s="63" t="s">
        <v>144</v>
      </c>
      <c r="R1" s="63" t="s">
        <v>499</v>
      </c>
      <c r="S1" s="63" t="s">
        <v>500</v>
      </c>
      <c r="T1" s="63" t="s">
        <v>501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502</v>
      </c>
      <c r="B2" s="66" t="s">
        <v>503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65" si="1">F2*I2</f>
        <v>779</v>
      </c>
      <c r="K2" s="66">
        <f t="shared" ref="K2:K65" si="2">IF(LEN(G2)=0,0,G2)*I2</f>
        <v>0</v>
      </c>
      <c r="L2" s="66" t="s">
        <v>146</v>
      </c>
      <c r="M2" s="66" t="s">
        <v>49</v>
      </c>
      <c r="N2" s="66" t="s">
        <v>504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505</v>
      </c>
      <c r="B3" s="69" t="s">
        <v>506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149</v>
      </c>
      <c r="M3" s="69" t="s">
        <v>49</v>
      </c>
      <c r="N3" s="69" t="s">
        <v>504</v>
      </c>
      <c r="O3" s="69"/>
      <c r="P3" s="69"/>
      <c r="Q3" s="69"/>
      <c r="R3" s="69"/>
      <c r="S3" s="69"/>
      <c r="T3" s="69"/>
    </row>
    <row r="4" spans="1:246" ht="15" customHeight="1">
      <c r="A4" s="66" t="s">
        <v>507</v>
      </c>
      <c r="B4" s="66" t="s">
        <v>508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152</v>
      </c>
      <c r="M4" s="66" t="s">
        <v>49</v>
      </c>
      <c r="N4" s="66" t="s">
        <v>504</v>
      </c>
      <c r="O4" s="66"/>
      <c r="P4" s="66"/>
      <c r="Q4" s="66"/>
      <c r="R4" s="66"/>
      <c r="S4" s="66"/>
      <c r="T4" s="66"/>
    </row>
    <row r="5" spans="1:246" ht="15" customHeight="1">
      <c r="A5" s="69" t="s">
        <v>509</v>
      </c>
      <c r="B5" s="69" t="s">
        <v>510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153</v>
      </c>
      <c r="M5" s="69" t="s">
        <v>49</v>
      </c>
      <c r="N5" s="69" t="s">
        <v>504</v>
      </c>
      <c r="O5" s="69"/>
      <c r="P5" s="69"/>
      <c r="Q5" s="69"/>
      <c r="R5" s="69"/>
      <c r="S5" s="69"/>
      <c r="T5" s="69"/>
    </row>
    <row r="6" spans="1:246" ht="15" customHeight="1">
      <c r="A6" s="66" t="s">
        <v>511</v>
      </c>
      <c r="B6" s="66" t="s">
        <v>512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513</v>
      </c>
      <c r="M6" s="66" t="s">
        <v>49</v>
      </c>
      <c r="N6" s="66" t="s">
        <v>504</v>
      </c>
      <c r="O6" s="66"/>
      <c r="P6" s="66"/>
      <c r="Q6" s="66"/>
      <c r="R6" s="66"/>
      <c r="S6" s="66"/>
      <c r="T6" s="66"/>
    </row>
    <row r="7" spans="1:246" ht="15" customHeight="1">
      <c r="A7" s="69" t="s">
        <v>514</v>
      </c>
      <c r="B7" s="69" t="s">
        <v>515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155</v>
      </c>
      <c r="M7" s="69" t="s">
        <v>49</v>
      </c>
      <c r="N7" s="69" t="s">
        <v>504</v>
      </c>
      <c r="O7" s="69"/>
      <c r="P7" s="69"/>
      <c r="Q7" s="69"/>
      <c r="R7" s="69"/>
      <c r="S7" s="69"/>
      <c r="T7" s="69"/>
    </row>
    <row r="8" spans="1:246" ht="15" customHeight="1">
      <c r="A8" s="66" t="s">
        <v>516</v>
      </c>
      <c r="B8" s="66" t="s">
        <v>517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155</v>
      </c>
      <c r="M8" s="66" t="s">
        <v>49</v>
      </c>
      <c r="N8" s="66" t="s">
        <v>504</v>
      </c>
      <c r="O8" s="66"/>
      <c r="P8" s="66"/>
      <c r="Q8" s="66"/>
      <c r="R8" s="66"/>
      <c r="S8" s="66"/>
      <c r="T8" s="66"/>
    </row>
    <row r="9" spans="1:246" ht="15" customHeight="1">
      <c r="A9" s="69" t="s">
        <v>518</v>
      </c>
      <c r="B9" s="69" t="s">
        <v>519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155</v>
      </c>
      <c r="M9" s="69" t="s">
        <v>49</v>
      </c>
      <c r="N9" s="69" t="s">
        <v>504</v>
      </c>
      <c r="O9" s="69"/>
      <c r="P9" s="69"/>
      <c r="Q9" s="69"/>
      <c r="R9" s="69"/>
      <c r="S9" s="69"/>
      <c r="T9" s="69"/>
    </row>
    <row r="10" spans="1:246" ht="15" customHeight="1">
      <c r="A10" s="66" t="s">
        <v>520</v>
      </c>
      <c r="B10" s="66" t="s">
        <v>508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156</v>
      </c>
      <c r="M10" s="66" t="s">
        <v>49</v>
      </c>
      <c r="N10" s="66" t="s">
        <v>504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521</v>
      </c>
      <c r="B11" s="69" t="s">
        <v>522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523</v>
      </c>
      <c r="M11" s="69" t="s">
        <v>49</v>
      </c>
      <c r="N11" s="69" t="s">
        <v>504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524</v>
      </c>
      <c r="B12" s="66" t="s">
        <v>525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157</v>
      </c>
      <c r="M12" s="66" t="s">
        <v>49</v>
      </c>
      <c r="N12" s="66" t="s">
        <v>504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526</v>
      </c>
      <c r="B13" s="69" t="s">
        <v>527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158</v>
      </c>
      <c r="M13" s="69" t="s">
        <v>49</v>
      </c>
      <c r="N13" s="69" t="s">
        <v>504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528</v>
      </c>
      <c r="B14" s="66" t="s">
        <v>529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160</v>
      </c>
      <c r="M14" s="66" t="s">
        <v>49</v>
      </c>
      <c r="N14" s="66" t="s">
        <v>504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530</v>
      </c>
      <c r="B15" s="69" t="s">
        <v>531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160</v>
      </c>
      <c r="M15" s="69" t="s">
        <v>49</v>
      </c>
      <c r="N15" s="69" t="s">
        <v>504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532</v>
      </c>
      <c r="B16" s="66" t="s">
        <v>533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160</v>
      </c>
      <c r="M16" s="66" t="s">
        <v>49</v>
      </c>
      <c r="N16" s="66" t="s">
        <v>504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534</v>
      </c>
      <c r="B17" s="69" t="s">
        <v>535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161</v>
      </c>
      <c r="M17" s="69" t="s">
        <v>49</v>
      </c>
      <c r="N17" s="69" t="s">
        <v>504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536</v>
      </c>
      <c r="B18" s="66" t="s">
        <v>517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161</v>
      </c>
      <c r="M18" s="66" t="s">
        <v>49</v>
      </c>
      <c r="N18" s="66" t="s">
        <v>504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537</v>
      </c>
      <c r="B19" s="69" t="s">
        <v>538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161</v>
      </c>
      <c r="M19" s="69" t="s">
        <v>49</v>
      </c>
      <c r="N19" s="69" t="s">
        <v>504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539</v>
      </c>
      <c r="B20" s="66" t="s">
        <v>533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161</v>
      </c>
      <c r="M20" s="66" t="s">
        <v>49</v>
      </c>
      <c r="N20" s="66" t="s">
        <v>504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540</v>
      </c>
      <c r="B21" s="69" t="s">
        <v>519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161</v>
      </c>
      <c r="M21" s="69" t="s">
        <v>49</v>
      </c>
      <c r="N21" s="69" t="s">
        <v>504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541</v>
      </c>
      <c r="B22" s="66" t="s">
        <v>542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152</v>
      </c>
      <c r="M22" s="66" t="s">
        <v>49</v>
      </c>
      <c r="N22" s="66" t="s">
        <v>504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543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544</v>
      </c>
      <c r="M23" s="69" t="s">
        <v>49</v>
      </c>
      <c r="N23" s="69" t="s">
        <v>504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545</v>
      </c>
      <c r="B24" s="66" t="s">
        <v>512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164</v>
      </c>
      <c r="M24" s="66" t="s">
        <v>49</v>
      </c>
      <c r="N24" s="66" t="s">
        <v>504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546</v>
      </c>
      <c r="B25" s="69" t="s">
        <v>512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165</v>
      </c>
      <c r="M25" s="69" t="s">
        <v>49</v>
      </c>
      <c r="N25" s="69" t="s">
        <v>504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547</v>
      </c>
      <c r="B26" s="66" t="s">
        <v>548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166</v>
      </c>
      <c r="M26" s="66" t="s">
        <v>49</v>
      </c>
      <c r="N26" s="66" t="s">
        <v>504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549</v>
      </c>
      <c r="B27" s="69" t="s">
        <v>512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166</v>
      </c>
      <c r="M27" s="69" t="s">
        <v>49</v>
      </c>
      <c r="N27" s="69" t="s">
        <v>504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550</v>
      </c>
      <c r="B28" s="66" t="s">
        <v>551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167</v>
      </c>
      <c r="M28" s="66" t="s">
        <v>49</v>
      </c>
      <c r="N28" s="66" t="s">
        <v>504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552</v>
      </c>
      <c r="B29" s="69" t="s">
        <v>553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169</v>
      </c>
      <c r="M29" s="69" t="s">
        <v>49</v>
      </c>
      <c r="N29" s="69" t="s">
        <v>504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554</v>
      </c>
      <c r="B30" s="66" t="s">
        <v>555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170</v>
      </c>
      <c r="M30" s="66" t="s">
        <v>49</v>
      </c>
      <c r="N30" s="66" t="s">
        <v>504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556</v>
      </c>
      <c r="B31" s="69" t="s">
        <v>557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171</v>
      </c>
      <c r="M31" s="69" t="s">
        <v>49</v>
      </c>
      <c r="N31" s="69" t="s">
        <v>504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558</v>
      </c>
      <c r="B32" s="66" t="s">
        <v>559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171</v>
      </c>
      <c r="M32" s="66" t="s">
        <v>49</v>
      </c>
      <c r="N32" s="66" t="s">
        <v>504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560</v>
      </c>
      <c r="B33" s="69" t="s">
        <v>557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172</v>
      </c>
      <c r="M33" s="69" t="s">
        <v>49</v>
      </c>
      <c r="N33" s="69" t="s">
        <v>504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561</v>
      </c>
      <c r="B34" s="66" t="s">
        <v>522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si="1"/>
        <v>867</v>
      </c>
      <c r="K34" s="66">
        <f t="shared" si="2"/>
        <v>0</v>
      </c>
      <c r="L34" s="66" t="s">
        <v>172</v>
      </c>
      <c r="M34" s="66" t="s">
        <v>49</v>
      </c>
      <c r="N34" s="66" t="s">
        <v>504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562</v>
      </c>
      <c r="B35" s="69" t="s">
        <v>563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1"/>
        <v>1165</v>
      </c>
      <c r="K35" s="69">
        <f t="shared" si="2"/>
        <v>0</v>
      </c>
      <c r="L35" s="69" t="s">
        <v>173</v>
      </c>
      <c r="M35" s="69" t="s">
        <v>49</v>
      </c>
      <c r="N35" s="69" t="s">
        <v>504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564</v>
      </c>
      <c r="B36" s="66" t="s">
        <v>565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1"/>
        <v>1250</v>
      </c>
      <c r="K36" s="66">
        <f t="shared" si="2"/>
        <v>0</v>
      </c>
      <c r="L36" s="66" t="s">
        <v>174</v>
      </c>
      <c r="M36" s="66" t="s">
        <v>49</v>
      </c>
      <c r="N36" s="66" t="s">
        <v>504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566</v>
      </c>
      <c r="B37" s="69" t="s">
        <v>567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1"/>
        <v>1941</v>
      </c>
      <c r="K37" s="69">
        <f t="shared" si="2"/>
        <v>0</v>
      </c>
      <c r="L37" s="69" t="s">
        <v>175</v>
      </c>
      <c r="M37" s="69" t="s">
        <v>49</v>
      </c>
      <c r="N37" s="69" t="s">
        <v>504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568</v>
      </c>
      <c r="B38" s="66" t="s">
        <v>569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1"/>
        <v>1094</v>
      </c>
      <c r="K38" s="66">
        <f t="shared" si="2"/>
        <v>0</v>
      </c>
      <c r="L38" s="66" t="s">
        <v>175</v>
      </c>
      <c r="M38" s="66" t="s">
        <v>49</v>
      </c>
      <c r="N38" s="66" t="s">
        <v>504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570</v>
      </c>
      <c r="B39" s="69" t="s">
        <v>557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1"/>
        <v>525</v>
      </c>
      <c r="K39" s="69">
        <f t="shared" si="2"/>
        <v>0</v>
      </c>
      <c r="L39" s="69" t="s">
        <v>176</v>
      </c>
      <c r="M39" s="69" t="s">
        <v>49</v>
      </c>
      <c r="N39" s="69" t="s">
        <v>504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571</v>
      </c>
      <c r="B40" s="66" t="s">
        <v>572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1"/>
        <v>1096</v>
      </c>
      <c r="K40" s="66">
        <f t="shared" si="2"/>
        <v>0</v>
      </c>
      <c r="L40" s="66" t="s">
        <v>176</v>
      </c>
      <c r="M40" s="66" t="s">
        <v>49</v>
      </c>
      <c r="N40" s="66" t="s">
        <v>504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573</v>
      </c>
      <c r="B41" s="69" t="s">
        <v>533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1"/>
        <v>995</v>
      </c>
      <c r="K41" s="69">
        <f t="shared" si="2"/>
        <v>0</v>
      </c>
      <c r="L41" s="69" t="s">
        <v>177</v>
      </c>
      <c r="M41" s="69" t="s">
        <v>49</v>
      </c>
      <c r="N41" s="69" t="s">
        <v>504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574</v>
      </c>
      <c r="B42" s="66" t="s">
        <v>575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1"/>
        <v>1096</v>
      </c>
      <c r="K42" s="66">
        <f t="shared" si="2"/>
        <v>0</v>
      </c>
      <c r="L42" s="66" t="s">
        <v>178</v>
      </c>
      <c r="M42" s="66" t="s">
        <v>49</v>
      </c>
      <c r="N42" s="66" t="s">
        <v>504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576</v>
      </c>
      <c r="B43" s="69" t="s">
        <v>577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1"/>
        <v>839</v>
      </c>
      <c r="K43" s="69">
        <f t="shared" si="2"/>
        <v>0</v>
      </c>
      <c r="L43" s="69" t="s">
        <v>178</v>
      </c>
      <c r="M43" s="69" t="s">
        <v>49</v>
      </c>
      <c r="N43" s="69" t="s">
        <v>504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578</v>
      </c>
      <c r="B44" s="66" t="s">
        <v>563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1"/>
        <v>2330</v>
      </c>
      <c r="K44" s="66">
        <f t="shared" si="2"/>
        <v>0</v>
      </c>
      <c r="L44" s="66" t="s">
        <v>579</v>
      </c>
      <c r="M44" s="66" t="s">
        <v>49</v>
      </c>
      <c r="N44" s="66" t="s">
        <v>504</v>
      </c>
      <c r="O44" s="66" t="s">
        <v>216</v>
      </c>
      <c r="P44" s="66"/>
      <c r="Q44" s="66" t="s">
        <v>580</v>
      </c>
      <c r="R44" s="66"/>
      <c r="S44" s="66"/>
      <c r="T44" s="66"/>
    </row>
    <row r="45" spans="1:246" s="72" customFormat="1" ht="15" customHeight="1">
      <c r="A45" s="69" t="s">
        <v>581</v>
      </c>
      <c r="B45" s="69" t="s">
        <v>582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1"/>
        <v>1048</v>
      </c>
      <c r="K45" s="69">
        <f t="shared" si="2"/>
        <v>0</v>
      </c>
      <c r="L45" s="69" t="s">
        <v>179</v>
      </c>
      <c r="M45" s="69" t="s">
        <v>49</v>
      </c>
      <c r="N45" s="69" t="s">
        <v>504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583</v>
      </c>
      <c r="B46" s="66" t="s">
        <v>584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1"/>
        <v>372</v>
      </c>
      <c r="K46" s="66">
        <f t="shared" si="2"/>
        <v>0</v>
      </c>
      <c r="L46" s="66" t="s">
        <v>179</v>
      </c>
      <c r="M46" s="66" t="s">
        <v>49</v>
      </c>
      <c r="N46" s="66" t="s">
        <v>504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585</v>
      </c>
      <c r="B47" s="69" t="s">
        <v>586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1"/>
        <v>4376</v>
      </c>
      <c r="K47" s="69">
        <f t="shared" si="2"/>
        <v>1094</v>
      </c>
      <c r="L47" s="69" t="s">
        <v>587</v>
      </c>
      <c r="M47" s="69" t="s">
        <v>588</v>
      </c>
      <c r="N47" s="69" t="s">
        <v>589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590</v>
      </c>
      <c r="B48" s="66" t="s">
        <v>591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1"/>
        <v>779</v>
      </c>
      <c r="K48" s="66">
        <f t="shared" si="2"/>
        <v>0</v>
      </c>
      <c r="L48" s="66" t="s">
        <v>179</v>
      </c>
      <c r="M48" s="66" t="s">
        <v>49</v>
      </c>
      <c r="N48" s="66" t="s">
        <v>504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592</v>
      </c>
      <c r="B49" s="69" t="s">
        <v>593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1"/>
        <v>895</v>
      </c>
      <c r="K49" s="69">
        <f t="shared" si="2"/>
        <v>0</v>
      </c>
      <c r="L49" s="69" t="s">
        <v>179</v>
      </c>
      <c r="M49" s="69" t="s">
        <v>49</v>
      </c>
      <c r="N49" s="69" t="s">
        <v>504</v>
      </c>
      <c r="O49" s="69"/>
      <c r="P49" s="69" t="s">
        <v>594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595</v>
      </c>
      <c r="B50" s="66" t="s">
        <v>596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1"/>
        <v>1145</v>
      </c>
      <c r="K50" s="66">
        <f t="shared" si="2"/>
        <v>0</v>
      </c>
      <c r="L50" s="66" t="s">
        <v>51</v>
      </c>
      <c r="M50" s="66" t="s">
        <v>49</v>
      </c>
      <c r="N50" s="66" t="s">
        <v>504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597</v>
      </c>
      <c r="B51" s="69" t="s">
        <v>563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1"/>
        <v>1165</v>
      </c>
      <c r="K51" s="69">
        <f t="shared" si="2"/>
        <v>0</v>
      </c>
      <c r="L51" s="69" t="s">
        <v>51</v>
      </c>
      <c r="M51" s="69" t="s">
        <v>49</v>
      </c>
      <c r="N51" s="69" t="s">
        <v>504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598</v>
      </c>
      <c r="B52" s="66" t="s">
        <v>298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1"/>
        <v>2400</v>
      </c>
      <c r="K52" s="66">
        <f t="shared" si="2"/>
        <v>2400</v>
      </c>
      <c r="L52" s="66" t="s">
        <v>599</v>
      </c>
      <c r="M52" s="66"/>
      <c r="N52" s="66" t="s">
        <v>589</v>
      </c>
      <c r="O52" s="66" t="s">
        <v>600</v>
      </c>
      <c r="P52" s="66" t="s">
        <v>601</v>
      </c>
      <c r="Q52" s="66"/>
      <c r="R52" s="66"/>
      <c r="S52" s="66"/>
      <c r="T52" s="66"/>
    </row>
    <row r="53" spans="1:246" ht="15" customHeight="1">
      <c r="A53" s="69" t="s">
        <v>602</v>
      </c>
      <c r="B53" s="69" t="s">
        <v>296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1"/>
        <v>3882</v>
      </c>
      <c r="K53" s="69">
        <f t="shared" si="2"/>
        <v>1941</v>
      </c>
      <c r="L53" s="69" t="s">
        <v>603</v>
      </c>
      <c r="M53" s="69"/>
      <c r="N53" s="69" t="s">
        <v>356</v>
      </c>
      <c r="O53" s="69" t="s">
        <v>229</v>
      </c>
      <c r="P53" s="69" t="s">
        <v>604</v>
      </c>
      <c r="Q53" s="69"/>
      <c r="R53" s="69"/>
      <c r="S53" s="69"/>
      <c r="T53" s="69"/>
    </row>
    <row r="54" spans="1:246" s="76" customFormat="1" ht="15" customHeight="1">
      <c r="A54" s="66" t="s">
        <v>605</v>
      </c>
      <c r="B54" s="73" t="s">
        <v>606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1"/>
        <v>0</v>
      </c>
      <c r="K54" s="73">
        <f t="shared" si="2"/>
        <v>2952</v>
      </c>
      <c r="L54" s="73"/>
      <c r="M54" s="73"/>
      <c r="N54" s="73" t="s">
        <v>356</v>
      </c>
      <c r="O54" s="73" t="s">
        <v>207</v>
      </c>
      <c r="P54" s="73" t="s">
        <v>607</v>
      </c>
      <c r="Q54" s="66" t="s">
        <v>608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609</v>
      </c>
      <c r="B55" s="69" t="s">
        <v>610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1"/>
        <v>995</v>
      </c>
      <c r="K55" s="69">
        <f t="shared" si="2"/>
        <v>995</v>
      </c>
      <c r="L55" s="69" t="s">
        <v>611</v>
      </c>
      <c r="M55" s="69" t="s">
        <v>49</v>
      </c>
      <c r="N55" s="69" t="s">
        <v>589</v>
      </c>
      <c r="O55" s="69" t="s">
        <v>207</v>
      </c>
      <c r="P55" s="69"/>
      <c r="Q55" s="69"/>
      <c r="R55" s="69"/>
      <c r="S55" s="69"/>
      <c r="T55" s="69"/>
    </row>
    <row r="56" spans="1:246" ht="15" customHeight="1">
      <c r="A56" s="66" t="s">
        <v>612</v>
      </c>
      <c r="B56" s="66" t="s">
        <v>519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1"/>
        <v>839</v>
      </c>
      <c r="K56" s="66">
        <f t="shared" si="2"/>
        <v>0</v>
      </c>
      <c r="L56" s="66" t="s">
        <v>51</v>
      </c>
      <c r="M56" s="66" t="s">
        <v>49</v>
      </c>
      <c r="N56" s="66" t="s">
        <v>504</v>
      </c>
      <c r="O56" s="66" t="s">
        <v>613</v>
      </c>
      <c r="P56" s="66"/>
      <c r="Q56" s="66"/>
      <c r="R56" s="66"/>
      <c r="S56" s="66"/>
      <c r="T56" s="66"/>
    </row>
    <row r="57" spans="1:246" ht="15" customHeight="1">
      <c r="A57" s="69" t="s">
        <v>614</v>
      </c>
      <c r="B57" s="69" t="s">
        <v>615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1"/>
        <v>0</v>
      </c>
      <c r="K57" s="69">
        <f t="shared" si="2"/>
        <v>3285</v>
      </c>
      <c r="L57" s="69"/>
      <c r="M57" s="69"/>
      <c r="N57" s="69" t="s">
        <v>356</v>
      </c>
      <c r="O57" s="69" t="s">
        <v>616</v>
      </c>
      <c r="P57" s="69"/>
      <c r="Q57" s="69"/>
      <c r="R57" s="69"/>
      <c r="S57" s="69"/>
      <c r="T57" s="69"/>
    </row>
    <row r="58" spans="1:246" ht="15" customHeight="1">
      <c r="A58" s="66" t="s">
        <v>617</v>
      </c>
      <c r="B58" s="66" t="s">
        <v>618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1"/>
        <v>0</v>
      </c>
      <c r="K58" s="66">
        <f t="shared" si="2"/>
        <v>1678</v>
      </c>
      <c r="L58" s="66"/>
      <c r="M58" s="66"/>
      <c r="N58" s="66" t="s">
        <v>356</v>
      </c>
      <c r="O58" s="66" t="s">
        <v>619</v>
      </c>
      <c r="P58" s="66"/>
      <c r="Q58" s="66"/>
      <c r="R58" s="66"/>
      <c r="S58" s="66"/>
      <c r="T58" s="66"/>
    </row>
    <row r="59" spans="1:246" ht="15" customHeight="1">
      <c r="A59" s="69" t="s">
        <v>620</v>
      </c>
      <c r="B59" s="69" t="s">
        <v>596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1"/>
        <v>1145</v>
      </c>
      <c r="K59" s="69">
        <f t="shared" si="2"/>
        <v>2290</v>
      </c>
      <c r="L59" s="69" t="s">
        <v>621</v>
      </c>
      <c r="M59" s="69"/>
      <c r="N59" s="69" t="s">
        <v>589</v>
      </c>
      <c r="O59" s="69" t="s">
        <v>622</v>
      </c>
      <c r="P59" s="69" t="s">
        <v>623</v>
      </c>
      <c r="Q59" s="69"/>
      <c r="R59" s="69"/>
      <c r="S59" s="69"/>
      <c r="T59" s="69"/>
    </row>
    <row r="60" spans="1:246" ht="15" customHeight="1">
      <c r="A60" s="66" t="s">
        <v>624</v>
      </c>
      <c r="B60" s="66" t="s">
        <v>625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1"/>
        <v>1080</v>
      </c>
      <c r="K60" s="66">
        <f t="shared" si="2"/>
        <v>1080</v>
      </c>
      <c r="L60" s="66" t="s">
        <v>626</v>
      </c>
      <c r="M60" s="66" t="s">
        <v>49</v>
      </c>
      <c r="N60" s="66" t="s">
        <v>504</v>
      </c>
      <c r="O60" s="66"/>
      <c r="P60" s="66" t="s">
        <v>627</v>
      </c>
      <c r="Q60" s="66"/>
      <c r="R60" s="66"/>
      <c r="S60" s="66"/>
      <c r="T60" s="66"/>
    </row>
    <row r="61" spans="1:246" ht="45" customHeight="1">
      <c r="A61" s="69" t="s">
        <v>628</v>
      </c>
      <c r="B61" s="69" t="s">
        <v>575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1"/>
        <v>2192</v>
      </c>
      <c r="K61" s="69">
        <f t="shared" si="2"/>
        <v>4384</v>
      </c>
      <c r="L61" s="69" t="s">
        <v>629</v>
      </c>
      <c r="M61" s="69"/>
      <c r="N61" s="69" t="s">
        <v>589</v>
      </c>
      <c r="O61" s="69" t="s">
        <v>630</v>
      </c>
      <c r="P61" s="69" t="s">
        <v>631</v>
      </c>
      <c r="Q61" s="69" t="s">
        <v>632</v>
      </c>
      <c r="R61" s="69"/>
      <c r="S61" s="69"/>
      <c r="T61" s="69"/>
    </row>
    <row r="62" spans="1:246" ht="15" customHeight="1">
      <c r="A62" s="66" t="s">
        <v>633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1"/>
        <v>1124</v>
      </c>
      <c r="K62" s="66">
        <f t="shared" si="2"/>
        <v>0</v>
      </c>
      <c r="L62" s="66" t="s">
        <v>634</v>
      </c>
      <c r="M62" s="66"/>
      <c r="N62" s="66" t="s">
        <v>504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635</v>
      </c>
      <c r="B63" s="69" t="s">
        <v>510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1"/>
        <v>525</v>
      </c>
      <c r="K63" s="69">
        <f t="shared" si="2"/>
        <v>0</v>
      </c>
      <c r="L63" s="69" t="s">
        <v>177</v>
      </c>
      <c r="M63" s="69"/>
      <c r="N63" s="69" t="s">
        <v>504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636</v>
      </c>
      <c r="B64" s="66" t="s">
        <v>510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1"/>
        <v>972</v>
      </c>
      <c r="K64" s="66">
        <f t="shared" si="2"/>
        <v>0</v>
      </c>
      <c r="L64" s="66" t="s">
        <v>201</v>
      </c>
      <c r="M64" s="66"/>
      <c r="N64" s="66" t="s">
        <v>504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637</v>
      </c>
      <c r="B65" s="69" t="s">
        <v>638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1"/>
        <v>1602</v>
      </c>
      <c r="K65" s="69">
        <f t="shared" si="2"/>
        <v>0</v>
      </c>
      <c r="L65" s="69" t="s">
        <v>639</v>
      </c>
      <c r="M65" s="69"/>
      <c r="N65" s="69" t="s">
        <v>504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640</v>
      </c>
      <c r="B66" s="66" t="s">
        <v>641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4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129" si="5">F66*I66</f>
        <v>1558</v>
      </c>
      <c r="K66" s="66">
        <f t="shared" ref="K66:K129" si="6">IF(LEN(G66)=0,0,G66)*I66</f>
        <v>1558</v>
      </c>
      <c r="L66" s="66" t="s">
        <v>642</v>
      </c>
      <c r="M66" s="66"/>
      <c r="N66" s="66" t="s">
        <v>589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643</v>
      </c>
      <c r="B67" s="69" t="s">
        <v>644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4"/>
        <v>0</v>
      </c>
      <c r="I67" s="69">
        <f>IF(D67&lt;&gt;"",D67,IFERROR(E67/(IFERROR(SUM(Sales!C:C),0))*(IFERROR(SUM(Purchases!C:C),0)),0))</f>
        <v>633</v>
      </c>
      <c r="J67" s="69">
        <f t="shared" si="5"/>
        <v>0</v>
      </c>
      <c r="K67" s="69">
        <f t="shared" si="6"/>
        <v>0</v>
      </c>
      <c r="L67" s="69"/>
      <c r="M67" s="69"/>
      <c r="N67" s="69" t="s">
        <v>504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645</v>
      </c>
      <c r="B68" s="66" t="s">
        <v>646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4"/>
        <v>2</v>
      </c>
      <c r="I68" s="66">
        <f>IF(D68&lt;&gt;"",D68,IFERROR(E68/(IFERROR(SUM(Sales!C:C),0))*(IFERROR(SUM(Purchases!C:C),0)),0))</f>
        <v>685</v>
      </c>
      <c r="J68" s="66">
        <f t="shared" si="5"/>
        <v>685</v>
      </c>
      <c r="K68" s="66">
        <f t="shared" si="6"/>
        <v>685</v>
      </c>
      <c r="L68" s="66" t="s">
        <v>647</v>
      </c>
      <c r="M68" s="66"/>
      <c r="N68" s="66" t="s">
        <v>589</v>
      </c>
      <c r="O68" s="66"/>
      <c r="P68" s="66" t="s">
        <v>648</v>
      </c>
      <c r="Q68" s="66"/>
      <c r="R68" s="66"/>
      <c r="S68" s="66"/>
      <c r="T68" s="66"/>
    </row>
    <row r="69" spans="1:20" ht="15" customHeight="1">
      <c r="A69" s="69" t="s">
        <v>649</v>
      </c>
      <c r="B69" s="69" t="s">
        <v>650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4"/>
        <v>4</v>
      </c>
      <c r="I69" s="69">
        <f>IF(D69&lt;&gt;"",D69,IFERROR(E69/(IFERROR(SUM(Sales!C:C),0))*(IFERROR(SUM(Purchases!C:C),0)),0))</f>
        <v>1700</v>
      </c>
      <c r="J69" s="69">
        <f t="shared" si="5"/>
        <v>0</v>
      </c>
      <c r="K69" s="69">
        <f t="shared" si="6"/>
        <v>6800</v>
      </c>
      <c r="L69" s="69"/>
      <c r="M69" s="69"/>
      <c r="N69" s="69" t="s">
        <v>356</v>
      </c>
      <c r="O69" s="69" t="s">
        <v>651</v>
      </c>
      <c r="P69" s="69"/>
      <c r="Q69" s="69"/>
      <c r="R69" s="69"/>
      <c r="S69" s="69"/>
      <c r="T69" s="69"/>
    </row>
    <row r="70" spans="1:20" ht="15" customHeight="1">
      <c r="A70" s="66" t="s">
        <v>652</v>
      </c>
      <c r="B70" s="66" t="s">
        <v>653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4"/>
        <v>2</v>
      </c>
      <c r="I70" s="66">
        <f>IF(D70&lt;&gt;"",D70,IFERROR(E70/(IFERROR(SUM(Sales!C:C),0))*(IFERROR(SUM(Purchases!C:C),0)),0))</f>
        <v>1148</v>
      </c>
      <c r="J70" s="66">
        <f t="shared" si="5"/>
        <v>2296</v>
      </c>
      <c r="K70" s="66">
        <f t="shared" si="6"/>
        <v>0</v>
      </c>
      <c r="L70" s="66" t="s">
        <v>654</v>
      </c>
      <c r="M70" s="66"/>
      <c r="N70" s="66" t="s">
        <v>504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655</v>
      </c>
      <c r="B71" s="69" t="s">
        <v>656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4"/>
        <v>3</v>
      </c>
      <c r="I71" s="69">
        <f>IF(D71&lt;&gt;"",D71,IFERROR(E71/(IFERROR(SUM(Sales!C:C),0))*(IFERROR(SUM(Purchases!C:C),0)),0))</f>
        <v>857</v>
      </c>
      <c r="J71" s="69">
        <f t="shared" si="5"/>
        <v>2571</v>
      </c>
      <c r="K71" s="69">
        <f t="shared" si="6"/>
        <v>0</v>
      </c>
      <c r="L71" s="69" t="s">
        <v>657</v>
      </c>
      <c r="M71" s="69" t="s">
        <v>49</v>
      </c>
      <c r="N71" s="69" t="s">
        <v>504</v>
      </c>
      <c r="O71" s="69"/>
      <c r="P71" s="69" t="s">
        <v>658</v>
      </c>
      <c r="Q71" s="69"/>
      <c r="R71" s="69"/>
      <c r="S71" s="69"/>
      <c r="T71" s="69"/>
    </row>
    <row r="72" spans="1:20" ht="15" customHeight="1">
      <c r="A72" s="66" t="s">
        <v>659</v>
      </c>
      <c r="B72" s="66" t="s">
        <v>660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4"/>
        <v>1</v>
      </c>
      <c r="I72" s="66">
        <f>IF(D72&lt;&gt;"",D72,IFERROR(E72/(IFERROR(SUM(Sales!C:C),0))*(IFERROR(SUM(Purchases!C:C),0)),0))</f>
        <v>1198</v>
      </c>
      <c r="J72" s="66">
        <f t="shared" si="5"/>
        <v>1198</v>
      </c>
      <c r="K72" s="66">
        <f t="shared" si="6"/>
        <v>0</v>
      </c>
      <c r="L72" s="66" t="s">
        <v>226</v>
      </c>
      <c r="M72" s="66"/>
      <c r="N72" s="66" t="s">
        <v>504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661</v>
      </c>
      <c r="B73" s="69" t="s">
        <v>662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4"/>
        <v>1</v>
      </c>
      <c r="I73" s="69">
        <f>IF(D73&lt;&gt;"",D73,IFERROR(E73/(IFERROR(SUM(Sales!C:C),0))*(IFERROR(SUM(Purchases!C:C),0)),0))</f>
        <v>525</v>
      </c>
      <c r="J73" s="69">
        <f t="shared" si="5"/>
        <v>525</v>
      </c>
      <c r="K73" s="69">
        <f t="shared" si="6"/>
        <v>0</v>
      </c>
      <c r="L73" s="69" t="s">
        <v>181</v>
      </c>
      <c r="M73" s="69"/>
      <c r="N73" s="69" t="s">
        <v>504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663</v>
      </c>
      <c r="B74" s="66" t="s">
        <v>664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4"/>
        <v>1</v>
      </c>
      <c r="I74" s="66">
        <f>IF(D74&lt;&gt;"",D74,IFERROR(E74/(IFERROR(SUM(Sales!C:C),0))*(IFERROR(SUM(Purchases!C:C),0)),0))</f>
        <v>450</v>
      </c>
      <c r="J74" s="66">
        <f t="shared" si="5"/>
        <v>450</v>
      </c>
      <c r="K74" s="66">
        <f t="shared" si="6"/>
        <v>0</v>
      </c>
      <c r="L74" s="66" t="s">
        <v>182</v>
      </c>
      <c r="M74" s="66" t="s">
        <v>49</v>
      </c>
      <c r="N74" s="66" t="s">
        <v>504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665</v>
      </c>
      <c r="B75" s="69" t="s">
        <v>553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4"/>
        <v>1</v>
      </c>
      <c r="I75" s="69">
        <f>IF(D75&lt;&gt;"",D75,IFERROR(E75/(IFERROR(SUM(Sales!C:C),0))*(IFERROR(SUM(Purchases!C:C),0)),0))</f>
        <v>1000</v>
      </c>
      <c r="J75" s="69">
        <f t="shared" si="5"/>
        <v>1000</v>
      </c>
      <c r="K75" s="69">
        <f t="shared" si="6"/>
        <v>0</v>
      </c>
      <c r="L75" s="69" t="s">
        <v>182</v>
      </c>
      <c r="M75" s="69" t="s">
        <v>49</v>
      </c>
      <c r="N75" s="69" t="s">
        <v>504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666</v>
      </c>
      <c r="B76" s="66" t="s">
        <v>667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4"/>
        <v>1</v>
      </c>
      <c r="I76" s="66">
        <f>IF(D76&lt;&gt;"",D76,IFERROR(E76/(IFERROR(SUM(Sales!C:C),0))*(IFERROR(SUM(Purchases!C:C),0)),0))</f>
        <v>1900</v>
      </c>
      <c r="J76" s="66">
        <f t="shared" si="5"/>
        <v>1900</v>
      </c>
      <c r="K76" s="66">
        <f t="shared" si="6"/>
        <v>0</v>
      </c>
      <c r="L76" s="66" t="s">
        <v>183</v>
      </c>
      <c r="M76" s="66" t="s">
        <v>49</v>
      </c>
      <c r="N76" s="66" t="s">
        <v>504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668</v>
      </c>
      <c r="B77" s="69" t="s">
        <v>669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4"/>
        <v>3</v>
      </c>
      <c r="I77" s="69">
        <f>IF(D77&lt;&gt;"",D77,IFERROR(E77/(IFERROR(SUM(Sales!C:C),0))*(IFERROR(SUM(Purchases!C:C),0)),0))</f>
        <v>995</v>
      </c>
      <c r="J77" s="69">
        <f t="shared" si="5"/>
        <v>995</v>
      </c>
      <c r="K77" s="69">
        <f t="shared" si="6"/>
        <v>1990</v>
      </c>
      <c r="L77" s="69" t="s">
        <v>670</v>
      </c>
      <c r="M77" s="69"/>
      <c r="N77" s="69" t="s">
        <v>589</v>
      </c>
      <c r="O77" s="69" t="s">
        <v>671</v>
      </c>
      <c r="P77" s="69"/>
      <c r="Q77" s="69"/>
      <c r="R77" s="69"/>
      <c r="S77" s="69"/>
      <c r="T77" s="69"/>
    </row>
    <row r="78" spans="1:20" ht="15" customHeight="1">
      <c r="A78" s="66" t="s">
        <v>672</v>
      </c>
      <c r="B78" s="66" t="s">
        <v>673</v>
      </c>
      <c r="C78" s="66" t="s">
        <v>96</v>
      </c>
      <c r="D78" s="67">
        <v>1075</v>
      </c>
      <c r="E78" s="67">
        <v>1560</v>
      </c>
      <c r="F78" s="67">
        <v>3</v>
      </c>
      <c r="G78" s="67">
        <v>1</v>
      </c>
      <c r="H78" s="66">
        <f t="shared" si="4"/>
        <v>4</v>
      </c>
      <c r="I78" s="66">
        <f>IF(D78&lt;&gt;"",D78,IFERROR(E78/(IFERROR(SUM(Sales!C:C),0))*(IFERROR(SUM(Purchases!C:C),0)),0))</f>
        <v>1075</v>
      </c>
      <c r="J78" s="66">
        <f t="shared" si="5"/>
        <v>3225</v>
      </c>
      <c r="K78" s="66">
        <f t="shared" si="6"/>
        <v>1075</v>
      </c>
      <c r="L78" s="66" t="s">
        <v>674</v>
      </c>
      <c r="M78" s="66"/>
      <c r="N78" s="66" t="s">
        <v>589</v>
      </c>
      <c r="O78" s="66" t="s">
        <v>675</v>
      </c>
      <c r="P78" s="66"/>
      <c r="Q78" s="66"/>
      <c r="R78" s="66"/>
      <c r="S78" s="66"/>
      <c r="T78" s="66"/>
    </row>
    <row r="79" spans="1:20" ht="15" customHeight="1">
      <c r="A79" s="69" t="s">
        <v>676</v>
      </c>
      <c r="B79" s="69" t="s">
        <v>677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4"/>
        <v>1</v>
      </c>
      <c r="I79" s="69">
        <f>IF(D79&lt;&gt;"",D79,IFERROR(E79/(IFERROR(SUM(Sales!C:C),0))*(IFERROR(SUM(Purchases!C:C),0)),0))</f>
        <v>1045</v>
      </c>
      <c r="J79" s="69">
        <f t="shared" si="5"/>
        <v>1045</v>
      </c>
      <c r="K79" s="69">
        <f t="shared" si="6"/>
        <v>0</v>
      </c>
      <c r="L79" s="69" t="s">
        <v>678</v>
      </c>
      <c r="M79" s="69"/>
      <c r="N79" s="69" t="s">
        <v>679</v>
      </c>
      <c r="O79" s="69" t="s">
        <v>675</v>
      </c>
      <c r="P79" s="69"/>
      <c r="Q79" s="69"/>
      <c r="R79" s="69"/>
      <c r="S79" s="69"/>
      <c r="T79" s="69"/>
    </row>
    <row r="80" spans="1:20" ht="15" customHeight="1">
      <c r="A80" s="66" t="s">
        <v>680</v>
      </c>
      <c r="B80" s="66" t="s">
        <v>681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4"/>
        <v>4</v>
      </c>
      <c r="I80" s="66">
        <f>IF(D80&lt;&gt;"",D80,IFERROR(E80/(IFERROR(SUM(Sales!C:C),0))*(IFERROR(SUM(Purchases!C:C),0)),0))</f>
        <v>1230</v>
      </c>
      <c r="J80" s="66">
        <f t="shared" si="5"/>
        <v>3690</v>
      </c>
      <c r="K80" s="66">
        <f t="shared" si="6"/>
        <v>1230</v>
      </c>
      <c r="L80" s="66" t="s">
        <v>682</v>
      </c>
      <c r="M80" s="66"/>
      <c r="N80" s="66" t="s">
        <v>589</v>
      </c>
      <c r="O80" s="66" t="s">
        <v>683</v>
      </c>
      <c r="P80" s="66"/>
      <c r="Q80" s="66"/>
      <c r="R80" s="66"/>
      <c r="S80" s="66"/>
      <c r="T80" s="66"/>
    </row>
    <row r="81" spans="1:20" ht="30" customHeight="1">
      <c r="A81" s="69" t="s">
        <v>684</v>
      </c>
      <c r="B81" s="69" t="s">
        <v>685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4"/>
        <v>3</v>
      </c>
      <c r="I81" s="69">
        <f>IF(D81&lt;&gt;"",D81,IFERROR(E81/(IFERROR(SUM(Sales!C:C),0))*(IFERROR(SUM(Purchases!C:C),0)),0))</f>
        <v>595</v>
      </c>
      <c r="J81" s="69">
        <f t="shared" si="5"/>
        <v>1785</v>
      </c>
      <c r="K81" s="69">
        <f t="shared" si="6"/>
        <v>0</v>
      </c>
      <c r="L81" s="69" t="s">
        <v>686</v>
      </c>
      <c r="M81" s="69"/>
      <c r="N81" s="69" t="s">
        <v>504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687</v>
      </c>
      <c r="B82" s="66" t="s">
        <v>688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4"/>
        <v>3</v>
      </c>
      <c r="I82" s="66">
        <f>IF(D82&lt;&gt;"",D82,IFERROR(E82/(IFERROR(SUM(Sales!C:C),0))*(IFERROR(SUM(Purchases!C:C),0)),0))</f>
        <v>1075</v>
      </c>
      <c r="J82" s="66">
        <f t="shared" si="5"/>
        <v>3225</v>
      </c>
      <c r="K82" s="66">
        <f t="shared" si="6"/>
        <v>0</v>
      </c>
      <c r="L82" s="66" t="s">
        <v>689</v>
      </c>
      <c r="M82" s="66"/>
      <c r="N82" s="66" t="s">
        <v>504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690</v>
      </c>
      <c r="B83" s="69" t="s">
        <v>691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4"/>
        <v>3</v>
      </c>
      <c r="I83" s="69">
        <f>IF(D83&lt;&gt;"",D83,IFERROR(E83/(IFERROR(SUM(Sales!C:C),0))*(IFERROR(SUM(Purchases!C:C),0)),0))</f>
        <v>1004</v>
      </c>
      <c r="J83" s="69">
        <f t="shared" si="5"/>
        <v>3012</v>
      </c>
      <c r="K83" s="69">
        <f t="shared" si="6"/>
        <v>0</v>
      </c>
      <c r="L83" s="69" t="s">
        <v>692</v>
      </c>
      <c r="M83" s="69"/>
      <c r="N83" s="69" t="s">
        <v>504</v>
      </c>
      <c r="O83" s="69" t="s">
        <v>693</v>
      </c>
      <c r="P83" s="69"/>
      <c r="Q83" s="69"/>
      <c r="R83" s="69"/>
      <c r="S83" s="69"/>
      <c r="T83" s="69"/>
    </row>
    <row r="84" spans="1:20" ht="15" customHeight="1">
      <c r="A84" s="66" t="s">
        <v>694</v>
      </c>
      <c r="B84" s="66" t="s">
        <v>695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4"/>
        <v>3</v>
      </c>
      <c r="I84" s="66">
        <f>IF(D84&lt;&gt;"",D84,IFERROR(E84/(IFERROR(SUM(Sales!C:C),0))*(IFERROR(SUM(Purchases!C:C),0)),0))</f>
        <v>450</v>
      </c>
      <c r="J84" s="66">
        <f t="shared" si="5"/>
        <v>450</v>
      </c>
      <c r="K84" s="66">
        <f t="shared" si="6"/>
        <v>900</v>
      </c>
      <c r="L84" s="66" t="s">
        <v>696</v>
      </c>
      <c r="M84" s="66"/>
      <c r="N84" s="66" t="s">
        <v>589</v>
      </c>
      <c r="O84" s="66" t="s">
        <v>697</v>
      </c>
      <c r="P84" s="66"/>
      <c r="Q84" s="66"/>
      <c r="R84" s="66"/>
      <c r="S84" s="66"/>
      <c r="T84" s="66"/>
    </row>
    <row r="85" spans="1:20" ht="15" customHeight="1">
      <c r="A85" s="69" t="s">
        <v>698</v>
      </c>
      <c r="B85" s="69" t="s">
        <v>699</v>
      </c>
      <c r="C85" s="69" t="s">
        <v>96</v>
      </c>
      <c r="D85" s="70">
        <v>895</v>
      </c>
      <c r="E85" s="70">
        <v>1350</v>
      </c>
      <c r="F85" s="70">
        <v>3</v>
      </c>
      <c r="G85" s="70">
        <v>0</v>
      </c>
      <c r="H85" s="69">
        <f t="shared" si="4"/>
        <v>3</v>
      </c>
      <c r="I85" s="69">
        <f>IF(D85&lt;&gt;"",D85,IFERROR(E85/(IFERROR(SUM(Sales!C:C),0))*(IFERROR(SUM(Purchases!C:C),0)),0))</f>
        <v>895</v>
      </c>
      <c r="J85" s="69">
        <f t="shared" si="5"/>
        <v>2685</v>
      </c>
      <c r="K85" s="69">
        <f t="shared" si="6"/>
        <v>0</v>
      </c>
      <c r="L85" s="69" t="s">
        <v>700</v>
      </c>
      <c r="M85" s="69"/>
      <c r="N85" s="69" t="s">
        <v>504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701</v>
      </c>
      <c r="B86" s="66" t="s">
        <v>702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4"/>
        <v>4</v>
      </c>
      <c r="I86" s="66">
        <f>IF(D86&lt;&gt;"",D86,IFERROR(E86/(IFERROR(SUM(Sales!C:C),0))*(IFERROR(SUM(Purchases!C:C),0)),0))</f>
        <v>1045</v>
      </c>
      <c r="J86" s="66">
        <f t="shared" si="5"/>
        <v>2090</v>
      </c>
      <c r="K86" s="66">
        <f t="shared" si="6"/>
        <v>2090</v>
      </c>
      <c r="L86" s="66" t="s">
        <v>703</v>
      </c>
      <c r="M86" s="66"/>
      <c r="N86" s="66" t="s">
        <v>589</v>
      </c>
      <c r="O86" s="66" t="s">
        <v>704</v>
      </c>
      <c r="P86" s="66"/>
      <c r="Q86" s="66"/>
      <c r="R86" s="66"/>
      <c r="S86" s="66"/>
      <c r="T86" s="66"/>
    </row>
    <row r="87" spans="1:20" ht="15" customHeight="1">
      <c r="A87" s="69" t="s">
        <v>705</v>
      </c>
      <c r="B87" s="69" t="s">
        <v>706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4"/>
        <v>3</v>
      </c>
      <c r="I87" s="69">
        <f>IF(D87&lt;&gt;"",D87,IFERROR(E87/(IFERROR(SUM(Sales!C:C),0))*(IFERROR(SUM(Purchases!C:C),0)),0))</f>
        <v>1195</v>
      </c>
      <c r="J87" s="69">
        <f t="shared" si="5"/>
        <v>1195</v>
      </c>
      <c r="K87" s="69">
        <f t="shared" si="6"/>
        <v>2390</v>
      </c>
      <c r="L87" s="69"/>
      <c r="M87" s="69"/>
      <c r="N87" s="69" t="s">
        <v>679</v>
      </c>
      <c r="O87" s="69" t="s">
        <v>707</v>
      </c>
      <c r="P87" s="69"/>
      <c r="Q87" s="69"/>
      <c r="R87" s="69"/>
      <c r="S87" s="69"/>
      <c r="T87" s="69"/>
    </row>
    <row r="88" spans="1:20" ht="30" customHeight="1">
      <c r="A88" s="66" t="s">
        <v>708</v>
      </c>
      <c r="B88" s="66" t="s">
        <v>709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4"/>
        <v>4</v>
      </c>
      <c r="I88" s="66">
        <f>IF(D88&lt;&gt;"",D88,IFERROR(E88/(IFERROR(SUM(Sales!C:C),0))*(IFERROR(SUM(Purchases!C:C),0)),0))</f>
        <v>795</v>
      </c>
      <c r="J88" s="66">
        <f t="shared" si="5"/>
        <v>2385</v>
      </c>
      <c r="K88" s="66">
        <f t="shared" si="6"/>
        <v>795</v>
      </c>
      <c r="L88" s="66" t="s">
        <v>710</v>
      </c>
      <c r="M88" s="66"/>
      <c r="N88" s="66" t="s">
        <v>589</v>
      </c>
      <c r="O88" s="66" t="s">
        <v>711</v>
      </c>
      <c r="P88" s="66"/>
      <c r="Q88" s="66"/>
      <c r="R88" s="66"/>
      <c r="S88" s="66"/>
      <c r="T88" s="66"/>
    </row>
    <row r="89" spans="1:20" ht="15" customHeight="1">
      <c r="A89" s="69" t="s">
        <v>712</v>
      </c>
      <c r="B89" s="69" t="s">
        <v>713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4"/>
        <v>2</v>
      </c>
      <c r="I89" s="69">
        <f>IF(D89&lt;&gt;"",D89,IFERROR(E89/(IFERROR(SUM(Sales!C:C),0))*(IFERROR(SUM(Purchases!C:C),0)),0))</f>
        <v>1048</v>
      </c>
      <c r="J89" s="69">
        <f t="shared" si="5"/>
        <v>2096</v>
      </c>
      <c r="K89" s="69">
        <f t="shared" si="6"/>
        <v>0</v>
      </c>
      <c r="L89" s="69" t="s">
        <v>714</v>
      </c>
      <c r="M89" s="69"/>
      <c r="N89" s="69" t="s">
        <v>504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715</v>
      </c>
      <c r="B90" s="66" t="s">
        <v>716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4"/>
        <v>1</v>
      </c>
      <c r="I90" s="66">
        <f>IF(D90&lt;&gt;"",D90,IFERROR(E90/(IFERROR(SUM(Sales!C:C),0))*(IFERROR(SUM(Purchases!C:C),0)),0))</f>
        <v>1195</v>
      </c>
      <c r="J90" s="66">
        <f t="shared" si="5"/>
        <v>1195</v>
      </c>
      <c r="K90" s="66">
        <f t="shared" si="6"/>
        <v>0</v>
      </c>
      <c r="L90" s="66" t="s">
        <v>264</v>
      </c>
      <c r="M90" s="66"/>
      <c r="N90" s="66" t="s">
        <v>504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717</v>
      </c>
      <c r="B91" s="69" t="s">
        <v>718</v>
      </c>
      <c r="C91" s="69" t="s">
        <v>719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4"/>
        <v>2</v>
      </c>
      <c r="I91" s="69">
        <f>IF(D91&lt;&gt;"",D91,IFERROR(E91/(IFERROR(SUM(Sales!C:C),0))*(IFERROR(SUM(Purchases!C:C),0)),0))</f>
        <v>389</v>
      </c>
      <c r="J91" s="69">
        <f t="shared" si="5"/>
        <v>778</v>
      </c>
      <c r="K91" s="69">
        <f t="shared" si="6"/>
        <v>0</v>
      </c>
      <c r="L91" s="69" t="s">
        <v>720</v>
      </c>
      <c r="M91" s="69"/>
      <c r="N91" s="69" t="s">
        <v>504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721</v>
      </c>
      <c r="B92" s="66" t="s">
        <v>722</v>
      </c>
      <c r="C92" s="66" t="s">
        <v>719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4"/>
        <v>3</v>
      </c>
      <c r="I92" s="66">
        <f>IF(D92&lt;&gt;"",D92,IFERROR(E92/(IFERROR(SUM(Sales!C:C),0))*(IFERROR(SUM(Purchases!C:C),0)),0))</f>
        <v>489</v>
      </c>
      <c r="J92" s="66">
        <f t="shared" si="5"/>
        <v>1467</v>
      </c>
      <c r="K92" s="66">
        <f t="shared" si="6"/>
        <v>0</v>
      </c>
      <c r="L92" s="66" t="s">
        <v>723</v>
      </c>
      <c r="M92" s="66"/>
      <c r="N92" s="66" t="s">
        <v>504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724</v>
      </c>
      <c r="B93" s="69" t="s">
        <v>725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4"/>
        <v>3</v>
      </c>
      <c r="I93" s="69">
        <f>IF(D93&lt;&gt;"",D93,IFERROR(E93/(IFERROR(SUM(Sales!C:C),0))*(IFERROR(SUM(Purchases!C:C),0)),0))</f>
        <v>472</v>
      </c>
      <c r="J93" s="69">
        <f t="shared" si="5"/>
        <v>944</v>
      </c>
      <c r="K93" s="69">
        <f t="shared" si="6"/>
        <v>472</v>
      </c>
      <c r="L93" s="69" t="s">
        <v>726</v>
      </c>
      <c r="M93" s="69"/>
      <c r="N93" s="66" t="s">
        <v>589</v>
      </c>
      <c r="O93" s="69" t="s">
        <v>216</v>
      </c>
      <c r="P93" s="69"/>
      <c r="Q93" s="69"/>
      <c r="R93" s="69"/>
      <c r="S93" s="69"/>
      <c r="T93" s="69"/>
    </row>
    <row r="94" spans="1:20" ht="15" customHeight="1">
      <c r="A94" s="66" t="s">
        <v>727</v>
      </c>
      <c r="B94" s="66" t="s">
        <v>728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4"/>
        <v>1</v>
      </c>
      <c r="I94" s="66">
        <f>IF(D94&lt;&gt;"",D94,IFERROR(E94/(IFERROR(SUM(Sales!C:C),0))*(IFERROR(SUM(Purchases!C:C),0)),0))</f>
        <v>892</v>
      </c>
      <c r="J94" s="66">
        <f t="shared" si="5"/>
        <v>892</v>
      </c>
      <c r="K94" s="66">
        <f t="shared" si="6"/>
        <v>0</v>
      </c>
      <c r="L94" s="66" t="s">
        <v>192</v>
      </c>
      <c r="M94" s="66"/>
      <c r="N94" s="66" t="s">
        <v>504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729</v>
      </c>
      <c r="B95" s="69" t="s">
        <v>730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4"/>
        <v>3</v>
      </c>
      <c r="I95" s="69">
        <f>IF(D95&lt;&gt;"",D95,IFERROR(E95/(IFERROR(SUM(Sales!C:C),0))*(IFERROR(SUM(Purchases!C:C),0)),0))</f>
        <v>340</v>
      </c>
      <c r="J95" s="69">
        <f t="shared" si="5"/>
        <v>1020</v>
      </c>
      <c r="K95" s="69">
        <f t="shared" si="6"/>
        <v>0</v>
      </c>
      <c r="L95" s="69" t="s">
        <v>731</v>
      </c>
      <c r="M95" s="69"/>
      <c r="N95" s="69" t="s">
        <v>504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732</v>
      </c>
      <c r="B96" s="66" t="s">
        <v>733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4"/>
        <v>1</v>
      </c>
      <c r="I96" s="66">
        <f>IF(D96&lt;&gt;"",D96,IFERROR(E96/(IFERROR(SUM(Sales!C:C),0))*(IFERROR(SUM(Purchases!C:C),0)),0))</f>
        <v>1250</v>
      </c>
      <c r="J96" s="66">
        <f t="shared" si="5"/>
        <v>0</v>
      </c>
      <c r="K96" s="66">
        <f t="shared" si="6"/>
        <v>1250</v>
      </c>
      <c r="L96" s="66"/>
      <c r="M96" s="66"/>
      <c r="N96" s="66" t="s">
        <v>679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734</v>
      </c>
      <c r="B97" s="69" t="s">
        <v>735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4"/>
        <v>1</v>
      </c>
      <c r="I97" s="69">
        <f>IF(D97&lt;&gt;"",D97,IFERROR(E97/(IFERROR(SUM(Sales!C:C),0))*(IFERROR(SUM(Purchases!C:C),0)),0))</f>
        <v>1250</v>
      </c>
      <c r="J97" s="69">
        <f t="shared" si="5"/>
        <v>1250</v>
      </c>
      <c r="K97" s="69">
        <f t="shared" si="6"/>
        <v>0</v>
      </c>
      <c r="L97" s="69" t="s">
        <v>201</v>
      </c>
      <c r="M97" s="69"/>
      <c r="N97" s="69" t="s">
        <v>504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736</v>
      </c>
      <c r="B98" s="66" t="s">
        <v>737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7">F98+IF(LEN(G98)=0,0,G98)</f>
        <v>1</v>
      </c>
      <c r="I98" s="66">
        <f>IF(D98&lt;&gt;"",D98,IFERROR(E98/(IFERROR(SUM(Sales!C:C),0))*(IFERROR(SUM(Purchases!C:C),0)),0))</f>
        <v>1300</v>
      </c>
      <c r="J98" s="66">
        <f t="shared" si="5"/>
        <v>1300</v>
      </c>
      <c r="K98" s="66">
        <f t="shared" si="6"/>
        <v>0</v>
      </c>
      <c r="L98" s="66" t="s">
        <v>178</v>
      </c>
      <c r="M98" s="66"/>
      <c r="N98" s="66" t="s">
        <v>504</v>
      </c>
      <c r="O98" s="66" t="s">
        <v>207</v>
      </c>
      <c r="P98" s="66"/>
      <c r="Q98" s="66"/>
      <c r="R98" s="66"/>
      <c r="S98" s="66"/>
      <c r="T98" s="66"/>
    </row>
    <row r="99" spans="1:20" ht="15" customHeight="1">
      <c r="A99" s="69" t="s">
        <v>738</v>
      </c>
      <c r="B99" s="69" t="s">
        <v>739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7"/>
        <v>1</v>
      </c>
      <c r="I99" s="69">
        <f>IF(D99&lt;&gt;"",D99,IFERROR(E99/(IFERROR(SUM(Sales!C:C),0))*(IFERROR(SUM(Purchases!C:C),0)),0))</f>
        <v>1160</v>
      </c>
      <c r="J99" s="69">
        <f t="shared" si="5"/>
        <v>1160</v>
      </c>
      <c r="K99" s="69">
        <f t="shared" si="6"/>
        <v>0</v>
      </c>
      <c r="L99" s="69" t="s">
        <v>178</v>
      </c>
      <c r="M99" s="69"/>
      <c r="N99" s="69" t="s">
        <v>504</v>
      </c>
      <c r="O99" s="69" t="s">
        <v>207</v>
      </c>
      <c r="P99" s="69"/>
      <c r="Q99" s="69"/>
      <c r="R99" s="69"/>
      <c r="S99" s="69"/>
      <c r="T99" s="69"/>
    </row>
    <row r="100" spans="1:20" ht="15" customHeight="1">
      <c r="A100" s="66" t="s">
        <v>740</v>
      </c>
      <c r="B100" s="66" t="s">
        <v>741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7"/>
        <v>1</v>
      </c>
      <c r="I100" s="66">
        <f>IF(D100&lt;&gt;"",D100,IFERROR(E100/(IFERROR(SUM(Sales!C:C),0))*(IFERROR(SUM(Purchases!C:C),0)),0))</f>
        <v>1300</v>
      </c>
      <c r="J100" s="66">
        <f t="shared" si="5"/>
        <v>1300</v>
      </c>
      <c r="K100" s="66">
        <f t="shared" si="6"/>
        <v>0</v>
      </c>
      <c r="L100" s="66" t="s">
        <v>178</v>
      </c>
      <c r="M100" s="66"/>
      <c r="N100" s="66" t="s">
        <v>504</v>
      </c>
      <c r="O100" s="66" t="s">
        <v>207</v>
      </c>
      <c r="P100" s="66"/>
      <c r="Q100" s="66"/>
      <c r="R100" s="66"/>
      <c r="S100" s="66"/>
      <c r="T100" s="66"/>
    </row>
    <row r="101" spans="1:20" ht="15" customHeight="1">
      <c r="A101" s="69" t="s">
        <v>742</v>
      </c>
      <c r="B101" s="69" t="s">
        <v>743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7"/>
        <v>1</v>
      </c>
      <c r="I101" s="69">
        <f>IF(D101&lt;&gt;"",D101,IFERROR(E101/(IFERROR(SUM(Sales!C:C),0))*(IFERROR(SUM(Purchases!C:C),0)),0))</f>
        <v>1622</v>
      </c>
      <c r="J101" s="69">
        <f t="shared" si="5"/>
        <v>1622</v>
      </c>
      <c r="K101" s="69">
        <f t="shared" si="6"/>
        <v>0</v>
      </c>
      <c r="L101" s="69" t="s">
        <v>194</v>
      </c>
      <c r="M101" s="69"/>
      <c r="N101" s="69" t="s">
        <v>504</v>
      </c>
      <c r="O101" s="69" t="s">
        <v>207</v>
      </c>
      <c r="P101" s="69"/>
      <c r="Q101" s="69"/>
      <c r="R101" s="69"/>
      <c r="S101" s="69"/>
      <c r="T101" s="69"/>
    </row>
    <row r="102" spans="1:20" ht="15" customHeight="1">
      <c r="A102" s="66" t="s">
        <v>744</v>
      </c>
      <c r="B102" s="66" t="s">
        <v>745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7"/>
        <v>1</v>
      </c>
      <c r="I102" s="66">
        <f>IF(D102&lt;&gt;"",D102,IFERROR(E102/(IFERROR(SUM(Sales!C:C),0))*(IFERROR(SUM(Purchases!C:C),0)),0))</f>
        <v>1092</v>
      </c>
      <c r="J102" s="66">
        <f t="shared" si="5"/>
        <v>1092</v>
      </c>
      <c r="K102" s="66">
        <f t="shared" si="6"/>
        <v>0</v>
      </c>
      <c r="L102" s="66" t="s">
        <v>194</v>
      </c>
      <c r="M102" s="66"/>
      <c r="N102" s="66" t="s">
        <v>504</v>
      </c>
      <c r="O102" s="66" t="s">
        <v>207</v>
      </c>
      <c r="P102" s="66"/>
      <c r="Q102" s="66"/>
      <c r="R102" s="66"/>
      <c r="S102" s="66"/>
      <c r="T102" s="66"/>
    </row>
    <row r="103" spans="1:20" ht="15" customHeight="1">
      <c r="A103" s="69" t="s">
        <v>746</v>
      </c>
      <c r="B103" s="69" t="s">
        <v>747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7"/>
        <v>1</v>
      </c>
      <c r="I103" s="69">
        <f>IF(D103&lt;&gt;"",D103,IFERROR(E103/(IFERROR(SUM(Sales!C:C),0))*(IFERROR(SUM(Purchases!C:C),0)),0))</f>
        <v>976</v>
      </c>
      <c r="J103" s="69">
        <f t="shared" si="5"/>
        <v>976</v>
      </c>
      <c r="K103" s="69">
        <f t="shared" si="6"/>
        <v>0</v>
      </c>
      <c r="L103" s="69" t="s">
        <v>218</v>
      </c>
      <c r="M103" s="69"/>
      <c r="N103" s="69" t="s">
        <v>504</v>
      </c>
      <c r="O103" s="69" t="s">
        <v>207</v>
      </c>
      <c r="P103" s="69"/>
      <c r="Q103" s="69"/>
      <c r="R103" s="69"/>
      <c r="S103" s="69"/>
      <c r="T103" s="69"/>
    </row>
    <row r="104" spans="1:20" ht="15" customHeight="1">
      <c r="A104" s="66" t="s">
        <v>748</v>
      </c>
      <c r="B104" s="66" t="s">
        <v>749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7"/>
        <v>1</v>
      </c>
      <c r="I104" s="66">
        <f>IF(D104&lt;&gt;"",D104,IFERROR(E104/(IFERROR(SUM(Sales!C:C),0))*(IFERROR(SUM(Purchases!C:C),0)),0))</f>
        <v>976</v>
      </c>
      <c r="J104" s="66">
        <f t="shared" si="5"/>
        <v>976</v>
      </c>
      <c r="K104" s="66">
        <f t="shared" si="6"/>
        <v>0</v>
      </c>
      <c r="L104" s="66" t="s">
        <v>161</v>
      </c>
      <c r="M104" s="66"/>
      <c r="N104" s="66" t="s">
        <v>504</v>
      </c>
      <c r="O104" s="66" t="s">
        <v>207</v>
      </c>
      <c r="P104" s="66"/>
      <c r="Q104" s="66"/>
      <c r="R104" s="66"/>
      <c r="S104" s="66"/>
      <c r="T104" s="66"/>
    </row>
    <row r="105" spans="1:20" ht="15" customHeight="1">
      <c r="A105" s="69" t="s">
        <v>750</v>
      </c>
      <c r="B105" s="69" t="s">
        <v>751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7"/>
        <v>1</v>
      </c>
      <c r="I105" s="69">
        <f>IF(D105&lt;&gt;"",D105,IFERROR(E105/(IFERROR(SUM(Sales!C:C),0))*(IFERROR(SUM(Purchases!C:C),0)),0))</f>
        <v>976</v>
      </c>
      <c r="J105" s="69">
        <f t="shared" si="5"/>
        <v>976</v>
      </c>
      <c r="K105" s="69">
        <f t="shared" si="6"/>
        <v>0</v>
      </c>
      <c r="L105" s="69" t="s">
        <v>161</v>
      </c>
      <c r="M105" s="69"/>
      <c r="N105" s="69" t="s">
        <v>504</v>
      </c>
      <c r="O105" s="69" t="s">
        <v>207</v>
      </c>
      <c r="P105" s="69"/>
      <c r="Q105" s="69"/>
      <c r="R105" s="69"/>
      <c r="S105" s="69"/>
      <c r="T105" s="69"/>
    </row>
    <row r="106" spans="1:20" ht="15" customHeight="1">
      <c r="A106" s="66" t="s">
        <v>752</v>
      </c>
      <c r="B106" s="66" t="s">
        <v>753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7"/>
        <v>1</v>
      </c>
      <c r="I106" s="66">
        <f>IF(D106&lt;&gt;"",D106,IFERROR(E106/(IFERROR(SUM(Sales!C:C),0))*(IFERROR(SUM(Purchases!C:C),0)),0))</f>
        <v>976</v>
      </c>
      <c r="J106" s="66">
        <f t="shared" si="5"/>
        <v>976</v>
      </c>
      <c r="K106" s="66">
        <f t="shared" si="6"/>
        <v>0</v>
      </c>
      <c r="L106" s="66" t="s">
        <v>418</v>
      </c>
      <c r="M106" s="66"/>
      <c r="N106" s="66" t="s">
        <v>504</v>
      </c>
      <c r="O106" s="66" t="s">
        <v>207</v>
      </c>
      <c r="P106" s="66"/>
      <c r="Q106" s="66"/>
      <c r="R106" s="66"/>
      <c r="S106" s="66"/>
      <c r="T106" s="66"/>
    </row>
    <row r="107" spans="1:20" ht="15" customHeight="1">
      <c r="A107" s="69" t="s">
        <v>754</v>
      </c>
      <c r="B107" s="69" t="s">
        <v>755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7"/>
        <v>1</v>
      </c>
      <c r="I107" s="69">
        <f>IF(D107&lt;&gt;"",D107,IFERROR(E107/(IFERROR(SUM(Sales!C:C),0))*(IFERROR(SUM(Purchases!C:C),0)),0))</f>
        <v>976</v>
      </c>
      <c r="J107" s="69">
        <f t="shared" si="5"/>
        <v>976</v>
      </c>
      <c r="K107" s="69">
        <f t="shared" si="6"/>
        <v>0</v>
      </c>
      <c r="L107" s="69" t="s">
        <v>177</v>
      </c>
      <c r="M107" s="69"/>
      <c r="N107" s="69" t="s">
        <v>504</v>
      </c>
      <c r="O107" s="69" t="s">
        <v>207</v>
      </c>
      <c r="P107" s="69"/>
      <c r="Q107" s="69"/>
      <c r="R107" s="69"/>
      <c r="S107" s="69"/>
      <c r="T107" s="69"/>
    </row>
    <row r="108" spans="1:20" ht="15" customHeight="1">
      <c r="A108" s="66" t="s">
        <v>756</v>
      </c>
      <c r="B108" s="66" t="s">
        <v>757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7"/>
        <v>1</v>
      </c>
      <c r="I108" s="66">
        <f>IF(D108&lt;&gt;"",D108,IFERROR(E108/(IFERROR(SUM(Sales!C:C),0))*(IFERROR(SUM(Purchases!C:C),0)),0))</f>
        <v>976</v>
      </c>
      <c r="J108" s="66">
        <f t="shared" si="5"/>
        <v>976</v>
      </c>
      <c r="K108" s="66">
        <f t="shared" si="6"/>
        <v>0</v>
      </c>
      <c r="L108" s="66" t="s">
        <v>191</v>
      </c>
      <c r="M108" s="66"/>
      <c r="N108" s="66" t="s">
        <v>504</v>
      </c>
      <c r="O108" s="66" t="s">
        <v>207</v>
      </c>
      <c r="P108" s="66"/>
      <c r="Q108" s="66"/>
      <c r="R108" s="66"/>
      <c r="S108" s="66"/>
      <c r="T108" s="66"/>
    </row>
    <row r="109" spans="1:20" ht="15" customHeight="1">
      <c r="A109" s="69" t="s">
        <v>758</v>
      </c>
      <c r="B109" s="69" t="s">
        <v>759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7"/>
        <v>1</v>
      </c>
      <c r="I109" s="69">
        <f>IF(D109&lt;&gt;"",D109,IFERROR(E109/(IFERROR(SUM(Sales!C:C),0))*(IFERROR(SUM(Purchases!C:C),0)),0))</f>
        <v>976</v>
      </c>
      <c r="J109" s="69">
        <f t="shared" si="5"/>
        <v>976</v>
      </c>
      <c r="K109" s="69">
        <f t="shared" si="6"/>
        <v>0</v>
      </c>
      <c r="L109" s="69" t="s">
        <v>194</v>
      </c>
      <c r="M109" s="69"/>
      <c r="N109" s="69" t="s">
        <v>504</v>
      </c>
      <c r="O109" s="69" t="s">
        <v>207</v>
      </c>
      <c r="P109" s="69"/>
      <c r="Q109" s="69"/>
      <c r="R109" s="69"/>
      <c r="S109" s="69"/>
      <c r="T109" s="69"/>
    </row>
    <row r="110" spans="1:20" ht="15" customHeight="1">
      <c r="A110" s="66" t="s">
        <v>760</v>
      </c>
      <c r="B110" s="66" t="s">
        <v>761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7"/>
        <v>1</v>
      </c>
      <c r="I110" s="66">
        <f>IF(D110&lt;&gt;"",D110,IFERROR(E110/(IFERROR(SUM(Sales!C:C),0))*(IFERROR(SUM(Purchases!C:C),0)),0))</f>
        <v>976</v>
      </c>
      <c r="J110" s="66">
        <f t="shared" si="5"/>
        <v>976</v>
      </c>
      <c r="K110" s="66">
        <f t="shared" si="6"/>
        <v>0</v>
      </c>
      <c r="L110" s="66" t="s">
        <v>193</v>
      </c>
      <c r="M110" s="66"/>
      <c r="N110" s="66" t="s">
        <v>504</v>
      </c>
      <c r="O110" s="66" t="s">
        <v>207</v>
      </c>
      <c r="P110" s="66"/>
      <c r="Q110" s="66"/>
      <c r="R110" s="66"/>
      <c r="S110" s="66"/>
      <c r="T110" s="66"/>
    </row>
    <row r="111" spans="1:20" ht="15" customHeight="1">
      <c r="A111" s="69" t="s">
        <v>762</v>
      </c>
      <c r="B111" s="69" t="s">
        <v>763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7"/>
        <v>1</v>
      </c>
      <c r="I111" s="69">
        <f>IF(D111&lt;&gt;"",D111,IFERROR(E111/(IFERROR(SUM(Sales!C:C),0))*(IFERROR(SUM(Purchases!C:C),0)),0))</f>
        <v>976</v>
      </c>
      <c r="J111" s="69">
        <f t="shared" si="5"/>
        <v>976</v>
      </c>
      <c r="K111" s="69">
        <f t="shared" si="6"/>
        <v>0</v>
      </c>
      <c r="L111" s="69" t="s">
        <v>191</v>
      </c>
      <c r="M111" s="69"/>
      <c r="N111" s="69" t="s">
        <v>504</v>
      </c>
      <c r="O111" s="69" t="s">
        <v>207</v>
      </c>
      <c r="P111" s="69"/>
      <c r="Q111" s="69"/>
      <c r="R111" s="69"/>
      <c r="S111" s="69"/>
      <c r="T111" s="69"/>
    </row>
    <row r="112" spans="1:20" ht="15" customHeight="1">
      <c r="A112" s="66" t="s">
        <v>764</v>
      </c>
      <c r="B112" s="66" t="s">
        <v>765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7"/>
        <v>1</v>
      </c>
      <c r="I112" s="66">
        <f>IF(D112&lt;&gt;"",D112,IFERROR(E112/(IFERROR(SUM(Sales!C:C),0))*(IFERROR(SUM(Purchases!C:C),0)),0))</f>
        <v>976</v>
      </c>
      <c r="J112" s="66">
        <f t="shared" si="5"/>
        <v>0</v>
      </c>
      <c r="K112" s="66">
        <f t="shared" si="6"/>
        <v>976</v>
      </c>
      <c r="L112" s="66"/>
      <c r="M112" s="66"/>
      <c r="N112" s="66" t="s">
        <v>679</v>
      </c>
      <c r="O112" s="66" t="s">
        <v>207</v>
      </c>
      <c r="P112" s="66"/>
      <c r="Q112" s="66"/>
      <c r="R112" s="66"/>
      <c r="S112" s="66"/>
      <c r="T112" s="66"/>
    </row>
    <row r="113" spans="1:246" ht="15" customHeight="1">
      <c r="A113" s="69" t="s">
        <v>766</v>
      </c>
      <c r="B113" s="69" t="s">
        <v>767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7"/>
        <v>1</v>
      </c>
      <c r="I113" s="69">
        <f>IF(D113&lt;&gt;"",D113,IFERROR(E113/(IFERROR(SUM(Sales!C:C),0))*(IFERROR(SUM(Purchases!C:C),0)),0))</f>
        <v>976</v>
      </c>
      <c r="J113" s="69">
        <f t="shared" si="5"/>
        <v>976</v>
      </c>
      <c r="K113" s="69">
        <f t="shared" si="6"/>
        <v>0</v>
      </c>
      <c r="L113" s="69" t="s">
        <v>218</v>
      </c>
      <c r="M113" s="69"/>
      <c r="N113" s="69" t="s">
        <v>504</v>
      </c>
      <c r="O113" s="69" t="s">
        <v>207</v>
      </c>
      <c r="P113" s="69"/>
      <c r="Q113" s="69"/>
      <c r="R113" s="69"/>
      <c r="S113" s="69"/>
      <c r="T113" s="69"/>
    </row>
    <row r="114" spans="1:246" ht="15" customHeight="1">
      <c r="A114" s="66" t="s">
        <v>768</v>
      </c>
      <c r="B114" s="66" t="s">
        <v>769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7"/>
        <v>1</v>
      </c>
      <c r="I114" s="66">
        <f>IF(D114&lt;&gt;"",D114,IFERROR(E114/(IFERROR(SUM(Sales!C:C),0))*(IFERROR(SUM(Purchases!C:C),0)),0))</f>
        <v>1118.26</v>
      </c>
      <c r="J114" s="66">
        <f t="shared" si="5"/>
        <v>1118.26</v>
      </c>
      <c r="K114" s="66">
        <f t="shared" si="6"/>
        <v>0</v>
      </c>
      <c r="L114" s="66" t="s">
        <v>224</v>
      </c>
      <c r="M114" s="66"/>
      <c r="N114" s="66" t="s">
        <v>504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770</v>
      </c>
      <c r="B115" s="69" t="s">
        <v>771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7"/>
        <v>5</v>
      </c>
      <c r="I115" s="69">
        <f>IF(D115&lt;&gt;"",D115,IFERROR(E115/(IFERROR(SUM(Sales!C:C),0))*(IFERROR(SUM(Purchases!C:C),0)),0))</f>
        <v>1254.76</v>
      </c>
      <c r="J115" s="69">
        <f t="shared" si="5"/>
        <v>6273.8</v>
      </c>
      <c r="K115" s="69">
        <f t="shared" si="6"/>
        <v>0</v>
      </c>
      <c r="L115" s="69" t="s">
        <v>772</v>
      </c>
      <c r="M115" s="69"/>
      <c r="N115" s="69" t="s">
        <v>504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773</v>
      </c>
      <c r="B116" s="66" t="s">
        <v>774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7"/>
        <v>21</v>
      </c>
      <c r="I116" s="66">
        <f>IF(D116&lt;&gt;"",D116,IFERROR(E116/(IFERROR(SUM(Sales!C:C),0))*(IFERROR(SUM(Purchases!C:C),0)),0))</f>
        <v>891.5</v>
      </c>
      <c r="J116" s="66">
        <f t="shared" si="5"/>
        <v>18721.5</v>
      </c>
      <c r="K116" s="66">
        <f t="shared" si="6"/>
        <v>0</v>
      </c>
      <c r="L116" s="66" t="s">
        <v>775</v>
      </c>
      <c r="M116" s="66"/>
      <c r="N116" s="66" t="s">
        <v>504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776</v>
      </c>
      <c r="B117" s="69" t="s">
        <v>777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7"/>
        <v>1</v>
      </c>
      <c r="I117" s="69">
        <f>IF(D117&lt;&gt;"",D117,IFERROR(E117/(IFERROR(SUM(Sales!C:C),0))*(IFERROR(SUM(Purchases!C:C),0)),0))</f>
        <v>891.46</v>
      </c>
      <c r="J117" s="69">
        <f t="shared" si="5"/>
        <v>891.46</v>
      </c>
      <c r="K117" s="69">
        <f t="shared" si="6"/>
        <v>0</v>
      </c>
      <c r="L117" s="69" t="s">
        <v>209</v>
      </c>
      <c r="M117" s="69"/>
      <c r="N117" s="69" t="s">
        <v>504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778</v>
      </c>
      <c r="B118" s="66" t="s">
        <v>779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7"/>
        <v>2</v>
      </c>
      <c r="I118" s="66">
        <f>IF(D118&lt;&gt;"",D118,IFERROR(E118/(IFERROR(SUM(Sales!C:C),0))*(IFERROR(SUM(Purchases!C:C),0)),0))</f>
        <v>1047.9000000000001</v>
      </c>
      <c r="J118" s="66">
        <f t="shared" si="5"/>
        <v>0</v>
      </c>
      <c r="K118" s="66">
        <f t="shared" si="6"/>
        <v>2095.8000000000002</v>
      </c>
      <c r="L118" s="66" t="s">
        <v>780</v>
      </c>
      <c r="M118" s="66"/>
      <c r="N118" s="66" t="s">
        <v>504</v>
      </c>
      <c r="O118" s="66"/>
      <c r="P118" s="66" t="s">
        <v>781</v>
      </c>
      <c r="Q118" s="66"/>
      <c r="R118" s="66"/>
      <c r="S118" s="66"/>
      <c r="T118" s="66"/>
    </row>
    <row r="119" spans="1:246" ht="15" customHeight="1">
      <c r="A119" s="69" t="s">
        <v>782</v>
      </c>
      <c r="B119" s="69" t="s">
        <v>783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7"/>
        <v>1</v>
      </c>
      <c r="I119" s="69">
        <f>IF(D119&lt;&gt;"",D119,IFERROR(E119/(IFERROR(SUM(Sales!C:C),0))*(IFERROR(SUM(Purchases!C:C),0)),0))</f>
        <v>870.46</v>
      </c>
      <c r="J119" s="69">
        <f t="shared" si="5"/>
        <v>870.46</v>
      </c>
      <c r="K119" s="69">
        <f t="shared" si="6"/>
        <v>0</v>
      </c>
      <c r="L119" s="69" t="s">
        <v>51</v>
      </c>
      <c r="M119" s="69"/>
      <c r="N119" s="69" t="s">
        <v>504</v>
      </c>
      <c r="O119" s="69"/>
      <c r="P119" s="69"/>
      <c r="Q119" s="69"/>
      <c r="R119" s="69"/>
      <c r="S119" s="69"/>
      <c r="T119" s="69"/>
    </row>
    <row r="120" spans="1:246" ht="181.5" customHeight="1">
      <c r="A120" s="66" t="s">
        <v>784</v>
      </c>
      <c r="B120" s="66" t="s">
        <v>785</v>
      </c>
      <c r="C120" s="66" t="s">
        <v>95</v>
      </c>
      <c r="D120" s="67">
        <v>418.95333333333298</v>
      </c>
      <c r="E120" s="67">
        <v>699</v>
      </c>
      <c r="F120" s="67">
        <v>43</v>
      </c>
      <c r="G120" s="67">
        <v>3</v>
      </c>
      <c r="H120" s="66">
        <f t="shared" si="7"/>
        <v>46</v>
      </c>
      <c r="I120" s="66">
        <f>IF(D120&lt;&gt;"",D120,IFERROR(E120/(IFERROR(SUM(Sales!C:C),0))*(IFERROR(SUM(Purchases!C:C),0)),0))</f>
        <v>418.95333333333298</v>
      </c>
      <c r="J120" s="66">
        <f t="shared" si="5"/>
        <v>18014.993333333317</v>
      </c>
      <c r="K120" s="66">
        <f t="shared" si="6"/>
        <v>1256.859999999999</v>
      </c>
      <c r="L120" s="66" t="s">
        <v>1111</v>
      </c>
      <c r="M120" s="66" t="s">
        <v>49</v>
      </c>
      <c r="N120" s="66" t="s">
        <v>589</v>
      </c>
      <c r="O120" s="66"/>
      <c r="P120" s="66" t="s">
        <v>1112</v>
      </c>
      <c r="Q120" s="66"/>
      <c r="R120" s="66"/>
      <c r="S120" s="66"/>
      <c r="T120" s="66"/>
    </row>
    <row r="121" spans="1:246" ht="15" customHeight="1">
      <c r="A121" s="69" t="s">
        <v>786</v>
      </c>
      <c r="B121" s="69" t="s">
        <v>787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7"/>
        <v>2</v>
      </c>
      <c r="I121" s="69">
        <f>IF(D121&lt;&gt;"",D121,IFERROR(E121/(IFERROR(SUM(Sales!C:C),0))*(IFERROR(SUM(Purchases!C:C),0)),0))</f>
        <v>817.95</v>
      </c>
      <c r="J121" s="69">
        <f t="shared" si="5"/>
        <v>1635.9</v>
      </c>
      <c r="K121" s="69">
        <f t="shared" si="6"/>
        <v>0</v>
      </c>
      <c r="L121" s="69" t="s">
        <v>788</v>
      </c>
      <c r="M121" s="69"/>
      <c r="N121" s="69" t="s">
        <v>504</v>
      </c>
      <c r="O121" s="69"/>
      <c r="P121" s="69" t="s">
        <v>789</v>
      </c>
      <c r="Q121" s="69"/>
      <c r="R121" s="69"/>
      <c r="S121" s="69"/>
      <c r="T121" s="69"/>
    </row>
    <row r="122" spans="1:246" ht="15" customHeight="1">
      <c r="A122" s="66" t="s">
        <v>790</v>
      </c>
      <c r="B122" s="66" t="s">
        <v>791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7"/>
        <v>4</v>
      </c>
      <c r="I122" s="66">
        <f>IF(D122&lt;&gt;"",D122,IFERROR(E122/(IFERROR(SUM(Sales!C:C),0))*(IFERROR(SUM(Purchases!C:C),0)),0))</f>
        <v>1175</v>
      </c>
      <c r="J122" s="66">
        <f t="shared" si="5"/>
        <v>0</v>
      </c>
      <c r="K122" s="66">
        <f t="shared" si="6"/>
        <v>4700</v>
      </c>
      <c r="L122" s="66" t="s">
        <v>792</v>
      </c>
      <c r="M122" s="66"/>
      <c r="N122" s="66" t="s">
        <v>504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793</v>
      </c>
      <c r="B123" s="78" t="s">
        <v>794</v>
      </c>
      <c r="C123" s="78" t="s">
        <v>95</v>
      </c>
      <c r="D123" s="79">
        <v>891.44</v>
      </c>
      <c r="E123" s="79">
        <v>1380</v>
      </c>
      <c r="F123" s="79">
        <v>6</v>
      </c>
      <c r="G123" s="79">
        <v>0</v>
      </c>
      <c r="H123" s="78">
        <f t="shared" si="7"/>
        <v>6</v>
      </c>
      <c r="I123" s="78">
        <f>IF(D123&lt;&gt;"",D123,IFERROR(E123/(IFERROR(SUM(Sales!C:C),0))*(IFERROR(SUM(Purchases!C:C),0)),0))</f>
        <v>891.44</v>
      </c>
      <c r="J123" s="78">
        <f t="shared" si="5"/>
        <v>5348.64</v>
      </c>
      <c r="K123" s="78">
        <f t="shared" si="6"/>
        <v>0</v>
      </c>
      <c r="L123" s="78" t="s">
        <v>795</v>
      </c>
      <c r="M123" s="78"/>
      <c r="N123" s="78" t="s">
        <v>589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796</v>
      </c>
      <c r="B124" s="80" t="s">
        <v>797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7"/>
        <v>5</v>
      </c>
      <c r="I124" s="80">
        <f>IF(D124&lt;&gt;"",D124,IFERROR(E124/(IFERROR(SUM(Sales!C:C),0))*(IFERROR(SUM(Purchases!C:C),0)),0))</f>
        <v>807.452</v>
      </c>
      <c r="J124" s="80">
        <f t="shared" si="5"/>
        <v>4037.26</v>
      </c>
      <c r="K124" s="80">
        <f t="shared" si="6"/>
        <v>0</v>
      </c>
      <c r="L124" s="80" t="s">
        <v>798</v>
      </c>
      <c r="M124" s="80"/>
      <c r="N124" s="80" t="s">
        <v>504</v>
      </c>
      <c r="O124" s="80"/>
      <c r="P124" s="80" t="s">
        <v>601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799</v>
      </c>
      <c r="B125" s="78" t="s">
        <v>800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7"/>
        <v>2</v>
      </c>
      <c r="I125" s="78">
        <f>IF(D125&lt;&gt;"",D125,IFERROR(E125/(IFERROR(SUM(Sales!C:C),0))*(IFERROR(SUM(Purchases!C:C),0)),0))</f>
        <v>908.25</v>
      </c>
      <c r="J125" s="78">
        <f t="shared" si="5"/>
        <v>1816.5</v>
      </c>
      <c r="K125" s="78">
        <f t="shared" si="6"/>
        <v>0</v>
      </c>
      <c r="L125" s="78" t="s">
        <v>801</v>
      </c>
      <c r="M125" s="78"/>
      <c r="N125" s="78" t="s">
        <v>504</v>
      </c>
      <c r="O125" s="78"/>
      <c r="P125" s="78" t="s">
        <v>802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803</v>
      </c>
      <c r="B126" s="66" t="s">
        <v>804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7"/>
        <v>1</v>
      </c>
      <c r="I126" s="80">
        <f>IF(D126&lt;&gt;"",D126,IFERROR(E126/(IFERROR(SUM(Sales!C:C),0))*(IFERROR(SUM(Purchases!C:C),0)),0))</f>
        <v>1760</v>
      </c>
      <c r="J126" s="80">
        <f t="shared" si="5"/>
        <v>1760</v>
      </c>
      <c r="K126" s="80">
        <f t="shared" si="6"/>
        <v>0</v>
      </c>
      <c r="L126" s="66" t="s">
        <v>805</v>
      </c>
      <c r="M126" s="66"/>
      <c r="N126" s="66" t="s">
        <v>504</v>
      </c>
      <c r="O126" s="66" t="s">
        <v>806</v>
      </c>
      <c r="P126" s="66"/>
      <c r="Q126" s="66"/>
      <c r="R126" s="66"/>
      <c r="S126" s="66"/>
      <c r="T126" s="66"/>
    </row>
    <row r="127" spans="1:246" ht="15" customHeight="1">
      <c r="A127" s="78" t="s">
        <v>807</v>
      </c>
      <c r="B127" s="69" t="s">
        <v>808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7"/>
        <v>1</v>
      </c>
      <c r="I127" s="78">
        <f>IF(D127&lt;&gt;"",D127,IFERROR(E127/(IFERROR(SUM(Sales!C:C),0))*(IFERROR(SUM(Purchases!C:C),0)),0))</f>
        <v>1330</v>
      </c>
      <c r="J127" s="78">
        <f t="shared" si="5"/>
        <v>1330</v>
      </c>
      <c r="K127" s="78">
        <f t="shared" si="6"/>
        <v>0</v>
      </c>
      <c r="L127" s="69" t="s">
        <v>262</v>
      </c>
      <c r="M127" s="69"/>
      <c r="N127" s="69" t="s">
        <v>504</v>
      </c>
      <c r="O127" s="69" t="s">
        <v>207</v>
      </c>
      <c r="P127" s="69"/>
      <c r="Q127" s="69"/>
      <c r="R127" s="69"/>
      <c r="S127" s="69"/>
      <c r="T127" s="69"/>
    </row>
    <row r="128" spans="1:246" ht="15" customHeight="1">
      <c r="A128" s="80" t="s">
        <v>809</v>
      </c>
      <c r="B128" s="66" t="s">
        <v>810</v>
      </c>
      <c r="C128" s="66" t="s">
        <v>95</v>
      </c>
      <c r="D128" s="67">
        <v>1155</v>
      </c>
      <c r="E128" s="67">
        <v>1650</v>
      </c>
      <c r="F128" s="81">
        <v>1</v>
      </c>
      <c r="G128" s="81">
        <v>0</v>
      </c>
      <c r="H128" s="80">
        <f t="shared" si="7"/>
        <v>1</v>
      </c>
      <c r="I128" s="80">
        <f>IF(D128&lt;&gt;"",D128,IFERROR(E128/(IFERROR(SUM(Sales!C:C),0))*(IFERROR(SUM(Purchases!C:C),0)),0))</f>
        <v>1155</v>
      </c>
      <c r="J128" s="80">
        <f t="shared" si="5"/>
        <v>1155</v>
      </c>
      <c r="K128" s="80">
        <f t="shared" si="6"/>
        <v>0</v>
      </c>
      <c r="L128" s="66" t="s">
        <v>1100</v>
      </c>
      <c r="M128" s="66"/>
      <c r="N128" s="66" t="s">
        <v>504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811</v>
      </c>
      <c r="B129" s="69" t="s">
        <v>812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7"/>
        <v>1</v>
      </c>
      <c r="I129" s="78">
        <f>IF(D129&lt;&gt;"",D129,IFERROR(E129/(IFERROR(SUM(Sales!C:C),0))*(IFERROR(SUM(Purchases!C:C),0)),0))</f>
        <v>1155</v>
      </c>
      <c r="J129" s="78">
        <f t="shared" si="5"/>
        <v>1155</v>
      </c>
      <c r="K129" s="78">
        <f t="shared" si="6"/>
        <v>0</v>
      </c>
      <c r="L129" s="69" t="s">
        <v>813</v>
      </c>
      <c r="M129" s="69"/>
      <c r="N129" s="69" t="s">
        <v>504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814</v>
      </c>
      <c r="B130" s="66" t="s">
        <v>815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8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93" si="9">F130*I130</f>
        <v>755</v>
      </c>
      <c r="K130" s="80">
        <f t="shared" ref="K130:K193" si="10">IF(LEN(G130)=0,0,G130)*I130</f>
        <v>0</v>
      </c>
      <c r="L130" s="66" t="s">
        <v>816</v>
      </c>
      <c r="M130" s="66"/>
      <c r="N130" s="66" t="s">
        <v>504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817</v>
      </c>
      <c r="B131" s="69" t="s">
        <v>818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8"/>
        <v>1</v>
      </c>
      <c r="I131" s="78">
        <f>IF(D131&lt;&gt;"",D131,IFERROR(E131/(IFERROR(SUM(Sales!C:C),0))*(IFERROR(SUM(Purchases!C:C),0)),0))</f>
        <v>975</v>
      </c>
      <c r="J131" s="78">
        <f t="shared" si="9"/>
        <v>0</v>
      </c>
      <c r="K131" s="78">
        <f t="shared" si="10"/>
        <v>975</v>
      </c>
      <c r="L131" s="69"/>
      <c r="M131" s="69"/>
      <c r="N131" s="69" t="s">
        <v>679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819</v>
      </c>
      <c r="B132" s="66" t="s">
        <v>820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8"/>
        <v>1</v>
      </c>
      <c r="I132" s="80">
        <f>IF(D132&lt;&gt;"",D132,IFERROR(E132/(IFERROR(SUM(Sales!C:C),0))*(IFERROR(SUM(Purchases!C:C),0)),0))</f>
        <v>450</v>
      </c>
      <c r="J132" s="80">
        <f t="shared" si="9"/>
        <v>450</v>
      </c>
      <c r="K132" s="80">
        <f t="shared" si="10"/>
        <v>0</v>
      </c>
      <c r="L132" s="66" t="s">
        <v>821</v>
      </c>
      <c r="M132" s="66"/>
      <c r="N132" s="66" t="s">
        <v>504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822</v>
      </c>
      <c r="B133" s="69" t="s">
        <v>823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8"/>
        <v>1</v>
      </c>
      <c r="I133" s="78">
        <f>IF(D133&lt;&gt;"",D133,IFERROR(E133/(IFERROR(SUM(Sales!C:C),0))*(IFERROR(SUM(Purchases!C:C),0)),0))</f>
        <v>500</v>
      </c>
      <c r="J133" s="78">
        <f t="shared" si="9"/>
        <v>0</v>
      </c>
      <c r="K133" s="78">
        <f t="shared" si="10"/>
        <v>500</v>
      </c>
      <c r="L133" s="69"/>
      <c r="M133" s="69"/>
      <c r="N133" s="69" t="s">
        <v>679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824</v>
      </c>
      <c r="B134" s="66" t="s">
        <v>825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8"/>
        <v>1</v>
      </c>
      <c r="I134" s="80">
        <f>IF(D134&lt;&gt;"",D134,IFERROR(E134/(IFERROR(SUM(Sales!C:C),0))*(IFERROR(SUM(Purchases!C:C),0)),0))</f>
        <v>500</v>
      </c>
      <c r="J134" s="80">
        <f t="shared" si="9"/>
        <v>0</v>
      </c>
      <c r="K134" s="80">
        <f t="shared" si="10"/>
        <v>500</v>
      </c>
      <c r="L134" s="66"/>
      <c r="M134" s="66"/>
      <c r="N134" s="66" t="s">
        <v>679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826</v>
      </c>
      <c r="B135" s="69" t="s">
        <v>827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8"/>
        <v>1</v>
      </c>
      <c r="I135" s="78">
        <f>IF(D135&lt;&gt;"",D135,IFERROR(E135/(IFERROR(SUM(Sales!C:C),0))*(IFERROR(SUM(Purchases!C:C),0)),0))</f>
        <v>450</v>
      </c>
      <c r="J135" s="78">
        <f t="shared" si="9"/>
        <v>450</v>
      </c>
      <c r="K135" s="78">
        <f t="shared" si="10"/>
        <v>0</v>
      </c>
      <c r="L135" s="69" t="s">
        <v>828</v>
      </c>
      <c r="M135" s="69"/>
      <c r="N135" s="69" t="s">
        <v>504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829</v>
      </c>
      <c r="B136" s="66" t="s">
        <v>830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8"/>
        <v>3</v>
      </c>
      <c r="I136" s="80">
        <f>IF(D136&lt;&gt;"",D136,IFERROR(E136/(IFERROR(SUM(Sales!C:C),0))*(IFERROR(SUM(Purchases!C:C),0)),0))</f>
        <v>908</v>
      </c>
      <c r="J136" s="80">
        <f t="shared" si="9"/>
        <v>2724</v>
      </c>
      <c r="K136" s="80">
        <f t="shared" si="10"/>
        <v>0</v>
      </c>
      <c r="L136" s="66" t="s">
        <v>831</v>
      </c>
      <c r="M136" s="66"/>
      <c r="N136" s="66" t="s">
        <v>504</v>
      </c>
      <c r="O136" s="66"/>
      <c r="P136" s="66" t="s">
        <v>832</v>
      </c>
      <c r="Q136" s="66"/>
      <c r="R136" s="66"/>
      <c r="S136" s="66"/>
      <c r="T136" s="66"/>
    </row>
    <row r="137" spans="1:20" ht="15" customHeight="1">
      <c r="A137" s="78" t="s">
        <v>833</v>
      </c>
      <c r="B137" s="69" t="s">
        <v>834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8"/>
        <v>1</v>
      </c>
      <c r="I137" s="78">
        <f>IF(D137&lt;&gt;"",D137,IFERROR(E137/(IFERROR(SUM(Sales!C:C),0))*(IFERROR(SUM(Purchases!C:C),0)),0))</f>
        <v>891</v>
      </c>
      <c r="J137" s="78">
        <f t="shared" si="9"/>
        <v>891</v>
      </c>
      <c r="K137" s="78">
        <f t="shared" si="10"/>
        <v>0</v>
      </c>
      <c r="L137" s="69" t="s">
        <v>170</v>
      </c>
      <c r="M137" s="69"/>
      <c r="N137" s="69" t="s">
        <v>504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835</v>
      </c>
      <c r="B138" s="66" t="s">
        <v>836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8"/>
        <v>1</v>
      </c>
      <c r="I138" s="80">
        <f>IF(D138&lt;&gt;"",D138,IFERROR(E138/(IFERROR(SUM(Sales!C:C),0))*(IFERROR(SUM(Purchases!C:C),0)),0))</f>
        <v>814</v>
      </c>
      <c r="J138" s="80">
        <f t="shared" si="9"/>
        <v>814</v>
      </c>
      <c r="K138" s="80">
        <f t="shared" si="10"/>
        <v>0</v>
      </c>
      <c r="L138" s="66" t="s">
        <v>837</v>
      </c>
      <c r="M138" s="66"/>
      <c r="N138" s="66" t="s">
        <v>504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838</v>
      </c>
      <c r="B139" s="69" t="s">
        <v>839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8"/>
        <v>1</v>
      </c>
      <c r="I139" s="78">
        <f>IF(D139&lt;&gt;"",D139,IFERROR(E139/(IFERROR(SUM(Sales!C:C),0))*(IFERROR(SUM(Purchases!C:C),0)),0))</f>
        <v>754</v>
      </c>
      <c r="J139" s="78">
        <f t="shared" si="9"/>
        <v>754</v>
      </c>
      <c r="K139" s="78">
        <f t="shared" si="10"/>
        <v>0</v>
      </c>
      <c r="L139" s="69" t="s">
        <v>293</v>
      </c>
      <c r="M139" s="69"/>
      <c r="N139" s="69" t="s">
        <v>504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840</v>
      </c>
      <c r="B140" s="66" t="s">
        <v>841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8"/>
        <v>2</v>
      </c>
      <c r="I140" s="80">
        <f>IF(D140&lt;&gt;"",D140,IFERROR(E140/(IFERROR(SUM(Sales!C:C),0))*(IFERROR(SUM(Purchases!C:C),0)),0))</f>
        <v>699</v>
      </c>
      <c r="J140" s="80">
        <f t="shared" si="9"/>
        <v>699</v>
      </c>
      <c r="K140" s="80">
        <f t="shared" si="10"/>
        <v>699</v>
      </c>
      <c r="L140" s="66" t="s">
        <v>842</v>
      </c>
      <c r="M140" s="66"/>
      <c r="N140" s="66" t="s">
        <v>589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843</v>
      </c>
      <c r="B141" s="69" t="s">
        <v>844</v>
      </c>
      <c r="C141" s="69" t="s">
        <v>95</v>
      </c>
      <c r="D141" s="70">
        <v>838</v>
      </c>
      <c r="E141" s="70">
        <v>1100</v>
      </c>
      <c r="F141" s="79">
        <v>1</v>
      </c>
      <c r="G141" s="79">
        <v>0</v>
      </c>
      <c r="H141" s="78">
        <f t="shared" si="8"/>
        <v>1</v>
      </c>
      <c r="I141" s="78">
        <f>IF(D141&lt;&gt;"",D141,IFERROR(E141/(IFERROR(SUM(Sales!C:C),0))*(IFERROR(SUM(Purchases!C:C),0)),0))</f>
        <v>838</v>
      </c>
      <c r="J141" s="78">
        <f t="shared" si="9"/>
        <v>838</v>
      </c>
      <c r="K141" s="78">
        <f t="shared" si="10"/>
        <v>0</v>
      </c>
      <c r="L141" s="69" t="s">
        <v>845</v>
      </c>
      <c r="M141" s="69"/>
      <c r="N141" s="69" t="s">
        <v>504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846</v>
      </c>
      <c r="B142" s="66" t="s">
        <v>847</v>
      </c>
      <c r="C142" s="66" t="s">
        <v>95</v>
      </c>
      <c r="D142" s="67">
        <v>600</v>
      </c>
      <c r="E142" s="67">
        <v>1200</v>
      </c>
      <c r="F142" s="81">
        <v>4</v>
      </c>
      <c r="G142" s="81">
        <v>0</v>
      </c>
      <c r="H142" s="80">
        <f t="shared" si="8"/>
        <v>4</v>
      </c>
      <c r="I142" s="80">
        <f>IF(D142&lt;&gt;"",D142,IFERROR(E142/(IFERROR(SUM(Sales!C:C),0))*(IFERROR(SUM(Purchases!C:C),0)),0))</f>
        <v>600</v>
      </c>
      <c r="J142" s="80">
        <f t="shared" si="9"/>
        <v>2400</v>
      </c>
      <c r="K142" s="80">
        <f t="shared" si="10"/>
        <v>0</v>
      </c>
      <c r="L142" s="66" t="s">
        <v>848</v>
      </c>
      <c r="M142" s="66"/>
      <c r="N142" s="66" t="s">
        <v>504</v>
      </c>
      <c r="O142" s="66"/>
      <c r="P142" s="66"/>
      <c r="Q142" s="66"/>
      <c r="R142" s="66"/>
      <c r="S142" s="66"/>
      <c r="T142" s="66"/>
    </row>
    <row r="143" spans="1:20" ht="15" customHeight="1">
      <c r="A143" s="69" t="s">
        <v>849</v>
      </c>
      <c r="B143" s="69" t="s">
        <v>850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8"/>
        <v>1</v>
      </c>
      <c r="I143" s="78">
        <f>IF(D143&lt;&gt;"",D143,IFERROR(E143/(IFERROR(SUM(Sales!C:C),0))*(IFERROR(SUM(Purchases!C:C),0)),0))</f>
        <v>550</v>
      </c>
      <c r="J143" s="78">
        <f t="shared" si="9"/>
        <v>0</v>
      </c>
      <c r="K143" s="78">
        <f t="shared" si="10"/>
        <v>550</v>
      </c>
      <c r="L143" s="69"/>
      <c r="M143" s="69"/>
      <c r="N143" s="69" t="s">
        <v>679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851</v>
      </c>
      <c r="B144" s="66" t="s">
        <v>852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8"/>
        <v>1</v>
      </c>
      <c r="I144" s="80">
        <f>IF(D144&lt;&gt;"",D144,IFERROR(E144/(IFERROR(SUM(Sales!C:C),0))*(IFERROR(SUM(Purchases!C:C),0)),0))</f>
        <v>550</v>
      </c>
      <c r="J144" s="80">
        <f t="shared" si="9"/>
        <v>0</v>
      </c>
      <c r="K144" s="80">
        <f t="shared" si="10"/>
        <v>550</v>
      </c>
      <c r="L144" s="66"/>
      <c r="M144" s="66"/>
      <c r="N144" s="66" t="s">
        <v>679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853</v>
      </c>
      <c r="B145" s="69" t="s">
        <v>302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8"/>
        <v>1</v>
      </c>
      <c r="I145" s="78">
        <f>IF(D145&lt;&gt;"",D145,IFERROR(E145/(IFERROR(SUM(Sales!C:C),0))*(IFERROR(SUM(Purchases!C:C),0)),0))</f>
        <v>1100</v>
      </c>
      <c r="J145" s="78">
        <f t="shared" si="9"/>
        <v>1100</v>
      </c>
      <c r="K145" s="78">
        <f t="shared" si="10"/>
        <v>0</v>
      </c>
      <c r="L145" s="69" t="s">
        <v>300</v>
      </c>
      <c r="M145" s="69"/>
      <c r="N145" s="69" t="s">
        <v>504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854</v>
      </c>
      <c r="B146" s="66" t="s">
        <v>855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8"/>
        <v>3</v>
      </c>
      <c r="I146" s="80">
        <f>IF(D146&lt;&gt;"",D146,IFERROR(E146/(IFERROR(SUM(Sales!C:C),0))*(IFERROR(SUM(Purchases!C:C),0)),0))</f>
        <v>761</v>
      </c>
      <c r="J146" s="80">
        <f t="shared" si="9"/>
        <v>1522</v>
      </c>
      <c r="K146" s="80">
        <f t="shared" si="10"/>
        <v>761</v>
      </c>
      <c r="L146" s="66" t="s">
        <v>856</v>
      </c>
      <c r="M146" s="66"/>
      <c r="N146" s="66" t="s">
        <v>589</v>
      </c>
      <c r="O146" s="66"/>
      <c r="P146" s="66" t="s">
        <v>857</v>
      </c>
      <c r="Q146" s="66"/>
      <c r="R146" s="66"/>
      <c r="S146" s="66"/>
      <c r="T146" s="66"/>
    </row>
    <row r="147" spans="1:20" ht="63.75" customHeight="1">
      <c r="A147" s="69" t="s">
        <v>858</v>
      </c>
      <c r="B147" s="69" t="s">
        <v>859</v>
      </c>
      <c r="C147" s="69" t="s">
        <v>95</v>
      </c>
      <c r="D147" s="70">
        <v>719</v>
      </c>
      <c r="E147" s="70">
        <v>1200</v>
      </c>
      <c r="F147" s="79">
        <v>8</v>
      </c>
      <c r="G147" s="79">
        <v>2</v>
      </c>
      <c r="H147" s="78">
        <f t="shared" si="8"/>
        <v>10</v>
      </c>
      <c r="I147" s="78">
        <f>IF(D147&lt;&gt;"",D147,IFERROR(E147/(IFERROR(SUM(Sales!C:C),0))*(IFERROR(SUM(Purchases!C:C),0)),0))</f>
        <v>719</v>
      </c>
      <c r="J147" s="78">
        <f t="shared" si="9"/>
        <v>5752</v>
      </c>
      <c r="K147" s="78">
        <f t="shared" si="10"/>
        <v>1438</v>
      </c>
      <c r="L147" s="69" t="s">
        <v>1097</v>
      </c>
      <c r="M147" s="69"/>
      <c r="N147" s="69" t="s">
        <v>589</v>
      </c>
      <c r="O147" s="69"/>
      <c r="P147" s="69" t="s">
        <v>1098</v>
      </c>
      <c r="Q147" s="69"/>
      <c r="R147" s="69"/>
      <c r="S147" s="69"/>
      <c r="T147" s="69"/>
    </row>
    <row r="148" spans="1:20" ht="15" customHeight="1">
      <c r="A148" s="66" t="s">
        <v>860</v>
      </c>
      <c r="B148" s="66" t="s">
        <v>861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8"/>
        <v>3</v>
      </c>
      <c r="I148" s="80">
        <f>IF(D148&lt;&gt;"",D148,IFERROR(E148/(IFERROR(SUM(Sales!C:C),0))*(IFERROR(SUM(Purchases!C:C),0)),0))</f>
        <v>502</v>
      </c>
      <c r="J148" s="80">
        <f t="shared" si="9"/>
        <v>1004</v>
      </c>
      <c r="K148" s="80">
        <f t="shared" si="10"/>
        <v>502</v>
      </c>
      <c r="L148" s="66" t="s">
        <v>862</v>
      </c>
      <c r="M148" s="66"/>
      <c r="N148" s="66" t="s">
        <v>589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863</v>
      </c>
      <c r="B149" s="69" t="s">
        <v>864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8"/>
        <v>3</v>
      </c>
      <c r="I149" s="78">
        <f>IF(D149&lt;&gt;"",D149,IFERROR(E149/(IFERROR(SUM(Sales!C:C),0))*(IFERROR(SUM(Purchases!C:C),0)),0))</f>
        <v>1024</v>
      </c>
      <c r="J149" s="78">
        <f t="shared" si="9"/>
        <v>2048</v>
      </c>
      <c r="K149" s="78">
        <f t="shared" si="10"/>
        <v>1024</v>
      </c>
      <c r="L149" s="69" t="s">
        <v>865</v>
      </c>
      <c r="M149" s="69"/>
      <c r="N149" s="69" t="s">
        <v>589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866</v>
      </c>
      <c r="B150" s="66" t="s">
        <v>867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8"/>
        <v>3</v>
      </c>
      <c r="I150" s="80">
        <f>IF(D150&lt;&gt;"",D150,IFERROR(E150/(IFERROR(SUM(Sales!C:C),0))*(IFERROR(SUM(Purchases!C:C),0)),0))</f>
        <v>688</v>
      </c>
      <c r="J150" s="80">
        <f t="shared" si="9"/>
        <v>0</v>
      </c>
      <c r="K150" s="80">
        <f t="shared" si="10"/>
        <v>2064</v>
      </c>
      <c r="L150" s="66"/>
      <c r="M150" s="66"/>
      <c r="N150" s="66" t="s">
        <v>679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868</v>
      </c>
      <c r="B151" s="69" t="s">
        <v>869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8"/>
        <v>4</v>
      </c>
      <c r="I151" s="80">
        <f>IF(D151&lt;&gt;"",D151,IFERROR(E151/(IFERROR(SUM(Sales!C:C),0))*(IFERROR(SUM(Purchases!C:C),0)),0))</f>
        <v>645</v>
      </c>
      <c r="J151" s="80">
        <f t="shared" si="9"/>
        <v>1935</v>
      </c>
      <c r="K151" s="80">
        <f t="shared" si="10"/>
        <v>645</v>
      </c>
      <c r="L151" s="69" t="s">
        <v>870</v>
      </c>
      <c r="M151" s="69"/>
      <c r="N151" s="69" t="s">
        <v>589</v>
      </c>
      <c r="O151" s="69" t="s">
        <v>216</v>
      </c>
      <c r="P151" s="69" t="s">
        <v>871</v>
      </c>
      <c r="Q151" s="69"/>
      <c r="R151" s="69"/>
      <c r="S151" s="69"/>
      <c r="T151" s="69"/>
    </row>
    <row r="152" spans="1:20" ht="15" customHeight="1">
      <c r="A152" s="66" t="s">
        <v>872</v>
      </c>
      <c r="B152" s="66" t="s">
        <v>873</v>
      </c>
      <c r="C152" s="66" t="s">
        <v>97</v>
      </c>
      <c r="D152" s="67">
        <v>295</v>
      </c>
      <c r="E152" s="67">
        <v>580</v>
      </c>
      <c r="F152" s="81">
        <v>2</v>
      </c>
      <c r="G152" s="81">
        <v>2</v>
      </c>
      <c r="H152" s="80">
        <f t="shared" si="8"/>
        <v>4</v>
      </c>
      <c r="I152" s="80">
        <f>IF(D152&lt;&gt;"",D152,IFERROR(E152/(IFERROR(SUM(Sales!C:C),0))*(IFERROR(SUM(Purchases!C:C),0)),0))</f>
        <v>295</v>
      </c>
      <c r="J152" s="80">
        <f t="shared" si="9"/>
        <v>590</v>
      </c>
      <c r="K152" s="80">
        <f t="shared" si="10"/>
        <v>590</v>
      </c>
      <c r="L152" s="66" t="s">
        <v>874</v>
      </c>
      <c r="M152" s="66"/>
      <c r="N152" s="66" t="s">
        <v>589</v>
      </c>
      <c r="O152" s="66" t="s">
        <v>875</v>
      </c>
      <c r="P152" s="66" t="s">
        <v>876</v>
      </c>
      <c r="Q152" s="66"/>
      <c r="R152" s="66"/>
      <c r="S152" s="66"/>
      <c r="T152" s="66"/>
    </row>
    <row r="153" spans="1:20" ht="15" customHeight="1">
      <c r="A153" s="69" t="s">
        <v>877</v>
      </c>
      <c r="B153" s="69" t="s">
        <v>878</v>
      </c>
      <c r="C153" s="69" t="s">
        <v>95</v>
      </c>
      <c r="D153" s="70">
        <v>891.5</v>
      </c>
      <c r="E153" s="70">
        <v>1380</v>
      </c>
      <c r="F153" s="79">
        <v>2</v>
      </c>
      <c r="G153" s="79">
        <v>0</v>
      </c>
      <c r="H153" s="78">
        <f t="shared" si="8"/>
        <v>2</v>
      </c>
      <c r="I153" s="78">
        <f>IF(D153&lt;&gt;"",D153,IFERROR(E153/(IFERROR(SUM(Sales!C:C),0))*(IFERROR(SUM(Purchases!C:C),0)),0))</f>
        <v>891.5</v>
      </c>
      <c r="J153" s="78">
        <f t="shared" si="9"/>
        <v>1783</v>
      </c>
      <c r="K153" s="78">
        <f t="shared" si="10"/>
        <v>0</v>
      </c>
      <c r="L153" s="69" t="s">
        <v>879</v>
      </c>
      <c r="M153" s="69"/>
      <c r="N153" s="69" t="s">
        <v>504</v>
      </c>
      <c r="O153" s="69"/>
      <c r="P153" s="69" t="s">
        <v>880</v>
      </c>
      <c r="Q153" s="69"/>
      <c r="R153" s="69"/>
      <c r="S153" s="69"/>
      <c r="T153" s="69"/>
    </row>
    <row r="154" spans="1:20" ht="15" customHeight="1">
      <c r="A154" s="66" t="s">
        <v>881</v>
      </c>
      <c r="B154" s="66" t="s">
        <v>882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8"/>
        <v>3</v>
      </c>
      <c r="I154" s="80">
        <f>IF(D154&lt;&gt;"",D154,IFERROR(E154/(IFERROR(SUM(Sales!C:C),0))*(IFERROR(SUM(Purchases!C:C),0)),0))</f>
        <v>949</v>
      </c>
      <c r="J154" s="80">
        <f t="shared" si="9"/>
        <v>949</v>
      </c>
      <c r="K154" s="80">
        <f t="shared" si="10"/>
        <v>1898</v>
      </c>
      <c r="L154" s="66" t="s">
        <v>883</v>
      </c>
      <c r="M154" s="66"/>
      <c r="N154" s="66" t="s">
        <v>589</v>
      </c>
      <c r="O154" s="66" t="s">
        <v>884</v>
      </c>
      <c r="P154" s="66"/>
      <c r="Q154" s="66"/>
      <c r="R154" s="66"/>
      <c r="S154" s="66"/>
      <c r="T154" s="66"/>
    </row>
    <row r="155" spans="1:20" ht="15" customHeight="1">
      <c r="A155" s="69" t="s">
        <v>885</v>
      </c>
      <c r="B155" s="69" t="s">
        <v>886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8"/>
        <v>3</v>
      </c>
      <c r="I155" s="78">
        <f>IF(D155&lt;&gt;"",D155,IFERROR(E155/(IFERROR(SUM(Sales!C:C),0))*(IFERROR(SUM(Purchases!C:C),0)),0))</f>
        <v>949</v>
      </c>
      <c r="J155" s="78">
        <f t="shared" si="9"/>
        <v>0</v>
      </c>
      <c r="K155" s="78">
        <f t="shared" si="10"/>
        <v>2847</v>
      </c>
      <c r="L155" s="69"/>
      <c r="M155" s="69"/>
      <c r="N155" s="69" t="s">
        <v>679</v>
      </c>
      <c r="O155" s="69" t="s">
        <v>887</v>
      </c>
      <c r="P155" s="69"/>
      <c r="Q155" s="69"/>
      <c r="R155" s="69"/>
      <c r="S155" s="69"/>
      <c r="T155" s="69"/>
    </row>
    <row r="156" spans="1:20" ht="15" customHeight="1">
      <c r="A156" s="66" t="s">
        <v>888</v>
      </c>
      <c r="B156" s="66" t="s">
        <v>889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8"/>
        <v>4</v>
      </c>
      <c r="I156" s="80">
        <f>IF(D156&lt;&gt;"",D156,IFERROR(E156/(IFERROR(SUM(Sales!C:C),0))*(IFERROR(SUM(Purchases!C:C),0)),0))</f>
        <v>950</v>
      </c>
      <c r="J156" s="80">
        <f t="shared" si="9"/>
        <v>950</v>
      </c>
      <c r="K156" s="80">
        <f t="shared" si="10"/>
        <v>2850</v>
      </c>
      <c r="L156" s="66" t="s">
        <v>890</v>
      </c>
      <c r="M156" s="66"/>
      <c r="N156" s="66" t="s">
        <v>589</v>
      </c>
      <c r="O156" s="66" t="s">
        <v>887</v>
      </c>
      <c r="P156" s="66"/>
      <c r="Q156" s="66"/>
      <c r="R156" s="66"/>
      <c r="S156" s="66"/>
      <c r="T156" s="66"/>
    </row>
    <row r="157" spans="1:20" ht="15" customHeight="1">
      <c r="A157" s="69" t="s">
        <v>891</v>
      </c>
      <c r="B157" s="69" t="s">
        <v>892</v>
      </c>
      <c r="C157" s="69" t="s">
        <v>96</v>
      </c>
      <c r="D157" s="70">
        <v>525</v>
      </c>
      <c r="E157" s="70">
        <v>850</v>
      </c>
      <c r="F157" s="79">
        <v>2</v>
      </c>
      <c r="G157" s="79">
        <v>2</v>
      </c>
      <c r="H157" s="78">
        <f t="shared" si="8"/>
        <v>4</v>
      </c>
      <c r="I157" s="78">
        <f>IF(D157&lt;&gt;"",D157,IFERROR(E157/(IFERROR(SUM(Sales!C:C),0))*(IFERROR(SUM(Purchases!C:C),0)),0))</f>
        <v>525</v>
      </c>
      <c r="J157" s="78">
        <f t="shared" si="9"/>
        <v>1050</v>
      </c>
      <c r="K157" s="78">
        <f t="shared" si="10"/>
        <v>1050</v>
      </c>
      <c r="L157" s="69" t="s">
        <v>893</v>
      </c>
      <c r="M157" s="69"/>
      <c r="N157" s="69" t="s">
        <v>589</v>
      </c>
      <c r="O157" s="69" t="s">
        <v>619</v>
      </c>
      <c r="P157" s="69"/>
      <c r="Q157" s="69"/>
      <c r="R157" s="69"/>
      <c r="S157" s="69"/>
      <c r="T157" s="69"/>
    </row>
    <row r="158" spans="1:20" ht="15" customHeight="1">
      <c r="A158" s="66" t="s">
        <v>894</v>
      </c>
      <c r="B158" s="66" t="s">
        <v>895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8"/>
        <v>5</v>
      </c>
      <c r="I158" s="80">
        <f>IF(D158&lt;&gt;"",D158,IFERROR(E158/(IFERROR(SUM(Sales!C:C),0))*(IFERROR(SUM(Purchases!C:C),0)),0))</f>
        <v>839</v>
      </c>
      <c r="J158" s="80">
        <f t="shared" si="9"/>
        <v>839</v>
      </c>
      <c r="K158" s="80">
        <f t="shared" si="10"/>
        <v>3356</v>
      </c>
      <c r="L158" s="66" t="s">
        <v>896</v>
      </c>
      <c r="M158" s="66"/>
      <c r="N158" s="66" t="s">
        <v>679</v>
      </c>
      <c r="O158" s="66" t="s">
        <v>897</v>
      </c>
      <c r="P158" s="66"/>
      <c r="Q158" s="66"/>
      <c r="R158" s="66"/>
      <c r="S158" s="66"/>
      <c r="T158" s="66"/>
    </row>
    <row r="159" spans="1:20" ht="15" customHeight="1">
      <c r="A159" s="69" t="s">
        <v>898</v>
      </c>
      <c r="B159" s="69" t="s">
        <v>899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8"/>
        <v>5</v>
      </c>
      <c r="I159" s="78">
        <f>IF(D159&lt;&gt;"",D159,IFERROR(E159/(IFERROR(SUM(Sales!C:C),0))*(IFERROR(SUM(Purchases!C:C),0)),0))</f>
        <v>839</v>
      </c>
      <c r="J159" s="78">
        <f t="shared" si="9"/>
        <v>1678</v>
      </c>
      <c r="K159" s="78">
        <f t="shared" si="10"/>
        <v>2517</v>
      </c>
      <c r="L159" s="69" t="s">
        <v>900</v>
      </c>
      <c r="M159" s="69"/>
      <c r="N159" s="69" t="s">
        <v>589</v>
      </c>
      <c r="O159" s="69" t="s">
        <v>901</v>
      </c>
      <c r="P159" s="69"/>
      <c r="Q159" s="69"/>
      <c r="R159" s="69"/>
      <c r="S159" s="69"/>
      <c r="T159" s="69"/>
    </row>
    <row r="160" spans="1:20" ht="15" customHeight="1">
      <c r="A160" s="66" t="s">
        <v>902</v>
      </c>
      <c r="B160" s="66" t="s">
        <v>903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8"/>
        <v>1</v>
      </c>
      <c r="I160" s="80">
        <f>IF(D160&lt;&gt;"",D160,IFERROR(E160/(IFERROR(SUM(Sales!C:C),0))*(IFERROR(SUM(Purchases!C:C),0)),0))</f>
        <v>336</v>
      </c>
      <c r="J160" s="80">
        <f t="shared" si="9"/>
        <v>336</v>
      </c>
      <c r="K160" s="80">
        <f t="shared" si="10"/>
        <v>0</v>
      </c>
      <c r="L160" s="66" t="s">
        <v>329</v>
      </c>
      <c r="M160" s="66"/>
      <c r="N160" s="66" t="s">
        <v>504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904</v>
      </c>
      <c r="B161" s="69" t="s">
        <v>905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8"/>
        <v>1</v>
      </c>
      <c r="I161" s="78">
        <f>IF(D161&lt;&gt;"",D161,IFERROR(E161/(IFERROR(SUM(Sales!C:C),0))*(IFERROR(SUM(Purchases!C:C),0)),0))</f>
        <v>353</v>
      </c>
      <c r="J161" s="78">
        <f t="shared" si="9"/>
        <v>353</v>
      </c>
      <c r="K161" s="78">
        <f t="shared" si="10"/>
        <v>0</v>
      </c>
      <c r="L161" s="69" t="s">
        <v>329</v>
      </c>
      <c r="M161" s="69"/>
      <c r="N161" s="69" t="s">
        <v>504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906</v>
      </c>
      <c r="B162" s="66" t="s">
        <v>907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2" si="11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si="9"/>
        <v>0</v>
      </c>
      <c r="K162" s="80">
        <f t="shared" si="10"/>
        <v>533</v>
      </c>
      <c r="L162" s="66" t="s">
        <v>161</v>
      </c>
      <c r="M162" s="66"/>
      <c r="N162" s="66" t="s">
        <v>504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908</v>
      </c>
      <c r="B163" s="69" t="s">
        <v>909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1"/>
        <v>1</v>
      </c>
      <c r="I163" s="78">
        <f>IF(D163&lt;&gt;"",D163,IFERROR(E163/(IFERROR(SUM(Sales!C:C),0))*(IFERROR(SUM(Purchases!C:C),0)),0))</f>
        <v>441</v>
      </c>
      <c r="J163" s="78">
        <f t="shared" si="9"/>
        <v>0</v>
      </c>
      <c r="K163" s="78">
        <f t="shared" si="10"/>
        <v>441</v>
      </c>
      <c r="L163" s="69"/>
      <c r="M163" s="69"/>
      <c r="N163" s="69" t="s">
        <v>679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910</v>
      </c>
      <c r="B164" s="66" t="s">
        <v>911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1"/>
        <v>5</v>
      </c>
      <c r="I164" s="80">
        <f>IF(D164&lt;&gt;"",D164,IFERROR(E164/(IFERROR(SUM(Sales!C:C),0))*(IFERROR(SUM(Purchases!C:C),0)),0))</f>
        <v>1013</v>
      </c>
      <c r="J164" s="80">
        <f t="shared" si="9"/>
        <v>4052</v>
      </c>
      <c r="K164" s="80">
        <f t="shared" si="10"/>
        <v>1013</v>
      </c>
      <c r="L164" s="66" t="s">
        <v>912</v>
      </c>
      <c r="M164" s="66"/>
      <c r="N164" s="66" t="s">
        <v>589</v>
      </c>
      <c r="O164" s="66"/>
      <c r="P164" s="66" t="s">
        <v>913</v>
      </c>
      <c r="Q164" s="66"/>
      <c r="R164" s="66"/>
      <c r="S164" s="66"/>
      <c r="T164" s="66"/>
    </row>
    <row r="165" spans="1:20" ht="15" customHeight="1">
      <c r="A165" s="69" t="s">
        <v>914</v>
      </c>
      <c r="B165" s="69" t="s">
        <v>915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1"/>
        <v>1</v>
      </c>
      <c r="I165" s="78">
        <f>IF(D165&lt;&gt;"",D165,IFERROR(E165/(IFERROR(SUM(Sales!C:C),0))*(IFERROR(SUM(Purchases!C:C),0)),0))</f>
        <v>786.46</v>
      </c>
      <c r="J165" s="78">
        <f t="shared" si="9"/>
        <v>786.46</v>
      </c>
      <c r="K165" s="78">
        <f t="shared" si="10"/>
        <v>0</v>
      </c>
      <c r="L165" s="69" t="s">
        <v>153</v>
      </c>
      <c r="M165" s="69"/>
      <c r="N165" s="69" t="s">
        <v>504</v>
      </c>
      <c r="O165" s="69"/>
      <c r="P165" s="69" t="s">
        <v>916</v>
      </c>
      <c r="Q165" s="69"/>
      <c r="R165" s="69"/>
      <c r="S165" s="69"/>
      <c r="T165" s="69"/>
    </row>
    <row r="166" spans="1:20" ht="15" customHeight="1">
      <c r="A166" s="66" t="s">
        <v>917</v>
      </c>
      <c r="B166" s="66" t="s">
        <v>918</v>
      </c>
      <c r="C166" s="66" t="s">
        <v>95</v>
      </c>
      <c r="D166" s="67">
        <v>606</v>
      </c>
      <c r="E166" s="67">
        <v>950</v>
      </c>
      <c r="F166" s="81">
        <v>1</v>
      </c>
      <c r="G166" s="81">
        <v>2</v>
      </c>
      <c r="H166" s="80">
        <f t="shared" si="11"/>
        <v>3</v>
      </c>
      <c r="I166" s="80">
        <f>IF(D166&lt;&gt;"",D166,IFERROR(E166/(IFERROR(SUM(Sales!C:C),0))*(IFERROR(SUM(Purchases!C:C),0)),0))</f>
        <v>606</v>
      </c>
      <c r="J166" s="80">
        <f t="shared" si="9"/>
        <v>606</v>
      </c>
      <c r="K166" s="80">
        <f t="shared" si="10"/>
        <v>1212</v>
      </c>
      <c r="L166" s="66" t="s">
        <v>1126</v>
      </c>
      <c r="M166" s="66"/>
      <c r="N166" s="66" t="s">
        <v>504</v>
      </c>
      <c r="O166" s="66"/>
      <c r="P166" s="66" t="s">
        <v>1127</v>
      </c>
      <c r="Q166" s="66"/>
      <c r="R166" s="66"/>
      <c r="S166" s="66"/>
      <c r="T166" s="66"/>
    </row>
    <row r="167" spans="1:20" ht="15" customHeight="1">
      <c r="A167" s="69" t="s">
        <v>919</v>
      </c>
      <c r="B167" s="69" t="s">
        <v>920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1"/>
        <v>6</v>
      </c>
      <c r="I167" s="78">
        <f>IF(D167&lt;&gt;"",D167,IFERROR(E167/(IFERROR(SUM(Sales!C:C),0))*(IFERROR(SUM(Purchases!C:C),0)),0))</f>
        <v>740</v>
      </c>
      <c r="J167" s="78">
        <f t="shared" si="9"/>
        <v>2220</v>
      </c>
      <c r="K167" s="78">
        <f t="shared" si="10"/>
        <v>2220</v>
      </c>
      <c r="L167" s="69" t="s">
        <v>921</v>
      </c>
      <c r="M167" s="69"/>
      <c r="N167" s="69" t="s">
        <v>589</v>
      </c>
      <c r="O167" s="69"/>
      <c r="P167" s="69" t="s">
        <v>922</v>
      </c>
      <c r="Q167" s="69"/>
      <c r="R167" s="69"/>
      <c r="S167" s="69"/>
      <c r="T167" s="69"/>
    </row>
    <row r="168" spans="1:20" ht="15" customHeight="1">
      <c r="A168" s="66" t="s">
        <v>923</v>
      </c>
      <c r="B168" s="66" t="s">
        <v>924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1"/>
        <v>3</v>
      </c>
      <c r="I168" s="80">
        <f>IF(D168&lt;&gt;"",D168,IFERROR(E168/(IFERROR(SUM(Sales!C:C),0))*(IFERROR(SUM(Purchases!C:C),0)),0))</f>
        <v>608</v>
      </c>
      <c r="J168" s="80">
        <f t="shared" si="9"/>
        <v>608</v>
      </c>
      <c r="K168" s="80">
        <f t="shared" si="10"/>
        <v>1216</v>
      </c>
      <c r="L168" s="66" t="s">
        <v>925</v>
      </c>
      <c r="M168" s="66"/>
      <c r="N168" s="66" t="s">
        <v>589</v>
      </c>
      <c r="O168" s="66"/>
      <c r="P168" s="66" t="s">
        <v>926</v>
      </c>
      <c r="Q168" s="66"/>
      <c r="R168" s="66"/>
      <c r="S168" s="66"/>
      <c r="T168" s="66"/>
    </row>
    <row r="169" spans="1:20" ht="15" customHeight="1">
      <c r="A169" s="69" t="s">
        <v>927</v>
      </c>
      <c r="B169" s="69" t="s">
        <v>928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1"/>
        <v>1</v>
      </c>
      <c r="I169" s="78">
        <f>IF(D169&lt;&gt;"",D169,IFERROR(E169/(IFERROR(SUM(Sales!C:C),0))*(IFERROR(SUM(Purchases!C:C),0)),0))</f>
        <v>383.26</v>
      </c>
      <c r="J169" s="78">
        <f t="shared" si="9"/>
        <v>0</v>
      </c>
      <c r="K169" s="78">
        <f t="shared" si="10"/>
        <v>383.26</v>
      </c>
      <c r="L169" s="69"/>
      <c r="M169" s="69"/>
      <c r="N169" s="69" t="s">
        <v>679</v>
      </c>
      <c r="O169" s="69"/>
      <c r="P169" s="69" t="s">
        <v>929</v>
      </c>
      <c r="Q169" s="69"/>
      <c r="R169" s="69"/>
      <c r="S169" s="69"/>
      <c r="T169" s="69"/>
    </row>
    <row r="170" spans="1:20" ht="30" customHeight="1">
      <c r="A170" s="66" t="s">
        <v>930</v>
      </c>
      <c r="B170" s="66" t="s">
        <v>931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1"/>
        <v>3</v>
      </c>
      <c r="I170" s="80">
        <f>IF(D170&lt;&gt;"",D170,IFERROR(E170/(IFERROR(SUM(Sales!C:C),0))*(IFERROR(SUM(Purchases!C:C),0)),0))</f>
        <v>892</v>
      </c>
      <c r="J170" s="80">
        <f t="shared" si="9"/>
        <v>2676</v>
      </c>
      <c r="K170" s="80">
        <f t="shared" si="10"/>
        <v>0</v>
      </c>
      <c r="L170" s="66" t="s">
        <v>932</v>
      </c>
      <c r="M170" s="66"/>
      <c r="N170" s="66" t="s">
        <v>504</v>
      </c>
      <c r="O170" s="66"/>
      <c r="P170" s="66" t="s">
        <v>933</v>
      </c>
      <c r="Q170" s="66"/>
      <c r="R170" s="66"/>
      <c r="S170" s="66"/>
      <c r="T170" s="66"/>
    </row>
    <row r="171" spans="1:20" ht="31.5" customHeight="1">
      <c r="A171" s="69" t="s">
        <v>934</v>
      </c>
      <c r="B171" s="66" t="s">
        <v>935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1"/>
        <v>3</v>
      </c>
      <c r="I171" s="78">
        <f>IF(D171&lt;&gt;"",D171,IFERROR(E171/(IFERROR(SUM(Sales!C:C),0))*(IFERROR(SUM(Purchases!C:C),0)),0))</f>
        <v>892</v>
      </c>
      <c r="J171" s="78">
        <f t="shared" si="9"/>
        <v>2676</v>
      </c>
      <c r="K171" s="78">
        <f t="shared" si="10"/>
        <v>0</v>
      </c>
      <c r="L171" s="69" t="s">
        <v>936</v>
      </c>
      <c r="M171" s="69"/>
      <c r="N171" s="69" t="s">
        <v>504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937</v>
      </c>
      <c r="B172" s="66" t="s">
        <v>938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0</v>
      </c>
      <c r="H172" s="80">
        <f t="shared" si="11"/>
        <v>2</v>
      </c>
      <c r="I172" s="80">
        <f>IF(D172&lt;&gt;"",D172,IFERROR(E172/(IFERROR(SUM(Sales!C:C),0))*(IFERROR(SUM(Purchases!C:C),0)),0))</f>
        <v>1047</v>
      </c>
      <c r="J172" s="80">
        <f t="shared" si="9"/>
        <v>2094</v>
      </c>
      <c r="K172" s="80">
        <f t="shared" si="10"/>
        <v>0</v>
      </c>
      <c r="L172" s="66" t="s">
        <v>939</v>
      </c>
      <c r="M172" s="66"/>
      <c r="N172" s="66" t="s">
        <v>589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940</v>
      </c>
      <c r="B173" s="69" t="s">
        <v>941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1"/>
        <v>2</v>
      </c>
      <c r="I173" s="78">
        <f>IF(D173&lt;&gt;"",D173,IFERROR(E173/(IFERROR(SUM(Sales!C:C),0))*(IFERROR(SUM(Purchases!C:C),0)),0))</f>
        <v>803.26</v>
      </c>
      <c r="J173" s="78">
        <f t="shared" si="9"/>
        <v>803.26</v>
      </c>
      <c r="K173" s="78">
        <f t="shared" si="10"/>
        <v>803.26</v>
      </c>
      <c r="L173" s="69" t="s">
        <v>416</v>
      </c>
      <c r="M173" s="69"/>
      <c r="N173" s="69" t="s">
        <v>589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942</v>
      </c>
      <c r="B174" s="66" t="s">
        <v>943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1"/>
        <v>1</v>
      </c>
      <c r="I174" s="80">
        <f>IF(D174&lt;&gt;"",D174,IFERROR(E174/(IFERROR(SUM(Sales!C:C),0))*(IFERROR(SUM(Purchases!C:C),0)),0))</f>
        <v>791.7</v>
      </c>
      <c r="J174" s="80">
        <f t="shared" si="9"/>
        <v>791.7</v>
      </c>
      <c r="K174" s="80">
        <f t="shared" si="10"/>
        <v>0</v>
      </c>
      <c r="L174" s="66" t="s">
        <v>944</v>
      </c>
      <c r="M174" s="66"/>
      <c r="N174" s="66" t="s">
        <v>504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945</v>
      </c>
      <c r="B175" s="69" t="s">
        <v>946</v>
      </c>
      <c r="C175" s="69" t="s">
        <v>95</v>
      </c>
      <c r="D175" s="70">
        <v>698.25</v>
      </c>
      <c r="E175" s="70">
        <v>1250</v>
      </c>
      <c r="F175" s="79">
        <v>4</v>
      </c>
      <c r="G175" s="79">
        <v>6</v>
      </c>
      <c r="H175" s="78">
        <f t="shared" si="11"/>
        <v>10</v>
      </c>
      <c r="I175" s="78">
        <f>IF(D175&lt;&gt;"",D175,IFERROR(E175/(IFERROR(SUM(Sales!C:C),0))*(IFERROR(SUM(Purchases!C:C),0)),0))</f>
        <v>698.25</v>
      </c>
      <c r="J175" s="78">
        <f t="shared" si="9"/>
        <v>2793</v>
      </c>
      <c r="K175" s="78">
        <f t="shared" si="10"/>
        <v>4189.5</v>
      </c>
      <c r="L175" s="69" t="s">
        <v>947</v>
      </c>
      <c r="M175" s="69"/>
      <c r="N175" s="69" t="s">
        <v>589</v>
      </c>
      <c r="O175" s="69"/>
      <c r="P175" s="69" t="s">
        <v>948</v>
      </c>
      <c r="Q175" s="69"/>
      <c r="R175" s="69"/>
      <c r="S175" s="69"/>
      <c r="T175" s="69"/>
    </row>
    <row r="176" spans="1:20" ht="24" customHeight="1">
      <c r="A176" s="66" t="s">
        <v>949</v>
      </c>
      <c r="B176" s="66" t="s">
        <v>950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1"/>
        <v>3</v>
      </c>
      <c r="I176" s="80">
        <f>IF(D176&lt;&gt;"",D176,IFERROR(E176/(IFERROR(SUM(Sales!C:C),0))*(IFERROR(SUM(Purchases!C:C),0)),0))</f>
        <v>908</v>
      </c>
      <c r="J176" s="80">
        <f t="shared" si="9"/>
        <v>2724</v>
      </c>
      <c r="K176" s="80">
        <f t="shared" si="10"/>
        <v>0</v>
      </c>
      <c r="L176" s="66" t="s">
        <v>951</v>
      </c>
      <c r="M176" s="66"/>
      <c r="N176" s="66" t="s">
        <v>504</v>
      </c>
      <c r="O176" s="66"/>
      <c r="P176" s="66"/>
      <c r="Q176" s="66"/>
      <c r="R176" s="66"/>
      <c r="S176" s="66"/>
      <c r="T176" s="66"/>
    </row>
    <row r="177" spans="1:20" ht="33.75" customHeight="1">
      <c r="A177" s="69" t="s">
        <v>952</v>
      </c>
      <c r="B177" s="69" t="s">
        <v>953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1"/>
        <v>3</v>
      </c>
      <c r="I177" s="78">
        <f>IF(D177&lt;&gt;"",D177,IFERROR(E177/(IFERROR(SUM(Sales!C:C),0))*(IFERROR(SUM(Purchases!C:C),0)),0))</f>
        <v>906</v>
      </c>
      <c r="J177" s="78">
        <f t="shared" si="9"/>
        <v>2718</v>
      </c>
      <c r="K177" s="78">
        <f t="shared" si="10"/>
        <v>0</v>
      </c>
      <c r="L177" s="69" t="s">
        <v>954</v>
      </c>
      <c r="M177" s="69"/>
      <c r="N177" s="69" t="s">
        <v>504</v>
      </c>
      <c r="O177" s="69"/>
      <c r="P177" s="69" t="s">
        <v>955</v>
      </c>
      <c r="Q177" s="69"/>
      <c r="R177" s="69"/>
      <c r="S177" s="69"/>
      <c r="T177" s="69"/>
    </row>
    <row r="178" spans="1:20" ht="15" customHeight="1">
      <c r="A178" s="66" t="s">
        <v>956</v>
      </c>
      <c r="B178" s="66" t="s">
        <v>957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1"/>
        <v>2</v>
      </c>
      <c r="I178" s="80">
        <f>IF(D178&lt;&gt;"",D178,IFERROR(E178/(IFERROR(SUM(Sales!C:C),0))*(IFERROR(SUM(Purchases!C:C),0)),0))</f>
        <v>938</v>
      </c>
      <c r="J178" s="80">
        <f t="shared" si="9"/>
        <v>1876</v>
      </c>
      <c r="K178" s="80">
        <f t="shared" si="10"/>
        <v>0</v>
      </c>
      <c r="L178" s="66" t="s">
        <v>958</v>
      </c>
      <c r="M178" s="66"/>
      <c r="N178" s="66" t="s">
        <v>504</v>
      </c>
      <c r="O178" s="66"/>
      <c r="P178" s="66" t="s">
        <v>959</v>
      </c>
      <c r="Q178" s="66"/>
      <c r="R178" s="66"/>
      <c r="S178" s="66"/>
      <c r="T178" s="66"/>
    </row>
    <row r="179" spans="1:20" ht="30" customHeight="1">
      <c r="A179" s="69" t="s">
        <v>960</v>
      </c>
      <c r="B179" s="69" t="s">
        <v>961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1"/>
        <v>3</v>
      </c>
      <c r="I179" s="78">
        <f>IF(D179&lt;&gt;"",D179,IFERROR(E179/(IFERROR(SUM(Sales!C:C),0))*(IFERROR(SUM(Purchases!C:C),0)),0))</f>
        <v>919</v>
      </c>
      <c r="J179" s="78">
        <f t="shared" si="9"/>
        <v>2757</v>
      </c>
      <c r="K179" s="78">
        <f t="shared" si="10"/>
        <v>0</v>
      </c>
      <c r="L179" s="69" t="s">
        <v>962</v>
      </c>
      <c r="M179" s="69"/>
      <c r="N179" s="69" t="s">
        <v>504</v>
      </c>
      <c r="O179" s="69"/>
      <c r="P179" s="69" t="s">
        <v>963</v>
      </c>
      <c r="Q179" s="69"/>
      <c r="R179" s="69"/>
      <c r="S179" s="69"/>
      <c r="T179" s="69"/>
    </row>
    <row r="180" spans="1:20" ht="33.75" customHeight="1">
      <c r="A180" s="66" t="s">
        <v>964</v>
      </c>
      <c r="B180" s="66" t="s">
        <v>965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1"/>
        <v>3</v>
      </c>
      <c r="I180" s="80">
        <f>IF(D180&lt;&gt;"",D180,IFERROR(E180/(IFERROR(SUM(Sales!C:C),0))*(IFERROR(SUM(Purchases!C:C),0)),0))</f>
        <v>919</v>
      </c>
      <c r="J180" s="80">
        <f t="shared" si="9"/>
        <v>2757</v>
      </c>
      <c r="K180" s="80">
        <f t="shared" si="10"/>
        <v>0</v>
      </c>
      <c r="L180" s="66" t="s">
        <v>966</v>
      </c>
      <c r="M180" s="66"/>
      <c r="N180" s="66" t="s">
        <v>504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967</v>
      </c>
      <c r="B181" s="69" t="s">
        <v>968</v>
      </c>
      <c r="C181" s="69" t="s">
        <v>96</v>
      </c>
      <c r="D181" s="70">
        <v>1019</v>
      </c>
      <c r="E181" s="70">
        <v>1499</v>
      </c>
      <c r="F181" s="79">
        <v>0</v>
      </c>
      <c r="G181" s="79">
        <v>4</v>
      </c>
      <c r="H181" s="78">
        <f t="shared" si="11"/>
        <v>4</v>
      </c>
      <c r="I181" s="78">
        <f>IF(D181&lt;&gt;"",D181,IFERROR(E181/(IFERROR(SUM(Sales!C:C),0))*(IFERROR(SUM(Purchases!C:C),0)),0))</f>
        <v>1019</v>
      </c>
      <c r="J181" s="78">
        <f t="shared" si="9"/>
        <v>0</v>
      </c>
      <c r="K181" s="78">
        <f t="shared" si="10"/>
        <v>4076</v>
      </c>
      <c r="L181" s="69"/>
      <c r="M181" s="69"/>
      <c r="N181" s="69" t="s">
        <v>679</v>
      </c>
      <c r="O181" s="69" t="s">
        <v>969</v>
      </c>
      <c r="P181" s="69" t="s">
        <v>970</v>
      </c>
      <c r="Q181" s="69"/>
      <c r="R181" s="69"/>
      <c r="S181" s="69"/>
      <c r="T181" s="69"/>
    </row>
    <row r="182" spans="1:20" ht="15" customHeight="1">
      <c r="A182" s="66" t="s">
        <v>971</v>
      </c>
      <c r="B182" s="66" t="s">
        <v>972</v>
      </c>
      <c r="C182" s="66" t="s">
        <v>95</v>
      </c>
      <c r="D182" s="67">
        <v>730</v>
      </c>
      <c r="E182" s="67">
        <v>1100</v>
      </c>
      <c r="F182" s="81">
        <v>0</v>
      </c>
      <c r="G182" s="81">
        <v>3</v>
      </c>
      <c r="H182" s="80">
        <f t="shared" si="11"/>
        <v>3</v>
      </c>
      <c r="I182" s="80">
        <f>IF(D182&lt;&gt;"",D182,IFERROR(E182/(IFERROR(SUM(Sales!C:C),0))*(IFERROR(SUM(Purchases!C:C),0)),0))</f>
        <v>730</v>
      </c>
      <c r="J182" s="80">
        <f t="shared" si="9"/>
        <v>0</v>
      </c>
      <c r="K182" s="80">
        <f t="shared" si="10"/>
        <v>2190</v>
      </c>
      <c r="L182" s="66"/>
      <c r="M182" s="66"/>
      <c r="N182" s="66" t="s">
        <v>679</v>
      </c>
      <c r="O182" s="66"/>
      <c r="P182" s="66" t="s">
        <v>973</v>
      </c>
      <c r="Q182" s="66"/>
      <c r="R182" s="66"/>
      <c r="S182" s="66"/>
      <c r="T182" s="66"/>
    </row>
    <row r="183" spans="1:20" ht="15" customHeight="1">
      <c r="A183" s="69" t="s">
        <v>974</v>
      </c>
      <c r="B183" s="69" t="s">
        <v>975</v>
      </c>
      <c r="C183" s="69" t="s">
        <v>95</v>
      </c>
      <c r="D183" s="70">
        <v>419</v>
      </c>
      <c r="E183" s="70">
        <v>699</v>
      </c>
      <c r="F183" s="79">
        <v>1</v>
      </c>
      <c r="G183" s="79">
        <v>7</v>
      </c>
      <c r="H183" s="78">
        <v>0</v>
      </c>
      <c r="I183" s="78">
        <f>IF(D183&lt;&gt;"",D183,IFERROR(E183/(IFERROR(SUM(Sales!C:C),0))*(IFERROR(SUM(Purchases!C:C),0)),0))</f>
        <v>419</v>
      </c>
      <c r="J183" s="78">
        <f t="shared" si="9"/>
        <v>419</v>
      </c>
      <c r="K183" s="78">
        <f t="shared" si="10"/>
        <v>2933</v>
      </c>
      <c r="L183" s="69" t="s">
        <v>1130</v>
      </c>
      <c r="M183" s="69"/>
      <c r="N183" s="69" t="s">
        <v>589</v>
      </c>
      <c r="O183" s="69"/>
      <c r="P183" s="69"/>
      <c r="Q183" s="69"/>
      <c r="R183" s="69"/>
      <c r="S183" s="69"/>
      <c r="T183" s="69"/>
    </row>
    <row r="184" spans="1:20" ht="39.75" customHeight="1">
      <c r="A184" s="66" t="s">
        <v>976</v>
      </c>
      <c r="B184" s="66" t="s">
        <v>977</v>
      </c>
      <c r="C184" s="66" t="s">
        <v>95</v>
      </c>
      <c r="D184" s="67">
        <v>891</v>
      </c>
      <c r="E184" s="67">
        <v>1380</v>
      </c>
      <c r="F184" s="81">
        <v>14</v>
      </c>
      <c r="G184" s="81">
        <v>6</v>
      </c>
      <c r="H184" s="80">
        <f t="shared" ref="H184:H226" si="12">F184+IF(LEN(G184)=0,0,G184)</f>
        <v>20</v>
      </c>
      <c r="I184" s="80">
        <f>IF(D184&lt;&gt;"",D184,IFERROR(E184/(IFERROR(SUM(Sales!C:C),0))*(IFERROR(SUM(Purchases!C:C),0)),0))</f>
        <v>891</v>
      </c>
      <c r="J184" s="80">
        <f t="shared" si="9"/>
        <v>12474</v>
      </c>
      <c r="K184" s="80">
        <f t="shared" si="10"/>
        <v>5346</v>
      </c>
      <c r="L184" s="66" t="s">
        <v>1104</v>
      </c>
      <c r="M184" s="66"/>
      <c r="N184" s="66" t="s">
        <v>589</v>
      </c>
      <c r="O184" s="66"/>
      <c r="P184" s="66"/>
      <c r="Q184" s="66"/>
      <c r="R184" s="66"/>
      <c r="S184" s="66"/>
      <c r="T184" s="66"/>
    </row>
    <row r="185" spans="1:20" ht="15" customHeight="1">
      <c r="A185" s="69" t="s">
        <v>978</v>
      </c>
      <c r="B185" s="69" t="s">
        <v>979</v>
      </c>
      <c r="C185" s="69" t="s">
        <v>95</v>
      </c>
      <c r="D185" s="70">
        <v>891</v>
      </c>
      <c r="E185" s="70">
        <v>1380</v>
      </c>
      <c r="F185" s="79">
        <v>5</v>
      </c>
      <c r="G185" s="79">
        <v>0</v>
      </c>
      <c r="H185" s="78">
        <f t="shared" si="12"/>
        <v>5</v>
      </c>
      <c r="I185" s="78">
        <f>IF(D185&lt;&gt;"",D185,IFERROR(E185/(IFERROR(SUM(Sales!C:C),0))*(IFERROR(SUM(Purchases!C:C),0)),0))</f>
        <v>891</v>
      </c>
      <c r="J185" s="78">
        <f t="shared" si="9"/>
        <v>4455</v>
      </c>
      <c r="K185" s="78">
        <f t="shared" si="10"/>
        <v>0</v>
      </c>
      <c r="L185" s="69" t="s">
        <v>980</v>
      </c>
      <c r="M185" s="69"/>
      <c r="N185" s="69" t="s">
        <v>504</v>
      </c>
      <c r="O185" s="69"/>
      <c r="P185" s="69"/>
      <c r="Q185" s="69"/>
      <c r="R185" s="69"/>
      <c r="S185" s="69"/>
      <c r="T185" s="69"/>
    </row>
    <row r="186" spans="1:20" ht="15" customHeight="1">
      <c r="A186" s="66" t="s">
        <v>981</v>
      </c>
      <c r="B186" s="66" t="s">
        <v>794</v>
      </c>
      <c r="C186" s="66" t="s">
        <v>95</v>
      </c>
      <c r="D186" s="67">
        <v>891</v>
      </c>
      <c r="E186" s="67">
        <v>1380</v>
      </c>
      <c r="F186" s="81">
        <v>0</v>
      </c>
      <c r="G186" s="81">
        <v>2</v>
      </c>
      <c r="H186" s="80">
        <f t="shared" si="12"/>
        <v>2</v>
      </c>
      <c r="I186" s="80">
        <f>IF(D186&lt;&gt;"",D186,IFERROR(E186/(IFERROR(SUM(Sales!C:C),0))*(IFERROR(SUM(Purchases!C:C),0)),0))</f>
        <v>891</v>
      </c>
      <c r="J186" s="80">
        <f t="shared" si="9"/>
        <v>0</v>
      </c>
      <c r="K186" s="80">
        <f t="shared" si="10"/>
        <v>1782</v>
      </c>
      <c r="L186" s="66"/>
      <c r="M186" s="66"/>
      <c r="N186" s="66" t="s">
        <v>679</v>
      </c>
      <c r="O186" s="66"/>
      <c r="P186" s="66"/>
      <c r="Q186" s="66"/>
      <c r="R186" s="66"/>
      <c r="S186" s="66"/>
      <c r="T186" s="66"/>
    </row>
    <row r="187" spans="1:20" ht="15" customHeight="1">
      <c r="A187" s="69" t="s">
        <v>982</v>
      </c>
      <c r="B187" s="69" t="s">
        <v>983</v>
      </c>
      <c r="C187" s="69" t="s">
        <v>95</v>
      </c>
      <c r="D187" s="70">
        <v>891</v>
      </c>
      <c r="E187" s="70">
        <v>1380</v>
      </c>
      <c r="F187" s="79">
        <v>0</v>
      </c>
      <c r="G187" s="79">
        <v>2</v>
      </c>
      <c r="H187" s="78">
        <f t="shared" si="12"/>
        <v>2</v>
      </c>
      <c r="I187" s="78">
        <f>IF(D187&lt;&gt;"",D187,IFERROR(E187/(IFERROR(SUM(Sales!C:C),0))*(IFERROR(SUM(Purchases!C:C),0)),0))</f>
        <v>891</v>
      </c>
      <c r="J187" s="78">
        <f t="shared" si="9"/>
        <v>0</v>
      </c>
      <c r="K187" s="78">
        <f t="shared" si="10"/>
        <v>1782</v>
      </c>
      <c r="L187" s="69"/>
      <c r="M187" s="69"/>
      <c r="N187" s="69" t="s">
        <v>679</v>
      </c>
      <c r="O187" s="69"/>
      <c r="P187" s="69"/>
      <c r="Q187" s="69"/>
      <c r="R187" s="69"/>
      <c r="S187" s="69"/>
      <c r="T187" s="69"/>
    </row>
    <row r="188" spans="1:20" ht="15" customHeight="1">
      <c r="A188" s="66" t="s">
        <v>984</v>
      </c>
      <c r="B188" s="66" t="s">
        <v>985</v>
      </c>
      <c r="C188" s="66" t="s">
        <v>95</v>
      </c>
      <c r="D188" s="67">
        <v>891</v>
      </c>
      <c r="E188" s="67">
        <v>1380</v>
      </c>
      <c r="F188" s="81">
        <v>0</v>
      </c>
      <c r="G188" s="81">
        <v>2</v>
      </c>
      <c r="H188" s="80">
        <f t="shared" si="12"/>
        <v>2</v>
      </c>
      <c r="I188" s="80">
        <f>IF(D188&lt;&gt;"",D188,IFERROR(E188/(IFERROR(SUM(Sales!C:C),0))*(IFERROR(SUM(Purchases!C:C),0)),0))</f>
        <v>891</v>
      </c>
      <c r="J188" s="80">
        <f t="shared" si="9"/>
        <v>0</v>
      </c>
      <c r="K188" s="80">
        <f t="shared" si="10"/>
        <v>1782</v>
      </c>
      <c r="L188" s="66"/>
      <c r="M188" s="66"/>
      <c r="N188" s="66" t="s">
        <v>679</v>
      </c>
      <c r="O188" s="66"/>
      <c r="P188" s="66"/>
      <c r="Q188" s="66"/>
      <c r="R188" s="66"/>
      <c r="S188" s="66"/>
      <c r="T188" s="66"/>
    </row>
    <row r="189" spans="1:20" ht="30" customHeight="1">
      <c r="A189" s="69" t="s">
        <v>986</v>
      </c>
      <c r="B189" s="66" t="s">
        <v>987</v>
      </c>
      <c r="C189" s="66" t="s">
        <v>95</v>
      </c>
      <c r="D189" s="67">
        <v>891</v>
      </c>
      <c r="E189" s="67">
        <v>1380</v>
      </c>
      <c r="F189" s="79">
        <v>4</v>
      </c>
      <c r="G189" s="79">
        <v>4</v>
      </c>
      <c r="H189" s="78">
        <f t="shared" si="12"/>
        <v>8</v>
      </c>
      <c r="I189" s="78">
        <f>IF(D189&lt;&gt;"",D189,IFERROR(E189/(IFERROR(SUM(Sales!C:C),0))*(IFERROR(SUM(Purchases!C:C),0)),0))</f>
        <v>891</v>
      </c>
      <c r="J189" s="78">
        <f t="shared" si="9"/>
        <v>3564</v>
      </c>
      <c r="K189" s="78">
        <f t="shared" si="10"/>
        <v>3564</v>
      </c>
      <c r="L189" s="69" t="s">
        <v>1122</v>
      </c>
      <c r="M189" s="69"/>
      <c r="N189" s="69" t="s">
        <v>589</v>
      </c>
      <c r="O189" s="69"/>
      <c r="P189" s="69" t="s">
        <v>1121</v>
      </c>
      <c r="Q189" s="69"/>
      <c r="R189" s="69"/>
      <c r="S189" s="69"/>
      <c r="T189" s="69"/>
    </row>
    <row r="190" spans="1:20" ht="15" customHeight="1">
      <c r="A190" s="66" t="s">
        <v>988</v>
      </c>
      <c r="B190" s="69" t="s">
        <v>989</v>
      </c>
      <c r="C190" s="69" t="s">
        <v>95</v>
      </c>
      <c r="D190" s="70">
        <v>891</v>
      </c>
      <c r="E190" s="70">
        <v>1380</v>
      </c>
      <c r="F190" s="81">
        <v>0</v>
      </c>
      <c r="G190" s="81">
        <v>3</v>
      </c>
      <c r="H190" s="80">
        <f t="shared" si="12"/>
        <v>3</v>
      </c>
      <c r="I190" s="80">
        <f>IF(D190&lt;&gt;"",D190,IFERROR(E190/(IFERROR(SUM(Sales!C:C),0))*(IFERROR(SUM(Purchases!C:C),0)),0))</f>
        <v>891</v>
      </c>
      <c r="J190" s="80">
        <f t="shared" si="9"/>
        <v>0</v>
      </c>
      <c r="K190" s="80">
        <f t="shared" si="10"/>
        <v>2673</v>
      </c>
      <c r="L190" s="66"/>
      <c r="M190" s="66"/>
      <c r="N190" s="61" t="s">
        <v>990</v>
      </c>
      <c r="P190" s="61" t="s">
        <v>991</v>
      </c>
      <c r="S190" s="61"/>
      <c r="T190" s="61"/>
    </row>
    <row r="191" spans="1:20" ht="30" customHeight="1">
      <c r="A191" s="69" t="s">
        <v>992</v>
      </c>
      <c r="B191" s="66" t="s">
        <v>993</v>
      </c>
      <c r="C191" s="66" t="s">
        <v>95</v>
      </c>
      <c r="D191" s="67">
        <v>773</v>
      </c>
      <c r="E191" s="67">
        <v>1100</v>
      </c>
      <c r="F191" s="79">
        <v>0</v>
      </c>
      <c r="G191" s="79">
        <v>4</v>
      </c>
      <c r="H191" s="78">
        <f t="shared" si="12"/>
        <v>4</v>
      </c>
      <c r="I191" s="78">
        <f>IF(D191&lt;&gt;"",D191,IFERROR(E191/(IFERROR(SUM(Sales!C:C),0))*(IFERROR(SUM(Purchases!C:C),0)),0))</f>
        <v>773</v>
      </c>
      <c r="J191" s="78">
        <f t="shared" si="9"/>
        <v>0</v>
      </c>
      <c r="K191" s="78">
        <f t="shared" si="10"/>
        <v>3092</v>
      </c>
      <c r="L191" s="69"/>
      <c r="M191" s="69"/>
      <c r="N191" s="61" t="s">
        <v>679</v>
      </c>
      <c r="P191" s="61" t="s">
        <v>994</v>
      </c>
      <c r="S191" s="61"/>
      <c r="T191" s="61"/>
    </row>
    <row r="192" spans="1:20" ht="15" customHeight="1">
      <c r="A192" s="66" t="s">
        <v>995</v>
      </c>
      <c r="B192" s="69" t="s">
        <v>996</v>
      </c>
      <c r="C192" s="69" t="s">
        <v>95</v>
      </c>
      <c r="D192" s="70">
        <v>808</v>
      </c>
      <c r="E192" s="70">
        <v>1250</v>
      </c>
      <c r="F192" s="81">
        <v>1</v>
      </c>
      <c r="G192" s="81">
        <v>2</v>
      </c>
      <c r="H192" s="80">
        <f t="shared" si="12"/>
        <v>3</v>
      </c>
      <c r="I192" s="80">
        <f>IF(D192&lt;&gt;"",D192,IFERROR(E192/(IFERROR(SUM(Sales!C:C),0))*(IFERROR(SUM(Purchases!C:C),0)),0))</f>
        <v>808</v>
      </c>
      <c r="J192" s="80">
        <f t="shared" si="9"/>
        <v>808</v>
      </c>
      <c r="K192" s="80">
        <f t="shared" si="10"/>
        <v>1616</v>
      </c>
      <c r="L192" s="66" t="s">
        <v>1114</v>
      </c>
      <c r="M192" s="66"/>
      <c r="N192" s="61" t="s">
        <v>589</v>
      </c>
      <c r="P192" s="61" t="s">
        <v>1115</v>
      </c>
      <c r="S192" s="61"/>
      <c r="T192" s="61"/>
    </row>
    <row r="193" spans="1:20" ht="15" customHeight="1">
      <c r="A193" s="69" t="s">
        <v>997</v>
      </c>
      <c r="B193" s="66" t="s">
        <v>998</v>
      </c>
      <c r="C193" s="66" t="s">
        <v>95</v>
      </c>
      <c r="D193" s="67">
        <v>1024</v>
      </c>
      <c r="E193" s="67">
        <v>1550</v>
      </c>
      <c r="F193" s="79">
        <v>0</v>
      </c>
      <c r="G193" s="79">
        <v>1</v>
      </c>
      <c r="H193" s="78">
        <f t="shared" si="12"/>
        <v>1</v>
      </c>
      <c r="I193" s="78">
        <f>IF(D193&lt;&gt;"",D193,IFERROR(E193/(IFERROR(SUM(Sales!C:C),0))*(IFERROR(SUM(Purchases!C:C),0)),0))</f>
        <v>1024</v>
      </c>
      <c r="J193" s="78">
        <f t="shared" si="9"/>
        <v>0</v>
      </c>
      <c r="K193" s="78">
        <f t="shared" si="10"/>
        <v>1024</v>
      </c>
      <c r="L193" s="69"/>
      <c r="M193" s="69"/>
      <c r="N193" s="61" t="s">
        <v>679</v>
      </c>
      <c r="P193" s="61" t="s">
        <v>999</v>
      </c>
      <c r="S193" s="61"/>
      <c r="T193" s="61"/>
    </row>
    <row r="194" spans="1:20" ht="15" customHeight="1">
      <c r="A194" s="66" t="s">
        <v>1000</v>
      </c>
      <c r="B194" s="66" t="s">
        <v>1001</v>
      </c>
      <c r="C194" s="66" t="s">
        <v>95</v>
      </c>
      <c r="D194" s="67">
        <v>790</v>
      </c>
      <c r="E194" s="67">
        <v>1250</v>
      </c>
      <c r="F194" s="81">
        <v>0</v>
      </c>
      <c r="G194" s="81">
        <v>3</v>
      </c>
      <c r="H194" s="80">
        <f t="shared" si="12"/>
        <v>3</v>
      </c>
      <c r="I194" s="80">
        <f>IF(D194&lt;&gt;"",D194,IFERROR(E194/(IFERROR(SUM(Sales!C:C),0))*(IFERROR(SUM(Purchases!C:C),0)),0))</f>
        <v>790</v>
      </c>
      <c r="J194" s="80">
        <f t="shared" ref="J194:J226" si="13">F194*I194</f>
        <v>0</v>
      </c>
      <c r="K194" s="80">
        <f t="shared" ref="K194:K226" si="14">IF(LEN(G194)=0,0,G194)*I194</f>
        <v>2370</v>
      </c>
      <c r="L194" s="66"/>
      <c r="M194" s="66"/>
      <c r="N194" s="61" t="s">
        <v>679</v>
      </c>
      <c r="P194" s="61" t="s">
        <v>1002</v>
      </c>
      <c r="S194" s="61"/>
      <c r="T194" s="61"/>
    </row>
    <row r="195" spans="1:20" ht="15" customHeight="1">
      <c r="A195" s="69" t="s">
        <v>1003</v>
      </c>
      <c r="B195" s="69" t="s">
        <v>1004</v>
      </c>
      <c r="C195" s="69" t="s">
        <v>95</v>
      </c>
      <c r="D195" s="70">
        <v>781</v>
      </c>
      <c r="E195" s="70">
        <v>1250</v>
      </c>
      <c r="F195" s="79">
        <v>1</v>
      </c>
      <c r="G195" s="79">
        <v>7</v>
      </c>
      <c r="H195" s="78">
        <f t="shared" si="12"/>
        <v>8</v>
      </c>
      <c r="I195" s="78">
        <f>IF(D195&lt;&gt;"",D195,IFERROR(E195/(IFERROR(SUM(Sales!C:C),0))*(IFERROR(SUM(Purchases!C:C),0)),0))</f>
        <v>781</v>
      </c>
      <c r="J195" s="78">
        <f t="shared" si="13"/>
        <v>781</v>
      </c>
      <c r="K195" s="78">
        <f t="shared" si="14"/>
        <v>5467</v>
      </c>
      <c r="L195" s="69" t="s">
        <v>1005</v>
      </c>
      <c r="M195" s="69"/>
      <c r="N195" s="61" t="s">
        <v>589</v>
      </c>
      <c r="P195" s="61" t="s">
        <v>1006</v>
      </c>
      <c r="S195" s="61"/>
      <c r="T195" s="61"/>
    </row>
    <row r="196" spans="1:20" ht="15" customHeight="1">
      <c r="A196" s="66" t="s">
        <v>1007</v>
      </c>
      <c r="B196" s="66" t="s">
        <v>1008</v>
      </c>
      <c r="C196" s="66" t="s">
        <v>95</v>
      </c>
      <c r="D196" s="67">
        <v>797</v>
      </c>
      <c r="E196" s="67">
        <v>1250</v>
      </c>
      <c r="F196" s="81">
        <v>1</v>
      </c>
      <c r="G196" s="81">
        <v>5</v>
      </c>
      <c r="H196" s="80">
        <f t="shared" si="12"/>
        <v>6</v>
      </c>
      <c r="I196" s="80">
        <f>IF(D196&lt;&gt;"",D196,IFERROR(E196/(IFERROR(SUM(Sales!C:C),0))*(IFERROR(SUM(Purchases!C:C),0)),0))</f>
        <v>797</v>
      </c>
      <c r="J196" s="80">
        <f t="shared" si="13"/>
        <v>797</v>
      </c>
      <c r="K196" s="80">
        <f t="shared" si="14"/>
        <v>3985</v>
      </c>
      <c r="L196" s="66" t="s">
        <v>1103</v>
      </c>
      <c r="M196" s="66"/>
      <c r="N196" s="61" t="s">
        <v>589</v>
      </c>
      <c r="P196" s="61" t="s">
        <v>1102</v>
      </c>
      <c r="S196" s="61"/>
      <c r="T196" s="61"/>
    </row>
    <row r="197" spans="1:20" ht="15" customHeight="1">
      <c r="A197" s="69" t="s">
        <v>1009</v>
      </c>
      <c r="B197" s="69" t="s">
        <v>1010</v>
      </c>
      <c r="C197" s="69" t="s">
        <v>95</v>
      </c>
      <c r="D197" s="70">
        <v>772</v>
      </c>
      <c r="E197" s="70">
        <v>1250</v>
      </c>
      <c r="F197" s="79">
        <v>0</v>
      </c>
      <c r="G197" s="79">
        <v>4</v>
      </c>
      <c r="H197" s="78">
        <f t="shared" si="12"/>
        <v>4</v>
      </c>
      <c r="I197" s="78">
        <f>IF(D197&lt;&gt;"",D197,IFERROR(E197/(IFERROR(SUM(Sales!C:C),0))*(IFERROR(SUM(Purchases!C:C),0)),0))</f>
        <v>772</v>
      </c>
      <c r="J197" s="78">
        <f t="shared" si="13"/>
        <v>0</v>
      </c>
      <c r="K197" s="78">
        <f t="shared" si="14"/>
        <v>3088</v>
      </c>
      <c r="L197" s="69"/>
      <c r="M197" s="69"/>
      <c r="N197" s="61" t="s">
        <v>679</v>
      </c>
      <c r="P197" s="61" t="s">
        <v>1011</v>
      </c>
      <c r="S197" s="61"/>
      <c r="T197" s="61"/>
    </row>
    <row r="198" spans="1:20" ht="15" customHeight="1">
      <c r="A198" s="66" t="s">
        <v>1012</v>
      </c>
      <c r="B198" s="66" t="s">
        <v>1013</v>
      </c>
      <c r="C198" s="66" t="s">
        <v>95</v>
      </c>
      <c r="D198" s="67">
        <v>772</v>
      </c>
      <c r="E198" s="67">
        <v>1250</v>
      </c>
      <c r="F198" s="81">
        <v>0</v>
      </c>
      <c r="G198" s="81">
        <v>1</v>
      </c>
      <c r="H198" s="80">
        <f t="shared" si="12"/>
        <v>1</v>
      </c>
      <c r="I198" s="80">
        <f>IF(D198&lt;&gt;"",D198,IFERROR(E198/(IFERROR(SUM(Sales!C:C),0))*(IFERROR(SUM(Purchases!C:C),0)),0))</f>
        <v>772</v>
      </c>
      <c r="J198" s="80">
        <f t="shared" si="13"/>
        <v>0</v>
      </c>
      <c r="K198" s="80">
        <f t="shared" si="14"/>
        <v>772</v>
      </c>
      <c r="L198" s="66"/>
      <c r="M198" s="66"/>
      <c r="N198" s="61" t="s">
        <v>679</v>
      </c>
      <c r="P198" s="61" t="s">
        <v>1014</v>
      </c>
      <c r="S198" s="61"/>
      <c r="T198" s="61"/>
    </row>
    <row r="199" spans="1:20" ht="15" customHeight="1">
      <c r="A199" s="69" t="s">
        <v>1015</v>
      </c>
      <c r="B199" s="66" t="s">
        <v>1016</v>
      </c>
      <c r="C199" s="66" t="s">
        <v>95</v>
      </c>
      <c r="D199" s="67">
        <v>467</v>
      </c>
      <c r="E199" s="67">
        <v>850</v>
      </c>
      <c r="F199" s="79">
        <v>0</v>
      </c>
      <c r="G199" s="79">
        <v>4</v>
      </c>
      <c r="H199" s="78">
        <f t="shared" si="12"/>
        <v>4</v>
      </c>
      <c r="I199" s="78">
        <f>IF(D199&lt;&gt;"",D199,IFERROR(E199/(IFERROR(SUM(Sales!C:C),0))*(IFERROR(SUM(Purchases!C:C),0)),0))</f>
        <v>467</v>
      </c>
      <c r="J199" s="78">
        <f t="shared" si="13"/>
        <v>0</v>
      </c>
      <c r="K199" s="78">
        <f t="shared" si="14"/>
        <v>1868</v>
      </c>
      <c r="L199" s="69"/>
      <c r="M199" s="69"/>
      <c r="N199" s="61" t="s">
        <v>679</v>
      </c>
      <c r="P199" s="61" t="s">
        <v>1017</v>
      </c>
      <c r="S199" s="61"/>
      <c r="T199" s="61"/>
    </row>
    <row r="200" spans="1:20" ht="30" customHeight="1">
      <c r="A200" s="66" t="s">
        <v>1018</v>
      </c>
      <c r="B200" s="69" t="s">
        <v>1019</v>
      </c>
      <c r="C200" s="69" t="s">
        <v>95</v>
      </c>
      <c r="D200" s="70">
        <v>866</v>
      </c>
      <c r="E200" s="70">
        <v>1350</v>
      </c>
      <c r="F200" s="81">
        <v>2</v>
      </c>
      <c r="G200" s="81">
        <v>3</v>
      </c>
      <c r="H200" s="80">
        <f t="shared" si="12"/>
        <v>5</v>
      </c>
      <c r="I200" s="80">
        <f>IF(D200&lt;&gt;"",D200,IFERROR(E200/(IFERROR(SUM(Sales!C:C),0))*(IFERROR(SUM(Purchases!C:C),0)),0))</f>
        <v>866</v>
      </c>
      <c r="J200" s="80">
        <f t="shared" si="13"/>
        <v>1732</v>
      </c>
      <c r="K200" s="80">
        <f t="shared" si="14"/>
        <v>2598</v>
      </c>
      <c r="L200" s="66" t="s">
        <v>1118</v>
      </c>
      <c r="M200" s="66"/>
      <c r="N200" s="61" t="s">
        <v>589</v>
      </c>
      <c r="P200" s="61" t="s">
        <v>1119</v>
      </c>
      <c r="S200" s="61"/>
      <c r="T200" s="61"/>
    </row>
    <row r="201" spans="1:20" ht="15" customHeight="1">
      <c r="A201" s="69" t="s">
        <v>1020</v>
      </c>
      <c r="B201" s="66" t="s">
        <v>1021</v>
      </c>
      <c r="C201" s="66" t="s">
        <v>95</v>
      </c>
      <c r="D201" s="67">
        <v>724</v>
      </c>
      <c r="E201" s="67">
        <v>1250</v>
      </c>
      <c r="F201" s="79">
        <v>1</v>
      </c>
      <c r="G201" s="79">
        <v>1</v>
      </c>
      <c r="H201" s="78">
        <f t="shared" si="12"/>
        <v>2</v>
      </c>
      <c r="I201" s="78">
        <f>IF(D201&lt;&gt;"",D201,IFERROR(E201/(IFERROR(SUM(Sales!C:C),0))*(IFERROR(SUM(Purchases!C:C),0)),0))</f>
        <v>724</v>
      </c>
      <c r="J201" s="78">
        <f t="shared" si="13"/>
        <v>724</v>
      </c>
      <c r="K201" s="78">
        <f t="shared" si="14"/>
        <v>724</v>
      </c>
      <c r="L201" s="69" t="s">
        <v>1022</v>
      </c>
      <c r="M201" s="69"/>
      <c r="N201" s="61" t="s">
        <v>589</v>
      </c>
      <c r="P201" s="61" t="s">
        <v>1023</v>
      </c>
      <c r="S201" s="61"/>
      <c r="T201" s="61"/>
    </row>
    <row r="202" spans="1:20" ht="15" customHeight="1">
      <c r="A202" s="66" t="s">
        <v>1024</v>
      </c>
      <c r="B202" s="69" t="s">
        <v>1025</v>
      </c>
      <c r="C202" s="69" t="s">
        <v>95</v>
      </c>
      <c r="D202" s="70">
        <v>940</v>
      </c>
      <c r="E202" s="70">
        <v>1500</v>
      </c>
      <c r="F202" s="81">
        <v>0</v>
      </c>
      <c r="G202" s="81">
        <v>5</v>
      </c>
      <c r="H202" s="80">
        <f t="shared" si="12"/>
        <v>5</v>
      </c>
      <c r="I202" s="80">
        <f>IF(D202&lt;&gt;"",D202,IFERROR(E202/(IFERROR(SUM(Sales!C:C),0))*(IFERROR(SUM(Purchases!C:C),0)),0))</f>
        <v>940</v>
      </c>
      <c r="J202" s="80">
        <f t="shared" si="13"/>
        <v>0</v>
      </c>
      <c r="K202" s="80">
        <f t="shared" si="14"/>
        <v>4700</v>
      </c>
      <c r="L202" s="66"/>
      <c r="M202" s="66"/>
      <c r="N202" s="61" t="s">
        <v>679</v>
      </c>
      <c r="P202" s="61" t="s">
        <v>1026</v>
      </c>
      <c r="S202" s="61"/>
      <c r="T202" s="61"/>
    </row>
    <row r="203" spans="1:20" ht="15" customHeight="1">
      <c r="A203" s="69" t="s">
        <v>1027</v>
      </c>
      <c r="B203" s="66" t="s">
        <v>1028</v>
      </c>
      <c r="C203" s="66" t="s">
        <v>95</v>
      </c>
      <c r="D203" s="67">
        <v>488.25</v>
      </c>
      <c r="E203" s="67">
        <v>699</v>
      </c>
      <c r="F203" s="79">
        <v>2</v>
      </c>
      <c r="G203" s="79">
        <v>0</v>
      </c>
      <c r="H203" s="78">
        <f t="shared" si="12"/>
        <v>2</v>
      </c>
      <c r="I203" s="78">
        <f>IF(D203&lt;&gt;"",D203,IFERROR(E203/(IFERROR(SUM(Sales!C:C),0))*(IFERROR(SUM(Purchases!C:C),0)),0))</f>
        <v>488.25</v>
      </c>
      <c r="J203" s="78">
        <f t="shared" si="13"/>
        <v>976.5</v>
      </c>
      <c r="K203" s="78">
        <f t="shared" si="14"/>
        <v>0</v>
      </c>
      <c r="L203" s="69" t="s">
        <v>1029</v>
      </c>
      <c r="M203" s="69"/>
      <c r="N203" s="61" t="s">
        <v>504</v>
      </c>
      <c r="P203" s="61" t="s">
        <v>1030</v>
      </c>
      <c r="S203" s="61"/>
      <c r="T203" s="61"/>
    </row>
    <row r="204" spans="1:20" ht="15" customHeight="1">
      <c r="A204" s="66" t="s">
        <v>1031</v>
      </c>
      <c r="B204" s="66" t="s">
        <v>1032</v>
      </c>
      <c r="C204" s="66" t="s">
        <v>95</v>
      </c>
      <c r="D204" s="67">
        <v>880</v>
      </c>
      <c r="E204" s="67">
        <v>1350</v>
      </c>
      <c r="F204" s="81">
        <v>1</v>
      </c>
      <c r="G204" s="81">
        <v>2</v>
      </c>
      <c r="H204" s="80">
        <f t="shared" si="12"/>
        <v>3</v>
      </c>
      <c r="I204" s="80">
        <f>IF(D204&lt;&gt;"",D204,IFERROR(E204/(IFERROR(SUM(Sales!C:C),0))*(IFERROR(SUM(Purchases!C:C),0)),0))</f>
        <v>880</v>
      </c>
      <c r="J204" s="80">
        <f t="shared" si="13"/>
        <v>880</v>
      </c>
      <c r="K204" s="80">
        <f t="shared" si="14"/>
        <v>1760</v>
      </c>
      <c r="L204" s="66" t="s">
        <v>1033</v>
      </c>
      <c r="M204" s="66"/>
      <c r="N204" s="61" t="s">
        <v>589</v>
      </c>
      <c r="P204" s="61" t="s">
        <v>1034</v>
      </c>
      <c r="S204" s="61"/>
      <c r="T204" s="61"/>
    </row>
    <row r="205" spans="1:20" ht="15" customHeight="1">
      <c r="A205" s="69" t="s">
        <v>1035</v>
      </c>
      <c r="B205" s="69" t="s">
        <v>1036</v>
      </c>
      <c r="C205" s="69" t="s">
        <v>95</v>
      </c>
      <c r="D205" s="70">
        <v>761</v>
      </c>
      <c r="E205" s="70">
        <v>1250</v>
      </c>
      <c r="F205" s="79">
        <v>1</v>
      </c>
      <c r="G205" s="79">
        <v>2</v>
      </c>
      <c r="H205" s="78">
        <f t="shared" si="12"/>
        <v>3</v>
      </c>
      <c r="I205" s="78">
        <f>IF(D205&lt;&gt;"",D205,IFERROR(E205/(IFERROR(SUM(Sales!C:C),0))*(IFERROR(SUM(Purchases!C:C),0)),0))</f>
        <v>761</v>
      </c>
      <c r="J205" s="78">
        <f t="shared" si="13"/>
        <v>761</v>
      </c>
      <c r="K205" s="78">
        <f t="shared" si="14"/>
        <v>1522</v>
      </c>
      <c r="L205" s="69" t="s">
        <v>1037</v>
      </c>
      <c r="M205" s="69"/>
      <c r="N205" s="61" t="s">
        <v>679</v>
      </c>
      <c r="P205" s="61" t="s">
        <v>1038</v>
      </c>
      <c r="S205" s="61"/>
      <c r="T205" s="61"/>
    </row>
    <row r="206" spans="1:20" ht="15" customHeight="1">
      <c r="A206" s="66" t="s">
        <v>1039</v>
      </c>
      <c r="B206" s="66" t="s">
        <v>1040</v>
      </c>
      <c r="C206" s="66" t="s">
        <v>95</v>
      </c>
      <c r="D206" s="67">
        <v>761</v>
      </c>
      <c r="E206" s="67">
        <v>1250</v>
      </c>
      <c r="F206" s="81">
        <v>0</v>
      </c>
      <c r="G206" s="81">
        <v>1</v>
      </c>
      <c r="H206" s="80">
        <f t="shared" si="12"/>
        <v>1</v>
      </c>
      <c r="I206" s="80">
        <f>IF(D206&lt;&gt;"",D206,IFERROR(E206/(IFERROR(SUM(Sales!C:C),0))*(IFERROR(SUM(Purchases!C:C),0)),0))</f>
        <v>761</v>
      </c>
      <c r="J206" s="80">
        <f t="shared" si="13"/>
        <v>0</v>
      </c>
      <c r="K206" s="80">
        <f t="shared" si="14"/>
        <v>761</v>
      </c>
      <c r="L206" s="66"/>
      <c r="M206" s="66"/>
      <c r="N206" s="61" t="s">
        <v>679</v>
      </c>
      <c r="P206" s="61" t="s">
        <v>1041</v>
      </c>
      <c r="S206" s="61"/>
      <c r="T206" s="61"/>
    </row>
    <row r="207" spans="1:20" ht="15" customHeight="1">
      <c r="A207" s="69" t="s">
        <v>1042</v>
      </c>
      <c r="B207" s="69" t="s">
        <v>1043</v>
      </c>
      <c r="C207" s="69" t="s">
        <v>95</v>
      </c>
      <c r="D207" s="70">
        <v>828</v>
      </c>
      <c r="E207" s="70">
        <v>1250</v>
      </c>
      <c r="F207" s="79">
        <v>1</v>
      </c>
      <c r="G207" s="79">
        <v>4</v>
      </c>
      <c r="H207" s="78">
        <f t="shared" si="12"/>
        <v>5</v>
      </c>
      <c r="I207" s="78">
        <f>IF(D207&lt;&gt;"",D207,IFERROR(E207/(IFERROR(SUM(Sales!C:C),0))*(IFERROR(SUM(Purchases!C:C),0)),0))</f>
        <v>828</v>
      </c>
      <c r="J207" s="78">
        <f t="shared" si="13"/>
        <v>828</v>
      </c>
      <c r="K207" s="78">
        <f t="shared" si="14"/>
        <v>3312</v>
      </c>
      <c r="L207" s="69" t="s">
        <v>1044</v>
      </c>
      <c r="M207" s="69"/>
      <c r="N207" s="61" t="s">
        <v>589</v>
      </c>
      <c r="P207" s="61" t="s">
        <v>1045</v>
      </c>
      <c r="S207" s="61"/>
      <c r="T207" s="61"/>
    </row>
    <row r="208" spans="1:20" ht="30" customHeight="1">
      <c r="A208" s="66" t="s">
        <v>1046</v>
      </c>
      <c r="B208" s="66" t="s">
        <v>1047</v>
      </c>
      <c r="C208" s="66" t="s">
        <v>95</v>
      </c>
      <c r="D208" s="67">
        <v>782</v>
      </c>
      <c r="E208" s="67">
        <v>1250</v>
      </c>
      <c r="F208" s="81">
        <v>0</v>
      </c>
      <c r="G208" s="81">
        <v>4</v>
      </c>
      <c r="H208" s="80">
        <f t="shared" si="12"/>
        <v>4</v>
      </c>
      <c r="I208" s="80">
        <f>IF(D208&lt;&gt;"",D208,IFERROR(E208/(IFERROR(SUM(Sales!C:C),0))*(IFERROR(SUM(Purchases!C:C),0)),0))</f>
        <v>782</v>
      </c>
      <c r="J208" s="80">
        <f t="shared" si="13"/>
        <v>0</v>
      </c>
      <c r="K208" s="80">
        <f t="shared" si="14"/>
        <v>3128</v>
      </c>
      <c r="L208" s="66"/>
      <c r="M208" s="66"/>
      <c r="N208" s="61" t="s">
        <v>679</v>
      </c>
      <c r="P208" s="61" t="s">
        <v>1048</v>
      </c>
      <c r="S208" s="61"/>
      <c r="T208" s="61"/>
    </row>
    <row r="209" spans="1:20" ht="15" customHeight="1">
      <c r="A209" s="69" t="s">
        <v>1049</v>
      </c>
      <c r="B209" s="66" t="s">
        <v>1050</v>
      </c>
      <c r="C209" s="66" t="s">
        <v>95</v>
      </c>
      <c r="D209" s="67">
        <v>982</v>
      </c>
      <c r="E209" s="67">
        <v>1550</v>
      </c>
      <c r="F209" s="79">
        <v>1</v>
      </c>
      <c r="G209" s="79">
        <v>1</v>
      </c>
      <c r="H209" s="78">
        <f t="shared" si="12"/>
        <v>2</v>
      </c>
      <c r="I209" s="78">
        <f>IF(D209&lt;&gt;"",D209,IFERROR(E209/(IFERROR(SUM(Sales!C:C),0))*(IFERROR(SUM(Purchases!C:C),0)),0))</f>
        <v>982</v>
      </c>
      <c r="J209" s="78">
        <f t="shared" si="13"/>
        <v>982</v>
      </c>
      <c r="K209" s="78">
        <f t="shared" si="14"/>
        <v>982</v>
      </c>
      <c r="L209" s="69" t="s">
        <v>1117</v>
      </c>
      <c r="M209" s="69"/>
      <c r="N209" s="61" t="s">
        <v>589</v>
      </c>
      <c r="P209" s="61" t="s">
        <v>1116</v>
      </c>
      <c r="S209" s="61"/>
      <c r="T209" s="61"/>
    </row>
    <row r="210" spans="1:20" ht="15" customHeight="1">
      <c r="A210" s="66" t="s">
        <v>1051</v>
      </c>
      <c r="B210" s="69" t="s">
        <v>1052</v>
      </c>
      <c r="C210" s="69" t="s">
        <v>95</v>
      </c>
      <c r="D210" s="70">
        <v>891</v>
      </c>
      <c r="E210" s="70">
        <v>1350</v>
      </c>
      <c r="F210" s="81">
        <v>0</v>
      </c>
      <c r="G210" s="81">
        <v>1</v>
      </c>
      <c r="H210" s="80">
        <f t="shared" si="12"/>
        <v>1</v>
      </c>
      <c r="I210" s="80">
        <f>IF(D210&lt;&gt;"",D210,IFERROR(E210/(IFERROR(SUM(Sales!C:C),0))*(IFERROR(SUM(Purchases!C:C),0)),0))</f>
        <v>891</v>
      </c>
      <c r="J210" s="80">
        <f t="shared" si="13"/>
        <v>0</v>
      </c>
      <c r="K210" s="80">
        <f t="shared" si="14"/>
        <v>891</v>
      </c>
      <c r="L210" s="66"/>
      <c r="M210" s="66"/>
      <c r="N210" s="61" t="s">
        <v>679</v>
      </c>
      <c r="P210" s="61" t="s">
        <v>1053</v>
      </c>
      <c r="S210" s="61"/>
      <c r="T210" s="61"/>
    </row>
    <row r="211" spans="1:20" ht="15" customHeight="1">
      <c r="A211" s="69" t="s">
        <v>1054</v>
      </c>
      <c r="B211" s="66" t="s">
        <v>911</v>
      </c>
      <c r="C211" s="66" t="s">
        <v>95</v>
      </c>
      <c r="D211" s="67">
        <v>922</v>
      </c>
      <c r="E211" s="67">
        <v>1499</v>
      </c>
      <c r="F211" s="79">
        <v>0</v>
      </c>
      <c r="G211" s="79">
        <v>2</v>
      </c>
      <c r="H211" s="78">
        <f t="shared" si="12"/>
        <v>2</v>
      </c>
      <c r="I211" s="78">
        <f>IF(D211&lt;&gt;"",D211,IFERROR(E211/(IFERROR(SUM(Sales!C:C),0))*(IFERROR(SUM(Purchases!C:C),0)),0))</f>
        <v>922</v>
      </c>
      <c r="J211" s="78">
        <f t="shared" si="13"/>
        <v>0</v>
      </c>
      <c r="K211" s="78">
        <f t="shared" si="14"/>
        <v>1844</v>
      </c>
      <c r="L211" s="69"/>
      <c r="M211" s="69"/>
      <c r="N211" s="61" t="s">
        <v>679</v>
      </c>
      <c r="P211" s="61" t="s">
        <v>1055</v>
      </c>
      <c r="S211" s="61"/>
      <c r="T211" s="61"/>
    </row>
    <row r="212" spans="1:20" ht="15" customHeight="1">
      <c r="A212" s="66" t="s">
        <v>1056</v>
      </c>
      <c r="B212" s="69"/>
      <c r="C212" s="69"/>
      <c r="D212" s="70"/>
      <c r="E212" s="70"/>
      <c r="F212" s="81">
        <v>0</v>
      </c>
      <c r="G212" s="81">
        <v>-27</v>
      </c>
      <c r="H212" s="80">
        <f t="shared" si="12"/>
        <v>-27</v>
      </c>
      <c r="I212" s="80">
        <f>IF(D212&lt;&gt;"",D212,IFERROR(E212/(IFERROR(SUM(Sales!C:C),0))*(IFERROR(SUM(Purchases!C:C),0)),0))</f>
        <v>0</v>
      </c>
      <c r="J212" s="80">
        <f t="shared" si="13"/>
        <v>0</v>
      </c>
      <c r="K212" s="80">
        <f t="shared" si="14"/>
        <v>0</v>
      </c>
      <c r="L212" s="66"/>
      <c r="M212" s="66"/>
      <c r="S212" s="61"/>
      <c r="T212" s="61"/>
    </row>
    <row r="213" spans="1:20" ht="15" customHeight="1">
      <c r="A213" s="69" t="s">
        <v>1057</v>
      </c>
      <c r="B213" s="66"/>
      <c r="C213" s="66"/>
      <c r="D213" s="67"/>
      <c r="E213" s="67"/>
      <c r="F213" s="79">
        <v>0</v>
      </c>
      <c r="G213" s="79">
        <v>-28</v>
      </c>
      <c r="H213" s="78">
        <f t="shared" si="12"/>
        <v>-28</v>
      </c>
      <c r="I213" s="78">
        <f>IF(D213&lt;&gt;"",D213,IFERROR(E213/(IFERROR(SUM(Sales!C:C),0))*(IFERROR(SUM(Purchases!C:C),0)),0))</f>
        <v>0</v>
      </c>
      <c r="J213" s="78">
        <f t="shared" si="13"/>
        <v>0</v>
      </c>
      <c r="K213" s="78">
        <f t="shared" si="14"/>
        <v>0</v>
      </c>
      <c r="L213" s="69"/>
      <c r="M213" s="69"/>
      <c r="S213" s="61"/>
      <c r="T213" s="61"/>
    </row>
    <row r="214" spans="1:20" ht="15" customHeight="1">
      <c r="A214" s="66" t="s">
        <v>1058</v>
      </c>
      <c r="B214" s="66"/>
      <c r="C214" s="66"/>
      <c r="D214" s="67"/>
      <c r="E214" s="67"/>
      <c r="F214" s="81">
        <v>0</v>
      </c>
      <c r="G214" s="81">
        <v>-29</v>
      </c>
      <c r="H214" s="80">
        <f t="shared" si="12"/>
        <v>-29</v>
      </c>
      <c r="I214" s="80">
        <f>IF(D214&lt;&gt;"",D214,IFERROR(E214/(IFERROR(SUM(Sales!C:C),0))*(IFERROR(SUM(Purchases!C:C),0)),0))</f>
        <v>0</v>
      </c>
      <c r="J214" s="80">
        <f t="shared" si="13"/>
        <v>0</v>
      </c>
      <c r="K214" s="80">
        <f t="shared" si="14"/>
        <v>0</v>
      </c>
      <c r="L214" s="66"/>
      <c r="M214" s="66"/>
      <c r="S214" s="61"/>
      <c r="T214" s="61"/>
    </row>
    <row r="215" spans="1:20" ht="15" customHeight="1">
      <c r="A215" s="69" t="s">
        <v>1059</v>
      </c>
      <c r="B215" s="69"/>
      <c r="C215" s="69"/>
      <c r="D215" s="70"/>
      <c r="E215" s="70"/>
      <c r="F215" s="79">
        <v>0</v>
      </c>
      <c r="G215" s="79">
        <v>-30</v>
      </c>
      <c r="H215" s="78">
        <f t="shared" si="12"/>
        <v>-30</v>
      </c>
      <c r="I215" s="78">
        <f>IF(D215&lt;&gt;"",D215,IFERROR(E215/(IFERROR(SUM(Sales!C:C),0))*(IFERROR(SUM(Purchases!C:C),0)),0))</f>
        <v>0</v>
      </c>
      <c r="J215" s="78">
        <f t="shared" si="13"/>
        <v>0</v>
      </c>
      <c r="K215" s="78">
        <f t="shared" si="14"/>
        <v>0</v>
      </c>
      <c r="L215" s="69"/>
      <c r="M215" s="69"/>
      <c r="S215" s="61"/>
      <c r="T215" s="61"/>
    </row>
    <row r="216" spans="1:20" ht="15" customHeight="1">
      <c r="A216" s="66" t="s">
        <v>1060</v>
      </c>
      <c r="B216" s="66"/>
      <c r="C216" s="66"/>
      <c r="D216" s="67"/>
      <c r="E216" s="67"/>
      <c r="F216" s="81">
        <v>0</v>
      </c>
      <c r="G216" s="81">
        <v>-31</v>
      </c>
      <c r="H216" s="80">
        <f t="shared" si="12"/>
        <v>-31</v>
      </c>
      <c r="I216" s="80">
        <f>IF(D216&lt;&gt;"",D216,IFERROR(E216/(IFERROR(SUM(Sales!C:C),0))*(IFERROR(SUM(Purchases!C:C),0)),0))</f>
        <v>0</v>
      </c>
      <c r="J216" s="80">
        <f t="shared" si="13"/>
        <v>0</v>
      </c>
      <c r="K216" s="80">
        <f t="shared" si="14"/>
        <v>0</v>
      </c>
      <c r="L216" s="66"/>
      <c r="M216" s="66"/>
      <c r="S216" s="61"/>
      <c r="T216" s="61"/>
    </row>
    <row r="217" spans="1:20" ht="15" customHeight="1">
      <c r="A217" s="69" t="s">
        <v>1061</v>
      </c>
      <c r="B217" s="69"/>
      <c r="C217" s="69"/>
      <c r="D217" s="70"/>
      <c r="E217" s="70"/>
      <c r="F217" s="79">
        <v>0</v>
      </c>
      <c r="G217" s="79">
        <v>-32</v>
      </c>
      <c r="H217" s="78">
        <f t="shared" si="12"/>
        <v>-32</v>
      </c>
      <c r="I217" s="78">
        <f>IF(D217&lt;&gt;"",D217,IFERROR(E217/(IFERROR(SUM(Sales!C:C),0))*(IFERROR(SUM(Purchases!C:C),0)),0))</f>
        <v>0</v>
      </c>
      <c r="J217" s="78">
        <f t="shared" si="13"/>
        <v>0</v>
      </c>
      <c r="K217" s="78">
        <f t="shared" si="14"/>
        <v>0</v>
      </c>
      <c r="L217" s="69"/>
      <c r="M217" s="69"/>
      <c r="S217" s="61"/>
      <c r="T217" s="61"/>
    </row>
    <row r="218" spans="1:20" ht="15" customHeight="1">
      <c r="A218" s="66" t="s">
        <v>1062</v>
      </c>
      <c r="B218" s="66"/>
      <c r="C218" s="66"/>
      <c r="D218" s="67"/>
      <c r="E218" s="67"/>
      <c r="F218" s="81">
        <v>0</v>
      </c>
      <c r="G218" s="81">
        <v>-33</v>
      </c>
      <c r="H218" s="80">
        <f t="shared" si="12"/>
        <v>-33</v>
      </c>
      <c r="I218" s="80">
        <f>IF(D218&lt;&gt;"",D218,IFERROR(E218/(IFERROR(SUM(Sales!C:C),0))*(IFERROR(SUM(Purchases!C:C),0)),0))</f>
        <v>0</v>
      </c>
      <c r="J218" s="80">
        <f t="shared" si="13"/>
        <v>0</v>
      </c>
      <c r="K218" s="80">
        <f t="shared" si="14"/>
        <v>0</v>
      </c>
      <c r="L218" s="66"/>
      <c r="M218" s="66"/>
      <c r="S218" s="61"/>
      <c r="T218" s="61"/>
    </row>
    <row r="219" spans="1:20" ht="15" customHeight="1">
      <c r="A219" s="69" t="s">
        <v>1063</v>
      </c>
      <c r="B219" s="66"/>
      <c r="C219" s="66"/>
      <c r="D219" s="67"/>
      <c r="E219" s="67"/>
      <c r="F219" s="79">
        <v>0</v>
      </c>
      <c r="G219" s="79">
        <v>-34</v>
      </c>
      <c r="H219" s="78">
        <f t="shared" si="12"/>
        <v>-34</v>
      </c>
      <c r="I219" s="78">
        <f>IF(D219&lt;&gt;"",D219,IFERROR(E219/(IFERROR(SUM(Sales!C:C),0))*(IFERROR(SUM(Purchases!C:C),0)),0))</f>
        <v>0</v>
      </c>
      <c r="J219" s="78">
        <f t="shared" si="13"/>
        <v>0</v>
      </c>
      <c r="K219" s="78">
        <f t="shared" si="14"/>
        <v>0</v>
      </c>
      <c r="L219" s="69"/>
      <c r="M219" s="69"/>
      <c r="S219" s="61"/>
      <c r="T219" s="61"/>
    </row>
    <row r="220" spans="1:20" ht="15" customHeight="1">
      <c r="A220" s="66" t="s">
        <v>1064</v>
      </c>
      <c r="B220" s="69"/>
      <c r="C220" s="69"/>
      <c r="D220" s="70"/>
      <c r="E220" s="70"/>
      <c r="F220" s="81">
        <v>0</v>
      </c>
      <c r="G220" s="81">
        <v>-35</v>
      </c>
      <c r="H220" s="80">
        <f t="shared" si="12"/>
        <v>-35</v>
      </c>
      <c r="I220" s="80">
        <f>IF(D220&lt;&gt;"",D220,IFERROR(E220/(IFERROR(SUM(Sales!C:C),0))*(IFERROR(SUM(Purchases!C:C),0)),0))</f>
        <v>0</v>
      </c>
      <c r="J220" s="80">
        <f t="shared" si="13"/>
        <v>0</v>
      </c>
      <c r="K220" s="80">
        <f t="shared" si="14"/>
        <v>0</v>
      </c>
      <c r="L220" s="66"/>
      <c r="M220" s="66"/>
      <c r="S220" s="61"/>
      <c r="T220" s="61"/>
    </row>
    <row r="221" spans="1:20" ht="15" customHeight="1">
      <c r="A221" s="69" t="s">
        <v>1065</v>
      </c>
      <c r="B221" s="66"/>
      <c r="C221" s="66"/>
      <c r="D221" s="67"/>
      <c r="E221" s="67"/>
      <c r="F221" s="79">
        <v>0</v>
      </c>
      <c r="G221" s="79">
        <v>-36</v>
      </c>
      <c r="H221" s="78">
        <f t="shared" si="12"/>
        <v>-36</v>
      </c>
      <c r="I221" s="78">
        <f>IF(D221&lt;&gt;"",D221,IFERROR(E221/(IFERROR(SUM(Sales!C:C),0))*(IFERROR(SUM(Purchases!C:C),0)),0))</f>
        <v>0</v>
      </c>
      <c r="J221" s="78">
        <f t="shared" si="13"/>
        <v>0</v>
      </c>
      <c r="K221" s="78">
        <f t="shared" si="14"/>
        <v>0</v>
      </c>
      <c r="L221" s="69"/>
      <c r="M221" s="69"/>
      <c r="S221" s="61"/>
      <c r="T221" s="61"/>
    </row>
    <row r="222" spans="1:20" ht="15" customHeight="1">
      <c r="A222" s="66" t="s">
        <v>1066</v>
      </c>
      <c r="B222" s="69"/>
      <c r="C222" s="69"/>
      <c r="D222" s="70"/>
      <c r="E222" s="70"/>
      <c r="F222" s="81">
        <v>0</v>
      </c>
      <c r="G222" s="81">
        <v>-37</v>
      </c>
      <c r="H222" s="80">
        <f t="shared" si="12"/>
        <v>-37</v>
      </c>
      <c r="I222" s="80">
        <f>IF(D222&lt;&gt;"",D222,IFERROR(E222/(IFERROR(SUM(Sales!C:C),0))*(IFERROR(SUM(Purchases!C:C),0)),0))</f>
        <v>0</v>
      </c>
      <c r="J222" s="80">
        <f t="shared" si="13"/>
        <v>0</v>
      </c>
      <c r="K222" s="80">
        <f t="shared" si="14"/>
        <v>0</v>
      </c>
      <c r="L222" s="66"/>
      <c r="M222" s="66"/>
      <c r="S222" s="61"/>
      <c r="T222" s="61"/>
    </row>
    <row r="223" spans="1:20" ht="15" customHeight="1">
      <c r="A223" s="69" t="s">
        <v>1067</v>
      </c>
      <c r="B223" s="66"/>
      <c r="C223" s="66"/>
      <c r="D223" s="67"/>
      <c r="E223" s="67"/>
      <c r="F223" s="79">
        <v>0</v>
      </c>
      <c r="G223" s="79">
        <v>-38</v>
      </c>
      <c r="H223" s="78">
        <f t="shared" si="12"/>
        <v>-38</v>
      </c>
      <c r="I223" s="78">
        <f>IF(D223&lt;&gt;"",D223,IFERROR(E223/(IFERROR(SUM(Sales!C:C),0))*(IFERROR(SUM(Purchases!C:C),0)),0))</f>
        <v>0</v>
      </c>
      <c r="J223" s="78">
        <f t="shared" si="13"/>
        <v>0</v>
      </c>
      <c r="K223" s="78">
        <f t="shared" si="14"/>
        <v>0</v>
      </c>
      <c r="L223" s="69"/>
      <c r="M223" s="69"/>
      <c r="S223" s="61"/>
      <c r="T223" s="61"/>
    </row>
    <row r="224" spans="1:20" ht="15" customHeight="1">
      <c r="A224" s="66" t="s">
        <v>1068</v>
      </c>
      <c r="B224" s="66"/>
      <c r="C224" s="66"/>
      <c r="D224" s="67"/>
      <c r="E224" s="67"/>
      <c r="F224" s="81">
        <v>0</v>
      </c>
      <c r="G224" s="81">
        <v>-39</v>
      </c>
      <c r="H224" s="80">
        <f t="shared" si="12"/>
        <v>-39</v>
      </c>
      <c r="I224" s="80">
        <f>IF(D224&lt;&gt;"",D224,IFERROR(E224/(IFERROR(SUM(Sales!C:C),0))*(IFERROR(SUM(Purchases!C:C),0)),0))</f>
        <v>0</v>
      </c>
      <c r="J224" s="80">
        <f t="shared" si="13"/>
        <v>0</v>
      </c>
      <c r="K224" s="80">
        <f t="shared" si="14"/>
        <v>0</v>
      </c>
      <c r="L224" s="66"/>
      <c r="M224" s="66"/>
      <c r="S224" s="61"/>
      <c r="T224" s="61"/>
    </row>
    <row r="225" spans="1:20" ht="15" customHeight="1">
      <c r="A225" s="69" t="s">
        <v>1069</v>
      </c>
      <c r="B225" s="69"/>
      <c r="C225" s="69"/>
      <c r="D225" s="70"/>
      <c r="E225" s="70"/>
      <c r="F225" s="79">
        <v>0</v>
      </c>
      <c r="G225" s="79">
        <v>-40</v>
      </c>
      <c r="H225" s="78">
        <f t="shared" si="12"/>
        <v>-40</v>
      </c>
      <c r="I225" s="78">
        <f>IF(D225&lt;&gt;"",D225,IFERROR(E225/(IFERROR(SUM(Sales!C:C),0))*(IFERROR(SUM(Purchases!C:C),0)),0))</f>
        <v>0</v>
      </c>
      <c r="J225" s="78">
        <f t="shared" si="13"/>
        <v>0</v>
      </c>
      <c r="K225" s="78">
        <f t="shared" si="14"/>
        <v>0</v>
      </c>
      <c r="L225" s="69"/>
      <c r="M225" s="69"/>
      <c r="S225" s="61"/>
      <c r="T225" s="61"/>
    </row>
    <row r="226" spans="1:20" ht="15" customHeight="1">
      <c r="A226" s="66" t="s">
        <v>1070</v>
      </c>
      <c r="B226" s="66"/>
      <c r="C226" s="66"/>
      <c r="D226" s="67"/>
      <c r="E226" s="67"/>
      <c r="F226" s="81">
        <v>0</v>
      </c>
      <c r="G226" s="81">
        <v>-41</v>
      </c>
      <c r="H226" s="80">
        <f t="shared" si="12"/>
        <v>-41</v>
      </c>
      <c r="I226" s="80">
        <f>IF(D226&lt;&gt;"",D226,IFERROR(E226/(IFERROR(SUM(Sales!C:C),0))*(IFERROR(SUM(Purchases!C:C),0)),0))</f>
        <v>0</v>
      </c>
      <c r="J226" s="80">
        <f t="shared" si="13"/>
        <v>0</v>
      </c>
      <c r="K226" s="80">
        <f t="shared" si="14"/>
        <v>0</v>
      </c>
      <c r="L226" s="66"/>
      <c r="S226" s="61"/>
      <c r="T226" s="61"/>
    </row>
    <row r="227" spans="1:20">
      <c r="S227" s="61"/>
      <c r="T227" s="61"/>
    </row>
    <row r="228" spans="1:20">
      <c r="S228" s="61"/>
      <c r="T228" s="61"/>
    </row>
    <row r="229" spans="1:20">
      <c r="S229" s="61"/>
      <c r="T229" s="61"/>
    </row>
    <row r="230" spans="1:20">
      <c r="S230" s="61"/>
      <c r="T230" s="61"/>
    </row>
    <row r="231" spans="1:20">
      <c r="S231" s="61"/>
      <c r="T231" s="61"/>
    </row>
    <row r="232" spans="1:20">
      <c r="S232" s="61"/>
      <c r="T232" s="61"/>
    </row>
    <row r="233" spans="1:20">
      <c r="S233" s="61"/>
      <c r="T233" s="61"/>
    </row>
    <row r="234" spans="1:20">
      <c r="S234" s="61"/>
      <c r="T234" s="61"/>
    </row>
    <row r="235" spans="1:20">
      <c r="S235" s="61"/>
      <c r="T235" s="61"/>
    </row>
    <row r="236" spans="1:20">
      <c r="S236" s="61"/>
      <c r="T236" s="61"/>
    </row>
    <row r="237" spans="1:20">
      <c r="S237" s="61"/>
      <c r="T237" s="61"/>
    </row>
    <row r="238" spans="1:20">
      <c r="S238" s="61"/>
      <c r="T238" s="61"/>
    </row>
    <row r="239" spans="1:20">
      <c r="S239" s="61"/>
      <c r="T239" s="61"/>
    </row>
    <row r="240" spans="1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1071</v>
      </c>
      <c r="B1" s="95"/>
    </row>
    <row r="2" spans="1:8" ht="13.5" customHeight="1">
      <c r="A2" s="8" t="s">
        <v>42</v>
      </c>
      <c r="B2" s="8" t="s">
        <v>1072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1073</v>
      </c>
      <c r="C7" s="86" t="s">
        <v>1074</v>
      </c>
      <c r="D7" s="86" t="s">
        <v>1075</v>
      </c>
      <c r="E7" s="86" t="s">
        <v>1076</v>
      </c>
      <c r="F7" s="86" t="s">
        <v>1077</v>
      </c>
      <c r="G7" s="86" t="s">
        <v>1078</v>
      </c>
      <c r="H7" s="86" t="s">
        <v>1079</v>
      </c>
    </row>
    <row r="8" spans="1:8" ht="13.5" customHeight="1">
      <c r="A8" s="9" t="s">
        <v>49</v>
      </c>
      <c r="B8" s="9">
        <f>IFERROR(SUMIF(Purchases!$B:$B,$A8,Purchases!$C:$C),0)</f>
        <v>213210</v>
      </c>
      <c r="C8" s="9">
        <f>SUM($B$8:$B$10)/3</f>
        <v>151382.33333333334</v>
      </c>
      <c r="D8" s="9">
        <f>B8-C8</f>
        <v>61827.666666666657</v>
      </c>
      <c r="E8" s="9">
        <f>IF(Summary!$B$6&gt;0, Summary!$B$6*VLOOKUP($A8,$A$3:$B$5,2,FALSE()),0)</f>
        <v>0</v>
      </c>
      <c r="F8" s="9">
        <f>D8+E8</f>
        <v>61827.666666666657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43524.32666666666</v>
      </c>
    </row>
    <row r="9" spans="1:8" ht="13.5" customHeight="1">
      <c r="A9" s="11" t="s">
        <v>50</v>
      </c>
      <c r="B9" s="11">
        <f>IFERROR(SUMIF(Purchases!$B:$B,$A9,Purchases!$C:$C),0)</f>
        <v>208337</v>
      </c>
      <c r="C9" s="11">
        <f>SUM($B$8:$B$10)/3</f>
        <v>151382.33333333334</v>
      </c>
      <c r="D9" s="11">
        <f>B9-C9</f>
        <v>56954.666666666657</v>
      </c>
      <c r="E9" s="11">
        <f>IF(Summary!$B$6&gt;0, Summary!$B$6*VLOOKUP($A9,$A$3:$B$5,2,FALSE()),0)</f>
        <v>0</v>
      </c>
      <c r="F9" s="11">
        <f>D9+E9</f>
        <v>56954.666666666657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15315.336666666655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151382.33333333334</v>
      </c>
      <c r="D10" s="9">
        <f>B10-C10</f>
        <v>-118782.33333333334</v>
      </c>
      <c r="E10" s="9">
        <f>IF(Summary!$B$6&gt;0, Summary!$B$6*VLOOKUP($A10,$A$3:$B$5,2,FALSE()),0)</f>
        <v>0</v>
      </c>
      <c r="F10" s="9">
        <f>D10+E10</f>
        <v>-118782.33333333334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-58839.663333333345</v>
      </c>
    </row>
    <row r="12" spans="1:8" s="90" customFormat="1" ht="15.75" customHeight="1">
      <c r="A12" s="96" t="s">
        <v>1080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1081</v>
      </c>
      <c r="C13" s="86" t="s">
        <v>1082</v>
      </c>
      <c r="D13" s="86" t="s">
        <v>1083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1084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1084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150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150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1084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1084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1084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1084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1084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150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1084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150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1084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1084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150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150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1085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1086</v>
      </c>
    </row>
    <row r="3" spans="1:7" s="87" customFormat="1" ht="13.5" customHeight="1">
      <c r="A3" s="86" t="s">
        <v>42</v>
      </c>
      <c r="B3" s="86" t="s">
        <v>1087</v>
      </c>
      <c r="C3" s="86" t="s">
        <v>1072</v>
      </c>
      <c r="D3" s="86" t="s">
        <v>1088</v>
      </c>
      <c r="E3" s="86" t="s">
        <v>1089</v>
      </c>
      <c r="F3" s="86" t="s">
        <v>1090</v>
      </c>
      <c r="G3" s="86" t="s">
        <v>1091</v>
      </c>
    </row>
    <row r="4" spans="1:7" ht="13.5" customHeight="1">
      <c r="A4" s="9" t="s">
        <v>49</v>
      </c>
      <c r="B4" s="9">
        <f>IFERROR(SUMIFS(Sales!$C:$C,Sales!$E:$E,$A4,Sales!$I:$I,"Completed"),0)</f>
        <v>352483</v>
      </c>
      <c r="C4" s="9">
        <f>VLOOKUP($A4,PartnerShares!$A$3:$B$5,2,FALSE())</f>
        <v>0.33339999999999997</v>
      </c>
      <c r="D4" s="9">
        <f>Summary!$B$4*C4</f>
        <v>139906.97579999999</v>
      </c>
      <c r="E4" s="9">
        <f>B4-D4</f>
        <v>212576.02420000001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75265.998200000002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139823.0484</v>
      </c>
      <c r="E5" s="11">
        <f>B5-D5</f>
        <v>-85199.0484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-13612.006399999998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139906.97579999999</v>
      </c>
      <c r="E6" s="9">
        <f>B6-D6</f>
        <v>-127376.97579999999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-61653.991799999974</v>
      </c>
    </row>
    <row r="9" spans="1:7" ht="13.5" customHeight="1">
      <c r="A9" s="6" t="s">
        <v>0</v>
      </c>
    </row>
    <row r="10" spans="1:7" ht="13.5" customHeight="1">
      <c r="A10" s="6" t="s">
        <v>1092</v>
      </c>
    </row>
    <row r="11" spans="1:7" ht="13.5" customHeight="1">
      <c r="A11" s="6" t="s">
        <v>1093</v>
      </c>
    </row>
    <row r="12" spans="1:7" ht="13.5" customHeight="1">
      <c r="A12" s="6" t="s">
        <v>1094</v>
      </c>
    </row>
    <row r="13" spans="1:7" ht="13.5" customHeight="1">
      <c r="A13" s="6" t="s">
        <v>1095</v>
      </c>
    </row>
    <row r="14" spans="1:7" ht="13.5" customHeight="1">
      <c r="A14" s="6" t="s">
        <v>1096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2026-07-02T04:25:17Z</dcterms:modified>
  <dc:language>en-US</dc:language>
</cp:coreProperties>
</file>