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785E3F12-4497-1348-8408-FA40268A10B0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3" i="6" l="1"/>
  <c r="J183" i="6" s="1"/>
  <c r="H184" i="6"/>
  <c r="I184" i="6"/>
  <c r="J184" i="6" s="1"/>
  <c r="H185" i="6"/>
  <c r="I185" i="6"/>
  <c r="J185" i="6" s="1"/>
  <c r="H186" i="6"/>
  <c r="I186" i="6"/>
  <c r="J186" i="6" s="1"/>
  <c r="H187" i="6"/>
  <c r="I187" i="6"/>
  <c r="J187" i="6" s="1"/>
  <c r="H188" i="6"/>
  <c r="I188" i="6"/>
  <c r="J188" i="6" s="1"/>
  <c r="H189" i="6"/>
  <c r="I189" i="6"/>
  <c r="J189" i="6" s="1"/>
  <c r="H190" i="6"/>
  <c r="I190" i="6"/>
  <c r="J190" i="6" s="1"/>
  <c r="H191" i="6"/>
  <c r="I191" i="6"/>
  <c r="J191" i="6" s="1"/>
  <c r="H192" i="6"/>
  <c r="I192" i="6"/>
  <c r="J192" i="6" s="1"/>
  <c r="H193" i="6"/>
  <c r="I193" i="6"/>
  <c r="J193" i="6" s="1"/>
  <c r="H194" i="6"/>
  <c r="I194" i="6"/>
  <c r="J194" i="6" s="1"/>
  <c r="H195" i="6"/>
  <c r="I195" i="6"/>
  <c r="J195" i="6" s="1"/>
  <c r="H196" i="6"/>
  <c r="I196" i="6"/>
  <c r="J196" i="6" s="1"/>
  <c r="H197" i="6"/>
  <c r="I197" i="6"/>
  <c r="J197" i="6" s="1"/>
  <c r="H198" i="6"/>
  <c r="I198" i="6"/>
  <c r="J198" i="6" s="1"/>
  <c r="H199" i="6"/>
  <c r="I199" i="6"/>
  <c r="J199" i="6" s="1"/>
  <c r="H200" i="6"/>
  <c r="I200" i="6"/>
  <c r="J200" i="6" s="1"/>
  <c r="H201" i="6"/>
  <c r="I201" i="6"/>
  <c r="J201" i="6" s="1"/>
  <c r="H202" i="6"/>
  <c r="I202" i="6"/>
  <c r="J202" i="6" s="1"/>
  <c r="H203" i="6"/>
  <c r="I203" i="6"/>
  <c r="J203" i="6" s="1"/>
  <c r="H204" i="6"/>
  <c r="I204" i="6"/>
  <c r="J204" i="6" s="1"/>
  <c r="H205" i="6"/>
  <c r="I205" i="6"/>
  <c r="J205" i="6" s="1"/>
  <c r="H206" i="6"/>
  <c r="I206" i="6"/>
  <c r="J206" i="6" s="1"/>
  <c r="H207" i="6"/>
  <c r="I207" i="6"/>
  <c r="J207" i="6" s="1"/>
  <c r="H208" i="6"/>
  <c r="I208" i="6"/>
  <c r="J208" i="6" s="1"/>
  <c r="H209" i="6"/>
  <c r="I209" i="6"/>
  <c r="J209" i="6" s="1"/>
  <c r="H210" i="6"/>
  <c r="I210" i="6"/>
  <c r="J210" i="6" s="1"/>
  <c r="H211" i="6"/>
  <c r="I211" i="6"/>
  <c r="J211" i="6" s="1"/>
  <c r="H212" i="6"/>
  <c r="I212" i="6"/>
  <c r="J212" i="6" s="1"/>
  <c r="H213" i="6"/>
  <c r="I213" i="6"/>
  <c r="J213" i="6" s="1"/>
  <c r="H214" i="6"/>
  <c r="I214" i="6"/>
  <c r="J214" i="6" s="1"/>
  <c r="H215" i="6"/>
  <c r="I215" i="6"/>
  <c r="J215" i="6" s="1"/>
  <c r="H216" i="6"/>
  <c r="I216" i="6"/>
  <c r="J216" i="6" s="1"/>
  <c r="H217" i="6"/>
  <c r="I217" i="6"/>
  <c r="J217" i="6" s="1"/>
  <c r="H218" i="6"/>
  <c r="I218" i="6"/>
  <c r="J218" i="6" s="1"/>
  <c r="H219" i="6"/>
  <c r="I219" i="6"/>
  <c r="J219" i="6" s="1"/>
  <c r="H220" i="6"/>
  <c r="I220" i="6"/>
  <c r="J220" i="6" s="1"/>
  <c r="H221" i="6"/>
  <c r="I221" i="6"/>
  <c r="J221" i="6" s="1"/>
  <c r="H222" i="6"/>
  <c r="I222" i="6"/>
  <c r="J222" i="6" s="1"/>
  <c r="H223" i="6"/>
  <c r="I223" i="6"/>
  <c r="J223" i="6" s="1"/>
  <c r="H224" i="6"/>
  <c r="I224" i="6"/>
  <c r="J224" i="6" s="1"/>
  <c r="H225" i="6"/>
  <c r="I225" i="6"/>
  <c r="J225" i="6" s="1"/>
  <c r="H226" i="6"/>
  <c r="I226" i="6"/>
  <c r="J226" i="6" s="1"/>
  <c r="H181" i="6"/>
  <c r="I181" i="6"/>
  <c r="J181" i="6" s="1"/>
  <c r="H182" i="6"/>
  <c r="I182" i="6"/>
  <c r="J182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K186" i="6" l="1"/>
  <c r="K190" i="6"/>
  <c r="K226" i="6"/>
  <c r="K224" i="6"/>
  <c r="K222" i="6"/>
  <c r="K220" i="6"/>
  <c r="K218" i="6"/>
  <c r="K216" i="6"/>
  <c r="K214" i="6"/>
  <c r="K212" i="6"/>
  <c r="K210" i="6"/>
  <c r="K208" i="6"/>
  <c r="K206" i="6"/>
  <c r="K204" i="6"/>
  <c r="K202" i="6"/>
  <c r="K200" i="6"/>
  <c r="K198" i="6"/>
  <c r="K196" i="6"/>
  <c r="K194" i="6"/>
  <c r="K192" i="6"/>
  <c r="K188" i="6"/>
  <c r="K184" i="6"/>
  <c r="K225" i="6"/>
  <c r="K223" i="6"/>
  <c r="K221" i="6"/>
  <c r="K219" i="6"/>
  <c r="K217" i="6"/>
  <c r="K215" i="6"/>
  <c r="K213" i="6"/>
  <c r="K211" i="6"/>
  <c r="K209" i="6"/>
  <c r="K207" i="6"/>
  <c r="K205" i="6"/>
  <c r="K203" i="6"/>
  <c r="K201" i="6"/>
  <c r="K199" i="6"/>
  <c r="K197" i="6"/>
  <c r="K195" i="6"/>
  <c r="K193" i="6"/>
  <c r="K191" i="6"/>
  <c r="K189" i="6"/>
  <c r="K187" i="6"/>
  <c r="K185" i="6"/>
  <c r="K183" i="6"/>
  <c r="K181" i="6"/>
  <c r="K182" i="6"/>
  <c r="B6" i="2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B7" i="2" l="1"/>
  <c r="E10" i="7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<sst xmlns="http://schemas.openxmlformats.org/spreadsheetml/2006/main" count="2768" uniqueCount="1111">
  <si>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</si>
  <si>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</si>
  <si>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</si>
  <si>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</si>
  <si>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</si>
  <si>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</si>
  <si>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</si>
  <si>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</si>
  <si>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</si>
  <si>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</si>
  <si>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</si>
  <si>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</si>
  <si>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</si>
  <si>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</si>
  <si>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</si>
  <si>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</si>
  <si>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</si>
  <si>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</si>
  <si>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</si>
  <si>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</si>
  <si>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</si>
  <si>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</si>
  <si>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</si>
  <si>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</si>
  <si>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</si>
  <si>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</si>
  <si>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</si>
  <si>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</si>
  <si>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</si>
  <si>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</si>
  <si>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</si>
  <si>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</si>
  <si>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</si>
  <si>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</si>
  <si>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</si>
  <si>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</si>
  <si>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</si>
  <si>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</si>
  <si>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</si>
  <si>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</si>
  <si>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</si>
  <si>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</si>
  <si>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</si>
  <si>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</si>
  <si>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</si>
  <si>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</si>
  <si>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</si>
  <si>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</si>
  <si>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</si>
  <si>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</si>
  <si>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</si>
  <si>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</si>
  <si>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</si>
  <si>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</si>
  <si>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</si>
  <si>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</si>
  <si>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</si>
  <si>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</si>
  <si>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</si>
  <si>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</si>
  <si>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</si>
  <si>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</si>
  <si>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</si>
  <si>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</si>
  <si>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</si>
  <si>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</si>
  <si>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</si>
  <si>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</si>
  <si>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</si>
  <si>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</si>
  <si>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</si>
  <si>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</si>
  <si>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</si>
  <si>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</si>
  <si>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</si>
  <si>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</si>
  <si>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</si>
  <si>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</si>
  <si>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</si>
  <si>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</si>
  <si>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</si>
  <si>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</si>
  <si>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</si>
  <si>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</si>
  <si>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</si>
  <si>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</si>
  <si>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</si>
  <si>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</si>
  <si>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</si>
  <si>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</si>
  <si>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</si>
  <si>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</si>
  <si>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</si>
  <si>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</si>
  <si>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</si>
  <si>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</si>
  <si>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</si>
  <si>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</si>
  <si>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</si>
  <si>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</si>
  <si>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</si>
  <si>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</si>
  <si>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</si>
  <si>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</si>
  <si>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</si>
  <si>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</si>
  <si>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</si>
  <si>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</si>
  <si>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</si>
  <si>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</si>
  <si>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</si>
  <si>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</si>
  <si>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</si>
  <si>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</si>
  <si>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</si>
  <si>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</si>
  <si>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</si>
  <si>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</si>
  <si>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</si>
  <si>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</si>
  <si>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</si>
  <si>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</si>
  <si>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</si>
  <si>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</si>
  <si>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</si>
  <si>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</si>
  <si>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</si>
  <si>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</si>
  <si>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</si>
  <si>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</si>
  <si>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</si>
  <si>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</si>
  <si>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</si>
  <si>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</si>
  <si>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</si>
  <si>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</si>
  <si>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</si>
  <si>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</si>
  <si>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</si>
  <si>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</si>
  <si>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</si>
  <si>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</si>
  <si>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</si>
  <si>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</si>
  <si>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</si>
  <si>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</si>
  <si>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</si>
  <si>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</si>
  <si>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</si>
  <si>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</si>
  <si>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</si>
  <si>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</si>
  <si>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</si>
  <si>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</si>
  <si>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</si>
  <si>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</si>
  <si>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</si>
  <si>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</si>
  <si>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</si>
  <si>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</si>
  <si>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</si>
  <si>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</si>
  <si>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</si>
  <si>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</si>
  <si>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</si>
  <si>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</si>
  <si>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</si>
  <si>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</si>
  <si>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</si>
  <si>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</si>
  <si>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</si>
  <si>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</si>
  <si>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</si>
  <si>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</si>
  <si>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</si>
  <si>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</si>
  <si>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</si>
  <si>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</si>
  <si>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</si>
  <si>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</si>
  <si>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</si>
  <si>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</si>
  <si>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</si>
  <si>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</si>
  <si>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</si>
  <si>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</si>
  <si>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</si>
  <si>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</si>
  <si>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</si>
  <si>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</si>
  <si>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</si>
  <si>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</si>
  <si>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</si>
  <si>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</si>
  <si>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</si>
  <si>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</si>
  <si>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</si>
  <si>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</si>
  <si>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</si>
  <si>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</si>
  <si>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</si>
  <si>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</si>
  <si>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</si>
  <si>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</si>
  <si>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</si>
  <si>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</si>
  <si>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</si>
  <si>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</si>
  <si>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</si>
  <si>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</si>
  <si>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</si>
  <si>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</si>
  <si>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</si>
  <si>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</si>
  <si>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</si>
  <si>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</si>
  <si>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</si>
  <si>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</si>
  <si>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</si>
  <si>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</si>
  <si>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</si>
  <si>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</si>
  <si>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</si>
  <si>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</si>
  <si>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</si>
  <si>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</si>
  <si>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</si>
  <si>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</si>
  <si>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</si>
  <si>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</si>
  <si>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</si>
  <si>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</si>
  <si>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</si>
  <si>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</si>
  <si>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</si>
  <si>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</si>
  <si>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</si>
  <si>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</si>
  <si>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</si>
  <si>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</si>
  <si>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</si>
  <si>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</si>
  <si>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</si>
  <si>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</si>
  <si>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</si>
  <si>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</si>
  <si>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</si>
  <si>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</si>
  <si>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</si>
  <si>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</si>
  <si>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</si>
  <si>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</si>
  <si>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</si>
  <si>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</si>
  <si>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</si>
  <si>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</si>
  <si>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</si>
  <si>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</si>
  <si>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</si>
  <si>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</si>
  <si>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</si>
  <si>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</si>
  <si>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</si>
  <si>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</si>
  <si>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</si>
  <si>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</si>
  <si>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</si>
  <si>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</si>
  <si>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</si>
  <si>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</si>
  <si>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</si>
  <si>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</si>
  <si>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</si>
  <si>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</si>
  <si>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</si>
  <si>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</si>
  <si>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</si>
  <si>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</si>
  <si>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</si>
  <si>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</si>
  <si>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</si>
  <si>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</si>
  <si>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</si>
  <si>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</si>
  <si>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</si>
  <si>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</si>
  <si>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</si>
  <si>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</si>
  <si>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</si>
  <si>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</si>
  <si>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</si>
  <si>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</si>
  <si>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</si>
  <si>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</si>
  <si>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</si>
  <si>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</si>
  <si>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</si>
  <si>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</si>
  <si>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</si>
  <si>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</si>
  <si>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</si>
  <si>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</si>
  <si>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</si>
  <si>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</si>
  <si>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</si>
  <si>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</si>
  <si>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</si>
  <si>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</si>
  <si>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</si>
  <si>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</si>
  <si>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</si>
  <si>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</si>
  <si>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</si>
  <si>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</si>
  <si>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</si>
  <si>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</si>
  <si>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</si>
  <si>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</si>
  <si>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</si>
  <si>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</si>
  <si>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</si>
  <si>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</si>
  <si>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</si>
  <si>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</si>
  <si>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</si>
  <si>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</si>
  <si>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</si>
  <si>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</si>
  <si>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</si>
  <si>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</si>
  <si>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</si>
  <si>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</si>
  <si>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</si>
  <si>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</si>
  <si>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</si>
  <si>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</si>
  <si>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</si>
  <si>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</si>
  <si>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</si>
  <si>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</si>
  <si>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</si>
  <si>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</si>
  <si>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</si>
  <si>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</si>
  <si>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</si>
  <si>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</si>
  <si>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</si>
  <si>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</si>
  <si>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</si>
  <si>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</si>
  <si>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</si>
  <si>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</si>
  <si>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</si>
  <si>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</si>
  <si>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</si>
  <si>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</si>
  <si>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</si>
  <si>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</si>
  <si>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</si>
  <si>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</si>
  <si>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</si>
  <si>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</si>
  <si>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</si>
  <si>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</si>
  <si>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</si>
  <si>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</si>
  <si>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</si>
  <si>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</si>
  <si>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</si>
  <si>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</si>
  <si>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</si>
  <si>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</si>
  <si>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</si>
  <si>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</si>
  <si>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</si>
  <si>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</si>
  <si>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</si>
  <si>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</si>
  <si>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</si>
  <si>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</si>
  <si>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</si>
  <si>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</si>
  <si>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</si>
  <si>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</si>
  <si>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</si>
  <si>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</si>
  <si>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</si>
  <si>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</si>
  <si>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</si>
  <si>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</si>
  <si>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</si>
  <si>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</si>
  <si>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</si>
  <si>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</si>
  <si>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</si>
  <si>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</si>
  <si>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</si>
  <si>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</si>
  <si>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</si>
  <si>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</si>
  <si>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</si>
  <si>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</si>
  <si>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</si>
  <si>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</si>
  <si>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</si>
  <si>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</si>
  <si>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</si>
  <si>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</si>
  <si>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</si>
  <si>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</si>
  <si>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</si>
  <si>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</si>
  <si>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</si>
  <si>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</si>
  <si>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</si>
  <si>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</si>
  <si>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</si>
  <si>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</si>
  <si>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</si>
  <si>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</si>
  <si>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</si>
  <si>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</si>
  <si>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</si>
  <si>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</si>
  <si>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</si>
  <si>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</si>
  <si>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</si>
  <si>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</si>
  <si>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</si>
  <si>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</si>
  <si>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</si>
  <si>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</si>
  <si>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</si>
  <si>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</si>
  <si>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</si>
  <si>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</si>
  <si>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</si>
  <si>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</si>
  <si>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</si>
  <si>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</si>
  <si>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</si>
  <si>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</si>
  <si>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</si>
  <si>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</si>
  <si>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</si>
  <si>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</si>
  <si>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</si>
  <si>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</si>
  <si>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</si>
  <si>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</si>
  <si>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</si>
  <si>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</si>
  <si>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</si>
  <si>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</si>
  <si>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</si>
  <si>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</si>
  <si>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</si>
  <si>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</si>
  <si>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</si>
  <si>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</si>
  <si>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</si>
  <si>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</si>
  <si>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</si>
  <si>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</si>
  <si>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</si>
  <si>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</si>
  <si>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</si>
  <si>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</si>
  <si>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</si>
  <si>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</si>
  <si>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</si>
  <si>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</si>
  <si>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</si>
  <si>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</si>
  <si>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</si>
  <si>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</si>
  <si>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</si>
  <si>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</si>
  <si>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</si>
  <si>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</si>
  <si>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</si>
  <si>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</si>
  <si>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</si>
  <si>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</si>
  <si>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</si>
  <si>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</si>
  <si>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</si>
  <si>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</si>
  <si>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</si>
  <si>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</si>
  <si>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</si>
  <si>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</si>
  <si>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</si>
  <si>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</si>
  <si>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</si>
  <si>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</si>
  <si>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</si>
  <si>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</si>
  <si>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</si>
  <si>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</si>
  <si>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</si>
  <si>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</si>
  <si>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</si>
  <si>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</si>
  <si>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</si>
  <si>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</si>
  <si>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</si>
  <si>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</si>
  <si>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</si>
  <si>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</si>
  <si>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</si>
  <si>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</si>
  <si>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</si>
  <si>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</si>
  <si>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</si>
  <si>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</si>
  <si>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</si>
  <si>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</si>
  <si>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</si>
  <si>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</si>
  <si>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</si>
  <si>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</si>
  <si>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</si>
  <si>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</si>
  <si>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</si>
  <si>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</si>
  <si>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</si>
  <si>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</si>
  <si>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</si>
  <si>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</si>
  <si>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</si>
  <si>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</si>
  <si>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</si>
  <si>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</si>
  <si>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</si>
  <si>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</si>
  <si>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</si>
  <si>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</si>
  <si>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</si>
  <si>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</si>
  <si>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</si>
  <si>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</si>
  <si>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</si>
  <si>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</si>
  <si>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</si>
  <si>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</si>
  <si>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</si>
  <si>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</si>
  <si>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</si>
  <si>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</si>
  <si>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</si>
  <si>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</si>
  <si>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</si>
  <si>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</si>
  <si>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</si>
  <si>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</si>
  <si>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</si>
  <si>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</si>
  <si>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</si>
  <si>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</si>
  <si>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</si>
  <si>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</si>
  <si>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</si>
  <si>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</si>
  <si>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</si>
  <si>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</si>
  <si>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</si>
  <si>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</si>
  <si>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</si>
  <si>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</si>
  <si>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</si>
  <si>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</si>
  <si>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</si>
  <si>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</si>
  <si>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</si>
  <si>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</si>
  <si>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</si>
  <si>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</si>
  <si>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</si>
  <si>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</si>
  <si>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</si>
  <si>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</si>
  <si>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</si>
  <si>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</si>
  <si>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</si>
  <si>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</si>
  <si>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</si>
  <si>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</si>
  <si>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</si>
  <si>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</si>
  <si>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</si>
  <si>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</si>
  <si>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</si>
  <si>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</si>
  <si>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</si>
  <si>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</si>
  <si>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</si>
  <si>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</si>
  <si>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</si>
  <si>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</si>
  <si>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</si>
  <si>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</si>
  <si>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</si>
  <si>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</si>
  <si>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</si>
  <si>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</si>
  <si>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</si>
  <si>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</si>
  <si>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</si>
  <si>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</si>
  <si>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</si>
  <si>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</si>
  <si>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</si>
  <si>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</si>
  <si>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</si>
  <si>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</si>
  <si>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</si>
  <si>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</si>
  <si>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</si>
  <si>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</si>
  <si>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</si>
  <si>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</si>
  <si>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</si>
  <si>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</si>
  <si>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</si>
  <si>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</si>
  <si>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</si>
  <si>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</si>
  <si>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</si>
  <si>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</si>
  <si>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</si>
  <si>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</si>
  <si>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</si>
  <si>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</si>
  <si>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</si>
  <si>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</si>
  <si>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</si>
  <si>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</si>
  <si>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</si>
  <si>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</si>
  <si>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</si>
  <si>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</si>
  <si>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</si>
  <si>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</si>
  <si>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</si>
  <si>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</si>
  <si>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</si>
  <si>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</si>
  <si>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</si>
  <si>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</si>
  <si>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</si>
  <si>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</si>
  <si>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</si>
  <si>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</si>
  <si>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</si>
  <si>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</si>
  <si>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</si>
  <si>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</si>
  <si>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</si>
  <si>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</si>
  <si>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</si>
  <si>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</si>
  <si>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</si>
  <si>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</si>
  <si>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</si>
  <si>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</si>
  <si>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</si>
  <si>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</si>
  <si>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</si>
  <si>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</si>
  <si>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</si>
  <si>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</si>
  <si>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</si>
  <si>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</si>
  <si>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</si>
  <si>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</si>
  <si>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</si>
  <si>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</si>
  <si>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</si>
  <si>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</si>
  <si>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</si>
  <si>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</si>
  <si>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</si>
  <si>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</si>
  <si>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</si>
  <si>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</si>
  <si>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</si>
  <si>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</si>
  <si>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</si>
  <si>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</si>
  <si>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</si>
  <si>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</si>
  <si>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</si>
  <si>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</si>
  <si>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</si>
  <si>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</si>
  <si>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</si>
  <si>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</si>
  <si>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</si>
  <si>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</si>
  <si>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</si>
  <si>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</si>
  <si>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</si>
  <si>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</si>
  <si>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</si>
  <si>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</si>
  <si>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</si>
  <si>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</si>
  <si>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</si>
  <si>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</si>
  <si>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</si>
  <si>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</si>
  <si>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</si>
  <si>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</si>
  <si>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</si>
  <si>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</si>
  <si>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</si>
  <si>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</si>
  <si>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</si>
  <si>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</si>
  <si>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</si>
  <si>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</si>
  <si>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</si>
  <si>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</si>
  <si>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</si>
  <si>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</si>
  <si>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</si>
  <si>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</si>
  <si>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</si>
  <si>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</si>
  <si>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</si>
  <si>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</si>
  <si>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</si>
  <si>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</si>
  <si>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</si>
  <si>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</si>
  <si>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</si>
  <si>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</si>
  <si>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</si>
  <si>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</si>
  <si>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</si>
  <si>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</si>
  <si>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</si>
  <si>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</si>
  <si>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</si>
  <si>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</si>
  <si>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</si>
  <si>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</si>
  <si>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</si>
  <si>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</si>
  <si>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</si>
  <si>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</si>
  <si>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</si>
  <si>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</si>
  <si>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</si>
  <si>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</si>
  <si>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</si>
  <si>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</si>
  <si>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</si>
  <si>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</si>
  <si>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</si>
  <si>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</si>
  <si>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</si>
  <si>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</si>
  <si>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</si>
  <si>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</si>
  <si>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</si>
  <si>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</si>
  <si>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</si>
  <si>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</si>
  <si>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</si>
  <si>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</si>
  <si>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</si>
  <si>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</si>
  <si>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</si>
  <si>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</si>
  <si>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</si>
  <si>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</si>
  <si>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</si>
  <si>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</si>
  <si>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</si>
  <si>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</si>
  <si>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</si>
  <si>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</si>
  <si>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</si>
  <si>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</si>
  <si>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</si>
  <si>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</si>
  <si>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</si>
  <si>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</si>
  <si>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</si>
  <si>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</si>
  <si>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</si>
  <si>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</si>
  <si>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</si>
  <si>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</si>
  <si>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</si>
  <si>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</si>
  <si>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</si>
  <si>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</si>
  <si>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</si>
  <si>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</si>
  <si>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</si>
  <si>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</si>
  <si>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</si>
  <si>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</si>
  <si>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</si>
  <si>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</si>
  <si>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</si>
  <si>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</si>
  <si>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</si>
  <si>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</si>
  <si>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</si>
  <si>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</si>
  <si>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</si>
  <si>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</si>
  <si>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</si>
  <si>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</si>
  <si>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</si>
  <si>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</si>
  <si>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</si>
  <si>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</si>
  <si>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</si>
  <si>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</si>
  <si>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</si>
  <si>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</si>
  <si>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</si>
  <si>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</si>
  <si>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</si>
  <si>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</si>
  <si>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</si>
  <si>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</si>
  <si>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</si>
  <si>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</si>
  <si>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</si>
  <si>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</si>
  <si>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</si>
  <si>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</si>
  <si>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</si>
  <si>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</si>
  <si>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</si>
  <si>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</si>
  <si>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</si>
  <si>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</si>
  <si>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</si>
  <si>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</si>
  <si>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</si>
  <si>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</si>
  <si>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</si>
  <si>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</si>
  <si>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</si>
  <si>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</si>
  <si>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</si>
  <si>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</si>
  <si>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</si>
  <si>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</si>
  <si>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</si>
  <si>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</si>
  <si>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</si>
  <si>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</si>
  <si>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</si>
  <si>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</si>
  <si>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</si>
  <si>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</si>
  <si>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</si>
  <si>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</si>
  <si>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</si>
  <si>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</si>
  <si>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</si>
  <si>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</si>
  <si>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</si>
  <si>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</si>
  <si>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</si>
  <si>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</si>
  <si>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</si>
  <si>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</si>
  <si>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</si>
  <si>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</si>
  <si>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</si>
  <si>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</si>
  <si>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</si>
  <si>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</si>
  <si>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</si>
  <si>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</si>
  <si>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</si>
  <si>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</si>
  <si>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</si>
  <si>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</si>
  <si>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</si>
  <si>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</si>
  <si>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</si>
  <si>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</si>
  <si>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</si>
  <si>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</si>
  <si>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</si>
  <si>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</si>
  <si>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</si>
  <si>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</si>
  <si>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</si>
  <si>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</si>
  <si>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</si>
  <si>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</si>
  <si>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</si>
  <si>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</si>
  <si>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</si>
  <si>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</si>
  <si>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</si>
  <si>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Sungudi (Alice Christy inspired)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</si>
  <si>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</si>
  <si>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</si>
  <si>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</si>
  <si>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</si>
  <si>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</si>
  <si>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</si>
  <si>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</si>
  <si>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</si>
  <si>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</si>
  <si>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</si>
  <si>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</si>
  <si>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</si>
  <si>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</si>
  <si>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</si>
  <si>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</si>
  <si>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Chithra- peacok blue, Indu Varier - Green, Susmi - Maroon, Jaimy - Purple/Bottle Green</t>
  </si>
  <si>
    <t>Grey-Black/Red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</si>
  <si>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</si>
  <si>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</si>
  <si>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</si>
  <si>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</si>
  <si>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</si>
  <si>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</si>
  <si>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</si>
  <si>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</si>
  <si>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</si>
  <si>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</si>
  <si>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</si>
  <si>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</si>
  <si>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</si>
  <si>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</si>
  <si>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</si>
  <si>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</si>
  <si>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</si>
  <si>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</si>
  <si>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</si>
  <si>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</si>
  <si>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</si>
  <si>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Boostin charges</t>
  </si>
  <si>
    <t>Kannur Salwar Purchase</t>
  </si>
  <si>
    <t>Courier covers and butter papers</t>
  </si>
  <si>
    <t>Salwar maroon single piece M (CHR-78)</t>
  </si>
  <si>
    <t>Banarasi Green Old design</t>
  </si>
  <si>
    <t>Postal parcel charges</t>
  </si>
  <si>
    <t>Matka (peacock blue/maroon CHR-174), Narayanpett purple/bottle green (CHR-163), Ganga Jamuna (CHR-140)</t>
  </si>
  <si>
    <t>Jaimy (1000)</t>
  </si>
  <si>
    <t>M, L, XL, XXL</t>
  </si>
  <si>
    <t>Cotton 3 piece salwar set</t>
  </si>
  <si>
    <t>Linen Blend floral embrioidered sarees</t>
  </si>
  <si>
    <t>Sky Blue, Mint Green, Blush Pink</t>
  </si>
  <si>
    <t>Coffee brown with Rust Floral Print</t>
  </si>
  <si>
    <t>Nisha Nair
Shiji
Priya Reji
Raji
Nisha Sajitha, Bhavana Meenakshi</t>
  </si>
  <si>
    <t>Bhavana Meenakshi</t>
  </si>
  <si>
    <t>Saida (1400), Binija (1560), Shinoob Cousin(1000)</t>
  </si>
  <si>
    <t>Rinsha(M), Shinoob Cousin(L)</t>
  </si>
  <si>
    <t>XL,XXL</t>
  </si>
  <si>
    <t>Prema(XXL)- 550, Shinoob cousin(M)-850</t>
  </si>
  <si>
    <t>CHR-188</t>
  </si>
  <si>
    <t>CHR-189</t>
  </si>
  <si>
    <t>CHR-190</t>
  </si>
  <si>
    <t>CHR-191</t>
  </si>
  <si>
    <t>CHR-192</t>
  </si>
  <si>
    <t>CHR-193</t>
  </si>
  <si>
    <t>CHR-194</t>
  </si>
  <si>
    <t>CHR-195</t>
  </si>
  <si>
    <t>CHR-196</t>
  </si>
  <si>
    <t>CHR-197</t>
  </si>
  <si>
    <t>CHR-198</t>
  </si>
  <si>
    <t>CHR-199</t>
  </si>
  <si>
    <t>CHR-200</t>
  </si>
  <si>
    <t>CHR-201</t>
  </si>
  <si>
    <t>CHR-202</t>
  </si>
  <si>
    <t>CHR-203</t>
  </si>
  <si>
    <t>CHR-204</t>
  </si>
  <si>
    <t>CHR-205</t>
  </si>
  <si>
    <t>CHR-206</t>
  </si>
  <si>
    <t>CHR-207</t>
  </si>
  <si>
    <t>CHR-208</t>
  </si>
  <si>
    <t>CHR-209</t>
  </si>
  <si>
    <t>CHR-210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</si>
  <si>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</si>
  <si>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</si>
  <si>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</si>
  <si>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</si>
  <si>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</si>
  <si>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</si>
  <si>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</si>
  <si>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</si>
  <si>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</si>
  <si>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</si>
  <si>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</si>
  <si>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</si>
  <si>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</si>
  <si>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</si>
  <si>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</si>
  <si>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Yellow Lotus Saree Line</t>
  </si>
  <si>
    <t>Postal</t>
  </si>
  <si>
    <t>Temple design preordered - Yet to share the item</t>
  </si>
  <si>
    <t>Banarasil Silk (Chikku Maroon)</t>
  </si>
  <si>
    <t>Banarasi Silk (Chikku Green)</t>
  </si>
  <si>
    <t>Banarasi Silk (Golden Yellow Green)</t>
  </si>
  <si>
    <t>Banarasi Silk (Golden Yellow Blue)</t>
  </si>
  <si>
    <t>Banarasi Silk (New Design)</t>
  </si>
  <si>
    <t>Banarasi Silk (Leaf design)</t>
  </si>
  <si>
    <t xml:space="preserve">New </t>
  </si>
  <si>
    <t>Light green/dark green, navy/light, violet/green (leaf designs)</t>
  </si>
  <si>
    <t>Rajitha Teacher</t>
  </si>
  <si>
    <t>Green/maroon banarasi new design</t>
  </si>
  <si>
    <t>Sheeba George</t>
  </si>
  <si>
    <t>Soji Thomas</t>
  </si>
  <si>
    <t>Jessy Joseph</t>
  </si>
  <si>
    <t>Preetha</t>
  </si>
  <si>
    <t>Prasanna</t>
  </si>
  <si>
    <t>Philomina Anto</t>
  </si>
  <si>
    <t>Sanam</t>
  </si>
  <si>
    <t>Geetha</t>
  </si>
  <si>
    <t xml:space="preserve">Silk Sarees </t>
  </si>
  <si>
    <t>Green/maroon border, maroon peacock blue, light green &amp; bottle green, purple &amp; blue</t>
  </si>
  <si>
    <t>Floral green, floral peach, floral lavender</t>
  </si>
  <si>
    <t>Kerala Sarees with Floral design</t>
  </si>
  <si>
    <t>Kerala Saree with small temple design</t>
  </si>
  <si>
    <t>Small temple design</t>
  </si>
  <si>
    <t>Cotton Saree Collections (Jari Check)</t>
  </si>
  <si>
    <t>Light blue/onion peel, brown/dark maroon, black/light green</t>
  </si>
  <si>
    <t>Cotton Saree Collections (Tower Check)</t>
  </si>
  <si>
    <t>Cotton Saree Collections (Body Jergai)</t>
  </si>
  <si>
    <t xml:space="preserve">Mustard, navy, rani pink, olive green (×2), purple </t>
  </si>
  <si>
    <t>Linen Saree Semi Party Wear Collections</t>
  </si>
  <si>
    <t>Pink, grey, onion peel, blue</t>
  </si>
  <si>
    <t>Kerala Saree Floral Embroidery</t>
  </si>
  <si>
    <t>Floral Embroidery</t>
  </si>
  <si>
    <t>Semi Silk Saree Collections</t>
  </si>
  <si>
    <t>Peach, light blue, pink, light green</t>
  </si>
  <si>
    <t>Tissue Fancy Saree with Butta</t>
  </si>
  <si>
    <t>Navy/blue, green/navy, maroon/grey, red/maroon, dark green/navy</t>
  </si>
  <si>
    <t>Tissue mulmul (soft cotton) blend sarees</t>
  </si>
  <si>
    <t>Tusser Silk Saree Collection</t>
  </si>
  <si>
    <t>Blue, pink, yellow, maroon, deep blue, green</t>
  </si>
  <si>
    <t>Linen Saree</t>
  </si>
  <si>
    <t>Yellow</t>
  </si>
  <si>
    <t>Kalyani Cotton Sarees with check</t>
  </si>
  <si>
    <t>Matka Saree Collections</t>
  </si>
  <si>
    <t>Black/pink, black/orange, violet/bottle green</t>
  </si>
  <si>
    <t>Matka Saree</t>
  </si>
  <si>
    <t>Golden yellow/bottle green</t>
  </si>
  <si>
    <t>Cotton Saree Collection</t>
  </si>
  <si>
    <t>Cotton Saree Collection ( Kabhali Check)</t>
  </si>
  <si>
    <t>Navy/blue, yellow/peacock blue, violet/mustard, turquoise/violet</t>
  </si>
  <si>
    <t>Kerala Saree Collections Check/Floral</t>
  </si>
  <si>
    <t>Checks/floral + leaf, checks/floral + kathakali</t>
  </si>
  <si>
    <t>Cotton Saree with Small and big borders</t>
  </si>
  <si>
    <t>Cotton Lines</t>
  </si>
  <si>
    <t>Maroon/black, violet/red</t>
  </si>
  <si>
    <t>Kerala Saree with lines</t>
  </si>
  <si>
    <t>Jeeja Anil</t>
  </si>
  <si>
    <t>Sumi Boben</t>
  </si>
  <si>
    <t>Jet Black (CHR-119)</t>
  </si>
  <si>
    <t>Jinu Varghese</t>
  </si>
  <si>
    <t>Blue (CHR-119)</t>
  </si>
  <si>
    <t>Smitha S</t>
  </si>
  <si>
    <t>Jayalakshmi, Preetha, Prasanna, Philomina, Smitha S</t>
  </si>
  <si>
    <t>Raji V T</t>
  </si>
  <si>
    <t>Sushama Bhaskar</t>
  </si>
  <si>
    <t>CHR-194-Light Blue cotton, CHR-206 - green temple/brown</t>
  </si>
  <si>
    <t>Green, pink, navy blue, dark navy, dark maroon, red, orange</t>
  </si>
  <si>
    <t>Denny - Light Blue</t>
  </si>
  <si>
    <t>Grey/black, brown/navy, purple/blue, mustard/blue</t>
  </si>
  <si>
    <t>Denny - green temple/brown</t>
  </si>
  <si>
    <t>Light Majenta - Latha</t>
  </si>
  <si>
    <t>Grey</t>
  </si>
  <si>
    <t>Sherin - Maroon/navy blue(1099), Lakshmi - Navy Blue &amp; Maroon, Jaimy - Peacok Blue/Maroon, Shinoob Cousin - Lavender/Violet</t>
  </si>
  <si>
    <t>Peacok Blue/Maroon - 2,
Navy Blue/Maroon - 2,
Grey/Blue - 1, Purple/Green - 1</t>
  </si>
  <si>
    <t>Cotton 2-piece set with blue floral prints-M (CHR-156), Short Kurti(CHR-151)-L, Dusty Rose Salwar(CHR-77)-L, Chanderis Silk Saree(Yellow-CHR-119), Matka - Lavender/Violet(CHR-174), red/maroon tissue fancy (CHR-199)</t>
  </si>
  <si>
    <t>Blue/maroon, light green/maroon</t>
  </si>
  <si>
    <t>Nishitha Friend - brown/maroon (1100)</t>
  </si>
  <si>
    <t>Orange (CHR-119)</t>
  </si>
  <si>
    <t>brown/maroon (CHR-203: 1100), Rust Orange/Coffee Brown (CHR-188)</t>
  </si>
  <si>
    <t>Parcel Charges</t>
  </si>
  <si>
    <t>CHR-202 - Yellow Linen(699), CHR-200 - Tissue Mulmul(1250), CHR-206 - Grey/Black &amp; purple/blue (1000 advace)</t>
  </si>
  <si>
    <t>Nishida Friend</t>
  </si>
  <si>
    <t>CHR-202 Yellow</t>
  </si>
  <si>
    <t>Latha, Nishida</t>
  </si>
  <si>
    <t xml:space="preserve">Shinoob (1200), Shirley </t>
  </si>
  <si>
    <t>Shirley</t>
  </si>
  <si>
    <t>Karthika</t>
  </si>
  <si>
    <t>Banarasi Yello CHR-152</t>
  </si>
  <si>
    <t>CHR-119 Chanderi Blue</t>
  </si>
  <si>
    <t>Navya - Black Orange</t>
  </si>
  <si>
    <t>Banarasi CM(CHR-183), Black Orange (CHR-204), CHR-199 - Navy/blue &amp; maroon/grey</t>
  </si>
  <si>
    <t>red/maroon - Nishitha, Navy/blue &amp; maroon/grey - Navya</t>
  </si>
  <si>
    <t>Nishida</t>
  </si>
  <si>
    <t>Divya Jacob</t>
  </si>
  <si>
    <t>Razia Salim</t>
  </si>
  <si>
    <t>Banarasi Silk (New Design) - Chikku Green (CHR-188)</t>
  </si>
  <si>
    <t>rust orange/coffee brown, peacock blue/navy, red/green, mustard/blue, chikku maroon, golden yellow &amp; green triangle</t>
  </si>
  <si>
    <t>Green/maroon - Rajitha Teacher,  chikku green - Razia Salim</t>
  </si>
  <si>
    <t>Baby Johny</t>
  </si>
  <si>
    <t>2026--06-24</t>
  </si>
  <si>
    <t>Chanderi White (CHR-119)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</si>
  <si>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</t>
  </si>
  <si>
    <t xml:space="preserve">
Maroon, Black, White(4)</t>
  </si>
  <si>
    <t>Jayasree</t>
  </si>
  <si>
    <t>Sanam, Geetha, Unknown, Jessy Joseph, Soji Thomas, Sheeba George, Sushma Bhaskar, Navya, Divya Jacob, Baby Johny, Jayashree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</si>
</sst>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1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246</c:v>
                </c:pt>
                <c:pt idx="1">
                  <c:v>88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143</c:v>
                </c:pt>
                <c:pt idx="1">
                  <c:v>60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63190</c:v>
                </c:pt>
                <c:pt idx="1">
                  <c:v>108001.54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98616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-47311</c:v>
                </c:pt>
                <c:pt idx="1">
                  <c:v>-5152</c:v>
                </c:pt>
                <c:pt idx="2">
                  <c:v>-22172</c:v>
                </c:pt>
                <c:pt idx="3">
                  <c:v>-71002</c:v>
                </c:pt>
                <c:pt idx="4">
                  <c:v>-4449</c:v>
                </c:pt>
                <c:pt idx="5">
                  <c:v>-98616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338</c:v>
                </c:pt>
                <c:pt idx="1">
                  <c:v>-304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8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453720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408891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417000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-44829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43239.66</v>
      </c>
      <c r="C10" s="9"/>
    </row>
    <row r="11" spans="1:6" ht="13.5" customHeight="1">
      <c r="A11" s="11" t="s">
        <v>50</v>
      </c>
      <c r="B11" s="14">
        <f>PartnerShares!H9</f>
        <v>15457.669999999998</v>
      </c>
      <c r="C11" s="11"/>
    </row>
    <row r="12" spans="1:6" ht="13.5" customHeight="1">
      <c r="A12" s="9" t="s">
        <v>51</v>
      </c>
      <c r="B12" s="13">
        <f>PartnerShares!H10</f>
        <v>-58697.33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212783</v>
      </c>
      <c r="C18" s="10">
        <f>PartnerShares!C8</f>
        <v>151240</v>
      </c>
      <c r="D18" s="10">
        <f>PartnerShares!D8</f>
        <v>61543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43239.66</v>
      </c>
      <c r="G18" s="16" t="str">
        <f>IF(ROUND(F18,0)&gt;0,"Receive ₹"&amp;TEXT(ABS(F18),"#,##0"),IF(ROUND(F18,0)&lt;0,"Pay ₹"&amp;TEXT(ABS(F18),"#,##0"),"✓ Settled"))</f>
        <v>Receive ₹43,240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151240</v>
      </c>
      <c r="D19" s="12">
        <f>PartnerShares!D9</f>
        <v>57097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15457.669999999998</v>
      </c>
      <c r="G19" s="17" t="str">
        <f>IF(ROUND(F19,0)&gt;0,"Receive ₹"&amp;TEXT(ABS(F19),"#,##0"),IF(ROUND(F19,0)&lt;0,"Pay ₹"&amp;TEXT(ABS(F19),"#,##0"),"✓ Settled"))</f>
        <v>Receive ₹15,458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151240</v>
      </c>
      <c r="D20" s="10">
        <f>PartnerShares!D10</f>
        <v>-118640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-58697.33</v>
      </c>
      <c r="G20" s="17" t="str">
        <f>IF(ROUND(F20,0)&gt;0,"Receive ₹"&amp;TEXT(ABS(F20),"#,##0"),IF(ROUND(F20,0)&lt;0,"Pay ₹"&amp;TEXT(ABS(F20),"#,##0"),"✓ Settled"))</f>
        <v>Pay ₹58,697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341737</v>
      </c>
      <c r="C26" s="10">
        <f>'Cash Pool'!D4</f>
        <v>136324.25939999998</v>
      </c>
      <c r="D26" s="10">
        <f>'Cash Pool'!E4</f>
        <v>205412.74060000002</v>
      </c>
      <c r="E26" s="10">
        <f>'Cash Pool'!F4</f>
        <v>-137310.02600000001</v>
      </c>
      <c r="F26" s="13">
        <f>'Cash Pool'!G4</f>
        <v>68102.714600000007</v>
      </c>
      <c r="G26" s="17" t="str">
        <f>IF(ROUND(F26,0)&gt;0,"Pay ₹"&amp;TEXT(ABS(F26),"#,##0"),IF(ROUND(F26,0)&lt;0,"Receive ₹"&amp;TEXT(ABS(F26),"#,##0"),"✓ Settled"))</f>
        <v>Pay ₹68,103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136242.48120000001</v>
      </c>
      <c r="D27" s="12">
        <f>'Cash Pool'!E5</f>
        <v>-81618.481200000009</v>
      </c>
      <c r="E27" s="12">
        <f>'Cash Pool'!F5</f>
        <v>71587.042000000001</v>
      </c>
      <c r="F27" s="14">
        <f>'Cash Pool'!G5</f>
        <v>-10031.439200000008</v>
      </c>
      <c r="G27" s="18" t="str">
        <f>IF(ROUND(F27,0)&gt;0,"Pay ₹"&amp;TEXT(ABS(F27),"#,##0"),IF(ROUND(F27,0)&lt;0,"Receive ₹"&amp;TEXT(ABS(F27),"#,##0"),"✓ Settled"))</f>
        <v>Receive ₹10,031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136324.25939999998</v>
      </c>
      <c r="D28" s="10">
        <f>'Cash Pool'!E6</f>
        <v>-123794.25939999998</v>
      </c>
      <c r="E28" s="10">
        <f>'Cash Pool'!F6</f>
        <v>65722.984000000011</v>
      </c>
      <c r="F28" s="13">
        <f>'Cash Pool'!G6</f>
        <v>-58071.27539999997</v>
      </c>
      <c r="G28" s="16" t="str">
        <f>IF(ROUND(F28,0)&gt;0,"Pay ₹"&amp;TEXT(ABS(F28),"#,##0"),IF(ROUND(F28,0)&lt;0,"Receive ₹"&amp;TEXT(ABS(F28),"#,##0"),"✓ Settled"))</f>
        <v>Receive ₹58,071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46198</v>
      </c>
    </row>
    <row r="5" spans="1:8" ht="15" customHeight="1">
      <c r="A5" s="19" t="s">
        <v>41</v>
      </c>
      <c r="B5" s="21">
        <f>Summary!B3</f>
        <v>453720</v>
      </c>
      <c r="D5" s="19" t="s">
        <v>69</v>
      </c>
      <c r="E5" s="21">
        <f>Summary!B4</f>
        <v>408891</v>
      </c>
    </row>
    <row r="6" spans="1:8" ht="15" customHeight="1">
      <c r="A6" s="19" t="s">
        <v>70</v>
      </c>
      <c r="B6" s="21">
        <f>Summary!B6</f>
        <v>-44829</v>
      </c>
      <c r="D6" s="19" t="s">
        <v>71</v>
      </c>
      <c r="E6" s="21">
        <f>SUMIFS(INVENTORY!K:K, INVENTORY!N:N, "&lt;&gt;Sold Out")</f>
        <v>163844.74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0</v>
      </c>
      <c r="D10" s="21">
        <f t="shared" ref="D10:D21" si="0">C10-B10</f>
        <v>-47311</v>
      </c>
      <c r="F10" s="25" t="s">
        <v>80</v>
      </c>
      <c r="G10" s="21">
        <f>SUM(INVENTORY!F:F)</f>
        <v>338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IFERROR(SUMPRODUCT((TEXT(Sales!$A$2:$A$996,"MMM")=$A11)*(YEAR(Sales!$A$2:$A$996)=$B$7)*Sales!$C$2:$C$996),0)</f>
        <v>0</v>
      </c>
      <c r="D11" s="27">
        <f t="shared" si="0"/>
        <v>-5152</v>
      </c>
      <c r="F11" s="26" t="s">
        <v>82</v>
      </c>
      <c r="G11" s="27">
        <f>SUM(INVENTORY!G:G)</f>
        <v>-304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0</v>
      </c>
      <c r="D12" s="21">
        <f t="shared" si="0"/>
        <v>-22172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0</v>
      </c>
      <c r="D13" s="27">
        <f t="shared" si="0"/>
        <v>-71002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0</v>
      </c>
      <c r="D14" s="21">
        <f t="shared" si="0"/>
        <v>-4449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98616</v>
      </c>
      <c r="C15" s="27">
        <f>IFERROR(SUMPRODUCT((TEXT(Sales!$A$2:$A$996,"MMM")=$A15)*(YEAR(Sales!$A$2:$A$996)=$B$7)*Sales!$C$2:$C$996),0)</f>
        <v>0</v>
      </c>
      <c r="D15" s="27">
        <f t="shared" si="0"/>
        <v>-98616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246</v>
      </c>
      <c r="H47" s="30">
        <f>SUMIF(INVENTORY!C:C, F47, INVENTORY!G:G)</f>
        <v>143</v>
      </c>
      <c r="J47" s="30" t="s">
        <v>96</v>
      </c>
      <c r="K47" s="31">
        <f t="array" ref="K47">SUMPRODUCT((INVENTORY!$C$2:$C$477=J47)*(INVENTORY!$D$2:$D$477)*(INVENTORY!$G$2:$G$477))</f>
        <v>63190</v>
      </c>
    </row>
    <row r="48" spans="6:11" ht="15" customHeight="1">
      <c r="F48" s="29" t="s">
        <v>96</v>
      </c>
      <c r="G48" s="30">
        <f>SUMIF(INVENTORY!C:C, F48, INVENTORY!F:F)</f>
        <v>88</v>
      </c>
      <c r="H48" s="30">
        <f>SUMIF(INVENTORY!C:C, F48, INVENTORY!G:G)</f>
        <v>60</v>
      </c>
      <c r="J48" s="30" t="s">
        <v>95</v>
      </c>
      <c r="K48" s="31">
        <f t="array" ref="K48">SUMPRODUCT((INVENTORY!$C$2:$C$477=J48)*(INVENTORY!$D$2:$D$477)*(INVENTORY!$G$2:$G$477))</f>
        <v>108001.54</v>
      </c>
    </row>
    <row r="49" spans="5:12" ht="15" customHeight="1">
      <c r="F49" s="29" t="s">
        <v>97</v>
      </c>
      <c r="G49" s="30">
        <f>SUMIF(INVENTORY!C:C, F49, INVENTORY!F:F)</f>
        <v>4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D89" sqref="D89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946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947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948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951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951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1004</v>
      </c>
    </row>
    <row r="85" spans="1:4" ht="15" customHeight="1">
      <c r="A85" s="38">
        <v>46192</v>
      </c>
      <c r="B85" s="39" t="s">
        <v>49</v>
      </c>
      <c r="C85" s="40">
        <v>18720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1085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1085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1085</v>
      </c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217" activePane="bottomLeft" state="frozen"/>
      <selection pane="bottomLeft" activeCell="J246" sqref="J246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907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1000</v>
      </c>
      <c r="D160" s="53" t="s">
        <v>156</v>
      </c>
      <c r="E160" s="53" t="s">
        <v>49</v>
      </c>
      <c r="F160" s="56"/>
      <c r="G160" s="56"/>
      <c r="H160" s="57" t="s">
        <v>950</v>
      </c>
      <c r="I160" s="53" t="s">
        <v>142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1000</v>
      </c>
      <c r="D164" s="53" t="s">
        <v>156</v>
      </c>
      <c r="E164" s="53" t="s">
        <v>49</v>
      </c>
      <c r="F164" s="56"/>
      <c r="G164" s="56"/>
      <c r="H164" s="57" t="s">
        <v>358</v>
      </c>
      <c r="I164" s="53" t="s">
        <v>142</v>
      </c>
    </row>
    <row r="165" spans="1:9" ht="13.5" customHeight="1">
      <c r="A165" s="48">
        <v>46133</v>
      </c>
      <c r="B165" s="49" t="s">
        <v>158</v>
      </c>
      <c r="C165" s="50">
        <v>1200</v>
      </c>
      <c r="D165" s="49" t="s">
        <v>156</v>
      </c>
      <c r="E165" s="49" t="s">
        <v>49</v>
      </c>
      <c r="F165" s="49"/>
      <c r="G165" s="49"/>
      <c r="H165" s="51" t="s">
        <v>359</v>
      </c>
      <c r="I165" s="49" t="s">
        <v>142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1100</v>
      </c>
      <c r="D167" s="49" t="s">
        <v>156</v>
      </c>
      <c r="E167" s="49" t="s">
        <v>49</v>
      </c>
      <c r="F167" s="49"/>
      <c r="G167" s="49"/>
      <c r="H167" s="51" t="s">
        <v>362</v>
      </c>
      <c r="I167" s="49" t="s">
        <v>142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 t="s">
        <v>156</v>
      </c>
      <c r="E168" s="49" t="s">
        <v>49</v>
      </c>
      <c r="F168" s="49"/>
      <c r="G168" s="49"/>
      <c r="H168" s="51" t="s">
        <v>949</v>
      </c>
      <c r="I168" s="49" t="s">
        <v>142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 t="s">
        <v>156</v>
      </c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942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908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910</v>
      </c>
      <c r="I198" s="53" t="s">
        <v>142</v>
      </c>
    </row>
    <row r="199" spans="1:9" ht="14">
      <c r="A199" s="48">
        <v>46172</v>
      </c>
      <c r="B199" s="49" t="s">
        <v>911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914</v>
      </c>
      <c r="I199" s="49" t="s">
        <v>142</v>
      </c>
    </row>
    <row r="200" spans="1:9" ht="28">
      <c r="A200" s="52">
        <v>46173</v>
      </c>
      <c r="B200" s="53" t="s">
        <v>912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925</v>
      </c>
      <c r="I200" s="53" t="s">
        <v>142</v>
      </c>
    </row>
    <row r="201" spans="1:9" ht="28">
      <c r="A201" s="48">
        <v>46173</v>
      </c>
      <c r="B201" s="49" t="s">
        <v>922</v>
      </c>
      <c r="C201" s="50">
        <v>3850</v>
      </c>
      <c r="D201" s="49" t="s">
        <v>144</v>
      </c>
      <c r="E201" s="49" t="s">
        <v>50</v>
      </c>
      <c r="F201" s="49"/>
      <c r="G201" s="49"/>
      <c r="H201" s="51" t="s">
        <v>952</v>
      </c>
      <c r="I201" s="49" t="s">
        <v>142</v>
      </c>
    </row>
    <row r="202" spans="1:9" ht="14">
      <c r="A202" s="52">
        <v>46173</v>
      </c>
      <c r="B202" s="53" t="s">
        <v>913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917</v>
      </c>
      <c r="I202" s="53" t="s">
        <v>142</v>
      </c>
    </row>
    <row r="203" spans="1:9" ht="14">
      <c r="A203" s="48">
        <v>46173</v>
      </c>
      <c r="B203" s="49" t="s">
        <v>918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919</v>
      </c>
      <c r="I203" s="49" t="s">
        <v>341</v>
      </c>
    </row>
    <row r="204" spans="1:9" ht="14">
      <c r="A204" s="52">
        <v>46175</v>
      </c>
      <c r="B204" s="53" t="s">
        <v>926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919</v>
      </c>
      <c r="I204" s="53" t="s">
        <v>142</v>
      </c>
    </row>
    <row r="205" spans="1:9" ht="14">
      <c r="A205" s="48">
        <v>46175</v>
      </c>
      <c r="B205" s="49" t="s">
        <v>927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928</v>
      </c>
      <c r="I205" s="49" t="s">
        <v>142</v>
      </c>
    </row>
    <row r="206" spans="1:9" ht="14">
      <c r="A206" s="52">
        <v>46175</v>
      </c>
      <c r="B206" s="53" t="s">
        <v>929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930</v>
      </c>
      <c r="I206" s="53" t="s">
        <v>142</v>
      </c>
    </row>
    <row r="207" spans="1:9" ht="14">
      <c r="A207" s="48">
        <v>46175</v>
      </c>
      <c r="B207" s="49" t="s">
        <v>931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932</v>
      </c>
      <c r="I207" s="49" t="s">
        <v>142</v>
      </c>
    </row>
    <row r="208" spans="1:9" ht="14">
      <c r="A208" s="52">
        <v>46175</v>
      </c>
      <c r="B208" s="53" t="s">
        <v>933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934</v>
      </c>
      <c r="I208" s="53" t="s">
        <v>142</v>
      </c>
    </row>
    <row r="209" spans="1:9" ht="14">
      <c r="A209" s="48">
        <v>46176</v>
      </c>
      <c r="B209" s="49" t="s">
        <v>938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932</v>
      </c>
      <c r="I209" s="49" t="s">
        <v>142</v>
      </c>
    </row>
    <row r="210" spans="1:9" ht="28">
      <c r="A210" s="52">
        <v>46176</v>
      </c>
      <c r="B210" s="53" t="s">
        <v>935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936</v>
      </c>
      <c r="I210" s="53" t="s">
        <v>142</v>
      </c>
    </row>
    <row r="211" spans="1:9" ht="14">
      <c r="A211" s="48">
        <v>46176</v>
      </c>
      <c r="B211" s="49" t="s">
        <v>939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940</v>
      </c>
      <c r="I211" s="49" t="s">
        <v>142</v>
      </c>
    </row>
    <row r="212" spans="1:9">
      <c r="A212" s="52">
        <v>46176</v>
      </c>
      <c r="B212" s="53" t="s">
        <v>941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919</v>
      </c>
      <c r="I212" s="53" t="s">
        <v>142</v>
      </c>
    </row>
    <row r="213" spans="1:9" ht="14">
      <c r="A213" s="48">
        <v>46176</v>
      </c>
      <c r="B213" s="49" t="s">
        <v>944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940</v>
      </c>
      <c r="I213" s="49" t="s">
        <v>142</v>
      </c>
    </row>
    <row r="214" spans="1:9">
      <c r="A214" s="52">
        <v>46177</v>
      </c>
      <c r="B214" s="53" t="s">
        <v>945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919</v>
      </c>
      <c r="I214" s="53" t="s">
        <v>142</v>
      </c>
    </row>
    <row r="215" spans="1:9" ht="14">
      <c r="A215" s="48">
        <v>46187</v>
      </c>
      <c r="B215" s="49" t="s">
        <v>960</v>
      </c>
      <c r="C215" s="50">
        <v>1380</v>
      </c>
      <c r="D215" s="49" t="s">
        <v>156</v>
      </c>
      <c r="E215" s="49" t="s">
        <v>49</v>
      </c>
      <c r="F215" s="49"/>
      <c r="G215" s="49"/>
      <c r="H215" s="51" t="s">
        <v>229</v>
      </c>
      <c r="I215" s="49" t="s">
        <v>142</v>
      </c>
    </row>
    <row r="216" spans="1:9" ht="56">
      <c r="A216" s="52">
        <v>46188</v>
      </c>
      <c r="B216" s="53" t="s">
        <v>1098</v>
      </c>
      <c r="C216" s="54">
        <v>5000</v>
      </c>
      <c r="D216" s="53" t="s">
        <v>156</v>
      </c>
      <c r="E216" s="53" t="s">
        <v>49</v>
      </c>
      <c r="F216" s="56"/>
      <c r="G216" s="56"/>
      <c r="H216" s="57" t="s">
        <v>1080</v>
      </c>
      <c r="I216" s="53" t="s">
        <v>142</v>
      </c>
    </row>
    <row r="217" spans="1:9" ht="14">
      <c r="A217" s="48">
        <v>46188</v>
      </c>
      <c r="B217" s="49" t="s">
        <v>301</v>
      </c>
      <c r="C217" s="50">
        <v>1550</v>
      </c>
      <c r="D217" s="49" t="s">
        <v>156</v>
      </c>
      <c r="E217" s="49" t="s">
        <v>49</v>
      </c>
      <c r="F217" s="49"/>
      <c r="G217" s="49"/>
      <c r="H217" s="51" t="s">
        <v>1005</v>
      </c>
      <c r="I217" s="49" t="s">
        <v>142</v>
      </c>
    </row>
    <row r="218" spans="1:9" ht="14">
      <c r="A218" s="52">
        <v>46191</v>
      </c>
      <c r="B218" s="53" t="s">
        <v>1014</v>
      </c>
      <c r="C218" s="54">
        <v>1380</v>
      </c>
      <c r="D218" s="53" t="s">
        <v>156</v>
      </c>
      <c r="E218" s="53" t="s">
        <v>49</v>
      </c>
      <c r="F218" s="56"/>
      <c r="G218" s="56"/>
      <c r="H218" s="57" t="s">
        <v>1015</v>
      </c>
      <c r="I218" s="53" t="s">
        <v>142</v>
      </c>
    </row>
    <row r="219" spans="1:9" ht="14">
      <c r="A219" s="48">
        <v>46191</v>
      </c>
      <c r="B219" s="49" t="s">
        <v>1016</v>
      </c>
      <c r="C219" s="50">
        <v>1380</v>
      </c>
      <c r="D219" s="49" t="s">
        <v>156</v>
      </c>
      <c r="E219" s="49" t="s">
        <v>49</v>
      </c>
      <c r="F219" s="49"/>
      <c r="G219" s="49"/>
      <c r="H219" s="51" t="s">
        <v>358</v>
      </c>
      <c r="I219" s="49" t="s">
        <v>142</v>
      </c>
    </row>
    <row r="220" spans="1:9" ht="14">
      <c r="A220" s="52">
        <v>46191</v>
      </c>
      <c r="B220" s="53" t="s">
        <v>1017</v>
      </c>
      <c r="C220" s="54">
        <v>1380</v>
      </c>
      <c r="D220" s="53" t="s">
        <v>156</v>
      </c>
      <c r="E220" s="53" t="s">
        <v>49</v>
      </c>
      <c r="F220" s="56"/>
      <c r="G220" s="56"/>
      <c r="H220" s="57" t="s">
        <v>358</v>
      </c>
      <c r="I220" s="53" t="s">
        <v>142</v>
      </c>
    </row>
    <row r="221" spans="1:9" ht="14">
      <c r="A221" s="48">
        <v>46191</v>
      </c>
      <c r="B221" s="49" t="s">
        <v>364</v>
      </c>
      <c r="C221" s="50">
        <v>1380</v>
      </c>
      <c r="D221" s="49" t="s">
        <v>156</v>
      </c>
      <c r="E221" s="49" t="s">
        <v>49</v>
      </c>
      <c r="F221" s="49"/>
      <c r="G221" s="49"/>
      <c r="H221" s="51" t="s">
        <v>359</v>
      </c>
      <c r="I221" s="49" t="s">
        <v>142</v>
      </c>
    </row>
    <row r="222" spans="1:9" ht="14">
      <c r="A222" s="52">
        <v>46191</v>
      </c>
      <c r="B222" s="53" t="s">
        <v>1018</v>
      </c>
      <c r="C222" s="54">
        <v>1380</v>
      </c>
      <c r="D222" s="53" t="s">
        <v>156</v>
      </c>
      <c r="E222" s="53" t="s">
        <v>49</v>
      </c>
      <c r="F222" s="56"/>
      <c r="G222" s="56"/>
      <c r="H222" s="57" t="s">
        <v>358</v>
      </c>
      <c r="I222" s="53" t="s">
        <v>142</v>
      </c>
    </row>
    <row r="223" spans="1:9" ht="14">
      <c r="A223" s="48">
        <v>46191</v>
      </c>
      <c r="B223" s="49" t="s">
        <v>1019</v>
      </c>
      <c r="C223" s="50">
        <v>1380</v>
      </c>
      <c r="D223" s="49" t="s">
        <v>156</v>
      </c>
      <c r="E223" s="49" t="s">
        <v>49</v>
      </c>
      <c r="F223" s="49"/>
      <c r="G223" s="49"/>
      <c r="H223" s="51" t="s">
        <v>359</v>
      </c>
      <c r="I223" s="49" t="s">
        <v>142</v>
      </c>
    </row>
    <row r="224" spans="1:9" ht="14">
      <c r="A224" s="52">
        <v>46191</v>
      </c>
      <c r="B224" s="53" t="s">
        <v>1062</v>
      </c>
      <c r="C224" s="54">
        <v>1380</v>
      </c>
      <c r="D224" s="53" t="s">
        <v>156</v>
      </c>
      <c r="E224" s="53" t="s">
        <v>49</v>
      </c>
      <c r="F224" s="56"/>
      <c r="G224" s="56"/>
      <c r="H224" s="57" t="s">
        <v>358</v>
      </c>
      <c r="I224" s="53" t="s">
        <v>142</v>
      </c>
    </row>
    <row r="225" spans="1:9" ht="14">
      <c r="A225" s="48">
        <v>46192</v>
      </c>
      <c r="B225" s="49" t="s">
        <v>1020</v>
      </c>
      <c r="C225" s="50">
        <v>1380</v>
      </c>
      <c r="D225" s="49" t="s">
        <v>156</v>
      </c>
      <c r="E225" s="49" t="s">
        <v>49</v>
      </c>
      <c r="F225" s="49"/>
      <c r="G225" s="49"/>
      <c r="H225" s="51" t="s">
        <v>359</v>
      </c>
      <c r="I225" s="49" t="s">
        <v>142</v>
      </c>
    </row>
    <row r="226" spans="1:9" ht="14">
      <c r="A226" s="52">
        <v>46192</v>
      </c>
      <c r="B226" s="53" t="s">
        <v>1021</v>
      </c>
      <c r="C226" s="54">
        <v>1380</v>
      </c>
      <c r="D226" s="53" t="s">
        <v>156</v>
      </c>
      <c r="E226" s="53" t="s">
        <v>49</v>
      </c>
      <c r="F226" s="56"/>
      <c r="G226" s="56"/>
      <c r="H226" s="57" t="s">
        <v>359</v>
      </c>
      <c r="I226" s="53" t="s">
        <v>142</v>
      </c>
    </row>
    <row r="227" spans="1:9" ht="14">
      <c r="A227" s="48">
        <v>46192</v>
      </c>
      <c r="B227" s="49" t="s">
        <v>1022</v>
      </c>
      <c r="C227" s="50">
        <v>1380</v>
      </c>
      <c r="D227" s="49" t="s">
        <v>156</v>
      </c>
      <c r="E227" s="49" t="s">
        <v>49</v>
      </c>
      <c r="F227" s="49"/>
      <c r="G227" s="49"/>
      <c r="H227" s="51" t="s">
        <v>358</v>
      </c>
      <c r="I227" s="49" t="s">
        <v>142</v>
      </c>
    </row>
    <row r="228" spans="1:9" ht="14">
      <c r="A228" s="52">
        <v>46192</v>
      </c>
      <c r="B228" s="53" t="s">
        <v>1023</v>
      </c>
      <c r="C228" s="54">
        <v>1380</v>
      </c>
      <c r="D228" s="53" t="s">
        <v>156</v>
      </c>
      <c r="E228" s="53" t="s">
        <v>49</v>
      </c>
      <c r="F228" s="56"/>
      <c r="G228" s="56"/>
      <c r="H228" s="57" t="s">
        <v>358</v>
      </c>
      <c r="I228" s="53" t="s">
        <v>142</v>
      </c>
    </row>
    <row r="229" spans="1:9" ht="14">
      <c r="A229" s="48">
        <v>46193</v>
      </c>
      <c r="B229" s="49" t="s">
        <v>1063</v>
      </c>
      <c r="C229" s="50">
        <v>699</v>
      </c>
      <c r="D229" s="49" t="s">
        <v>156</v>
      </c>
      <c r="E229" s="49" t="s">
        <v>49</v>
      </c>
      <c r="F229" s="49"/>
      <c r="G229" s="49"/>
      <c r="H229" s="51" t="s">
        <v>1064</v>
      </c>
      <c r="I229" s="49" t="s">
        <v>142</v>
      </c>
    </row>
    <row r="230" spans="1:9" ht="14">
      <c r="A230" s="52">
        <v>46193</v>
      </c>
      <c r="B230" s="53" t="s">
        <v>1065</v>
      </c>
      <c r="C230" s="54">
        <v>699</v>
      </c>
      <c r="D230" s="53" t="s">
        <v>156</v>
      </c>
      <c r="E230" s="53" t="s">
        <v>49</v>
      </c>
      <c r="F230" s="56"/>
      <c r="G230" s="56"/>
      <c r="H230" s="57" t="s">
        <v>1066</v>
      </c>
      <c r="I230" s="53" t="s">
        <v>142</v>
      </c>
    </row>
    <row r="231" spans="1:9" ht="14">
      <c r="A231" s="48">
        <v>46193</v>
      </c>
      <c r="B231" s="49" t="s">
        <v>1067</v>
      </c>
      <c r="C231" s="50">
        <v>1380</v>
      </c>
      <c r="D231" s="49" t="s">
        <v>156</v>
      </c>
      <c r="E231" s="49" t="s">
        <v>49</v>
      </c>
      <c r="F231" s="49"/>
      <c r="G231" s="49"/>
      <c r="H231" s="51" t="s">
        <v>359</v>
      </c>
      <c r="I231" s="49" t="s">
        <v>142</v>
      </c>
    </row>
    <row r="232" spans="1:9" ht="14">
      <c r="A232" s="52">
        <v>46193</v>
      </c>
      <c r="B232" s="53" t="s">
        <v>1069</v>
      </c>
      <c r="C232" s="54">
        <v>699</v>
      </c>
      <c r="D232" s="53" t="s">
        <v>156</v>
      </c>
      <c r="E232" s="53" t="s">
        <v>49</v>
      </c>
      <c r="F232" s="56"/>
      <c r="G232" s="56"/>
      <c r="H232" s="57" t="s">
        <v>1064</v>
      </c>
      <c r="I232" s="53" t="s">
        <v>142</v>
      </c>
    </row>
    <row r="233" spans="1:9" ht="14">
      <c r="A233" s="48">
        <v>46193</v>
      </c>
      <c r="B233" s="49" t="s">
        <v>1070</v>
      </c>
      <c r="C233" s="50">
        <v>1380</v>
      </c>
      <c r="D233" s="49" t="s">
        <v>156</v>
      </c>
      <c r="E233" s="49" t="s">
        <v>49</v>
      </c>
      <c r="F233" s="49"/>
      <c r="G233" s="49"/>
      <c r="H233" s="51" t="s">
        <v>358</v>
      </c>
      <c r="I233" s="49" t="s">
        <v>142</v>
      </c>
    </row>
    <row r="234" spans="1:9" ht="14">
      <c r="A234" s="52">
        <v>46193</v>
      </c>
      <c r="B234" s="53" t="s">
        <v>161</v>
      </c>
      <c r="C234" s="54">
        <v>2500</v>
      </c>
      <c r="D234" s="53"/>
      <c r="E234" s="53"/>
      <c r="F234" s="56"/>
      <c r="G234" s="56"/>
      <c r="H234" s="57" t="s">
        <v>1071</v>
      </c>
      <c r="I234" s="53" t="s">
        <v>341</v>
      </c>
    </row>
    <row r="235" spans="1:9" ht="28">
      <c r="A235" s="48">
        <v>46193</v>
      </c>
      <c r="B235" s="49" t="s">
        <v>147</v>
      </c>
      <c r="C235" s="50">
        <v>4000</v>
      </c>
      <c r="D235" s="49" t="s">
        <v>156</v>
      </c>
      <c r="E235" s="49" t="s">
        <v>49</v>
      </c>
      <c r="F235" s="49"/>
      <c r="G235" s="49"/>
      <c r="H235" s="51" t="s">
        <v>1086</v>
      </c>
      <c r="I235" s="49" t="s">
        <v>142</v>
      </c>
    </row>
    <row r="236" spans="1:9" ht="14">
      <c r="A236" s="52">
        <v>46194</v>
      </c>
      <c r="B236" s="53" t="s">
        <v>1087</v>
      </c>
      <c r="C236" s="54">
        <v>699</v>
      </c>
      <c r="D236" s="53"/>
      <c r="E236" s="53"/>
      <c r="F236" s="56"/>
      <c r="G236" s="56"/>
      <c r="H236" s="57" t="s">
        <v>1083</v>
      </c>
      <c r="I236" s="53" t="s">
        <v>341</v>
      </c>
    </row>
    <row r="237" spans="1:9" ht="28">
      <c r="A237" s="48">
        <v>46194</v>
      </c>
      <c r="B237" s="49" t="s">
        <v>1087</v>
      </c>
      <c r="C237" s="50">
        <v>2480</v>
      </c>
      <c r="D237" s="49" t="s">
        <v>156</v>
      </c>
      <c r="E237" s="49" t="s">
        <v>49</v>
      </c>
      <c r="F237" s="49"/>
      <c r="G237" s="49"/>
      <c r="H237" s="51" t="s">
        <v>1084</v>
      </c>
      <c r="I237" s="49" t="s">
        <v>142</v>
      </c>
    </row>
    <row r="238" spans="1:9" ht="14">
      <c r="A238" s="52">
        <v>46196</v>
      </c>
      <c r="B238" s="53" t="s">
        <v>1087</v>
      </c>
      <c r="C238" s="54">
        <v>700</v>
      </c>
      <c r="D238" s="53" t="s">
        <v>156</v>
      </c>
      <c r="E238" s="53" t="s">
        <v>49</v>
      </c>
      <c r="F238" s="56"/>
      <c r="G238" s="56"/>
      <c r="H238" s="57" t="s">
        <v>1088</v>
      </c>
      <c r="I238" s="53" t="s">
        <v>142</v>
      </c>
    </row>
    <row r="239" spans="1:9" ht="14">
      <c r="A239" s="48">
        <v>46196</v>
      </c>
      <c r="B239" s="49" t="s">
        <v>1091</v>
      </c>
      <c r="C239" s="50">
        <v>1380</v>
      </c>
      <c r="D239" s="49" t="s">
        <v>156</v>
      </c>
      <c r="E239" s="49" t="s">
        <v>49</v>
      </c>
      <c r="F239" s="49"/>
      <c r="G239" s="49"/>
      <c r="H239" s="51" t="s">
        <v>1093</v>
      </c>
      <c r="I239" s="49" t="s">
        <v>142</v>
      </c>
    </row>
    <row r="240" spans="1:9" ht="14">
      <c r="A240" s="52">
        <v>46196</v>
      </c>
      <c r="B240" s="53" t="s">
        <v>1092</v>
      </c>
      <c r="C240" s="54">
        <v>699</v>
      </c>
      <c r="D240" s="53" t="s">
        <v>156</v>
      </c>
      <c r="E240" s="53" t="s">
        <v>49</v>
      </c>
      <c r="F240" s="56"/>
      <c r="G240" s="56"/>
      <c r="H240" s="57" t="s">
        <v>1094</v>
      </c>
      <c r="I240" s="53" t="s">
        <v>142</v>
      </c>
    </row>
    <row r="241" spans="1:9" ht="28">
      <c r="A241" s="48">
        <v>46196</v>
      </c>
      <c r="B241" s="49" t="s">
        <v>298</v>
      </c>
      <c r="C241" s="50">
        <v>5000</v>
      </c>
      <c r="D241" s="49" t="s">
        <v>156</v>
      </c>
      <c r="E241" s="49" t="s">
        <v>49</v>
      </c>
      <c r="F241" s="49"/>
      <c r="G241" s="49"/>
      <c r="H241" s="51" t="s">
        <v>1096</v>
      </c>
      <c r="I241" s="49" t="s">
        <v>142</v>
      </c>
    </row>
    <row r="242" spans="1:9" ht="14">
      <c r="A242" s="52">
        <v>46197</v>
      </c>
      <c r="B242" s="53" t="s">
        <v>1099</v>
      </c>
      <c r="C242" s="54">
        <v>1380</v>
      </c>
      <c r="D242" s="53" t="s">
        <v>156</v>
      </c>
      <c r="E242" s="53" t="s">
        <v>49</v>
      </c>
      <c r="F242" s="56"/>
      <c r="G242" s="56"/>
      <c r="H242" s="57" t="s">
        <v>358</v>
      </c>
      <c r="I242" s="53" t="s">
        <v>142</v>
      </c>
    </row>
    <row r="243" spans="1:9" ht="14">
      <c r="A243" s="48">
        <v>46197</v>
      </c>
      <c r="B243" s="49" t="s">
        <v>1100</v>
      </c>
      <c r="C243" s="50">
        <v>1380</v>
      </c>
      <c r="D243" s="49" t="s">
        <v>156</v>
      </c>
      <c r="E243" s="49" t="s">
        <v>49</v>
      </c>
      <c r="F243" s="49"/>
      <c r="G243" s="49"/>
      <c r="H243" s="51" t="s">
        <v>1101</v>
      </c>
      <c r="I243" s="49" t="s">
        <v>142</v>
      </c>
    </row>
    <row r="244" spans="1:9" ht="14">
      <c r="A244" s="52">
        <v>46197</v>
      </c>
      <c r="B244" s="53" t="s">
        <v>1104</v>
      </c>
      <c r="C244" s="54">
        <v>1380</v>
      </c>
      <c r="D244" s="53" t="s">
        <v>156</v>
      </c>
      <c r="E244" s="53" t="s">
        <v>49</v>
      </c>
      <c r="F244" s="56"/>
      <c r="G244" s="56"/>
      <c r="H244" s="57" t="s">
        <v>358</v>
      </c>
      <c r="I244" s="53" t="s">
        <v>142</v>
      </c>
    </row>
    <row r="245" spans="1:9" ht="14">
      <c r="A245" s="48" t="s">
        <v>1105</v>
      </c>
      <c r="B245" s="49" t="s">
        <v>159</v>
      </c>
      <c r="C245" s="50">
        <v>699</v>
      </c>
      <c r="D245" s="49" t="s">
        <v>156</v>
      </c>
      <c r="E245" s="49" t="s">
        <v>49</v>
      </c>
      <c r="F245" s="49"/>
      <c r="G245" s="49"/>
      <c r="H245" s="51" t="s">
        <v>1106</v>
      </c>
      <c r="I245" s="49" t="s">
        <v>142</v>
      </c>
    </row>
    <row r="246" spans="1:9" ht="14">
      <c r="A246" s="52">
        <v>46198</v>
      </c>
      <c r="B246" s="53" t="s">
        <v>1109</v>
      </c>
      <c r="C246" s="54">
        <v>1380</v>
      </c>
      <c r="D246" s="53" t="s">
        <v>156</v>
      </c>
      <c r="E246" s="53" t="s">
        <v>49</v>
      </c>
      <c r="F246" s="56"/>
      <c r="G246" s="56"/>
      <c r="H246" s="57" t="s">
        <v>358</v>
      </c>
      <c r="I246" s="53" t="s">
        <v>142</v>
      </c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7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J1" zoomScaleNormal="100" workbookViewId="0">
      <pane ySplit="1" topLeftCell="A165" activePane="bottomLeft" state="frozen"/>
      <selection pane="bottomLeft" activeCell="Q184" sqref="Q184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70.5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909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3</v>
      </c>
      <c r="G78" s="67">
        <v>1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3225</v>
      </c>
      <c r="K78" s="66">
        <f t="shared" si="8"/>
        <v>1075</v>
      </c>
      <c r="L78" s="66" t="s">
        <v>961</v>
      </c>
      <c r="M78" s="66"/>
      <c r="N78" s="66" t="s">
        <v>510</v>
      </c>
      <c r="O78" s="66" t="s">
        <v>599</v>
      </c>
      <c r="P78" s="66"/>
      <c r="Q78" s="66"/>
      <c r="R78" s="66"/>
      <c r="S78" s="66"/>
      <c r="T78" s="66"/>
    </row>
    <row r="79" spans="1:20" ht="15" customHeight="1">
      <c r="A79" s="69" t="s">
        <v>595</v>
      </c>
      <c r="B79" s="69" t="s">
        <v>596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597</v>
      </c>
      <c r="M79" s="69"/>
      <c r="N79" s="69" t="s">
        <v>598</v>
      </c>
      <c r="O79" s="69" t="s">
        <v>599</v>
      </c>
      <c r="P79" s="69"/>
      <c r="Q79" s="69"/>
      <c r="R79" s="69"/>
      <c r="S79" s="69"/>
      <c r="T79" s="69"/>
    </row>
    <row r="80" spans="1:20" ht="15" customHeight="1">
      <c r="A80" s="66" t="s">
        <v>600</v>
      </c>
      <c r="B80" s="66" t="s">
        <v>601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602</v>
      </c>
      <c r="M80" s="66"/>
      <c r="N80" s="66" t="s">
        <v>510</v>
      </c>
      <c r="O80" s="66" t="s">
        <v>603</v>
      </c>
      <c r="P80" s="66"/>
      <c r="Q80" s="66"/>
      <c r="R80" s="66"/>
      <c r="S80" s="66"/>
      <c r="T80" s="66"/>
    </row>
    <row r="81" spans="1:20" ht="30" customHeight="1">
      <c r="A81" s="69" t="s">
        <v>604</v>
      </c>
      <c r="B81" s="69" t="s">
        <v>605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606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607</v>
      </c>
      <c r="B82" s="66" t="s">
        <v>608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609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610</v>
      </c>
      <c r="B83" s="69" t="s">
        <v>611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612</v>
      </c>
      <c r="M83" s="69"/>
      <c r="N83" s="69" t="s">
        <v>425</v>
      </c>
      <c r="O83" s="69" t="s">
        <v>613</v>
      </c>
      <c r="P83" s="69"/>
      <c r="Q83" s="69"/>
      <c r="R83" s="69"/>
      <c r="S83" s="69"/>
      <c r="T83" s="69"/>
    </row>
    <row r="84" spans="1:20" ht="15" customHeight="1">
      <c r="A84" s="66" t="s">
        <v>614</v>
      </c>
      <c r="B84" s="66" t="s">
        <v>615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616</v>
      </c>
      <c r="M84" s="66"/>
      <c r="N84" s="66" t="s">
        <v>510</v>
      </c>
      <c r="O84" s="66" t="s">
        <v>617</v>
      </c>
      <c r="P84" s="66"/>
      <c r="Q84" s="66"/>
      <c r="R84" s="66"/>
      <c r="S84" s="66"/>
      <c r="T84" s="66"/>
    </row>
    <row r="85" spans="1:20" ht="15" customHeight="1">
      <c r="A85" s="69" t="s">
        <v>618</v>
      </c>
      <c r="B85" s="69" t="s">
        <v>619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6"/>
        <v>3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0</v>
      </c>
      <c r="L85" s="69" t="s">
        <v>620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621</v>
      </c>
      <c r="B86" s="66" t="s">
        <v>622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623</v>
      </c>
      <c r="M86" s="66"/>
      <c r="N86" s="66" t="s">
        <v>510</v>
      </c>
      <c r="O86" s="66" t="s">
        <v>594</v>
      </c>
      <c r="P86" s="66"/>
      <c r="Q86" s="66"/>
      <c r="R86" s="66"/>
      <c r="S86" s="66"/>
      <c r="T86" s="66"/>
    </row>
    <row r="87" spans="1:20" ht="15" customHeight="1">
      <c r="A87" s="69" t="s">
        <v>624</v>
      </c>
      <c r="B87" s="69" t="s">
        <v>625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598</v>
      </c>
      <c r="O87" s="69" t="s">
        <v>626</v>
      </c>
      <c r="P87" s="69"/>
      <c r="Q87" s="69"/>
      <c r="R87" s="69"/>
      <c r="S87" s="69"/>
      <c r="T87" s="69"/>
    </row>
    <row r="88" spans="1:20" ht="30" customHeight="1">
      <c r="A88" s="66" t="s">
        <v>627</v>
      </c>
      <c r="B88" s="66" t="s">
        <v>628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629</v>
      </c>
      <c r="M88" s="66"/>
      <c r="N88" s="66" t="s">
        <v>510</v>
      </c>
      <c r="O88" s="66" t="s">
        <v>630</v>
      </c>
      <c r="P88" s="66"/>
      <c r="Q88" s="66"/>
      <c r="R88" s="66"/>
      <c r="S88" s="66"/>
      <c r="T88" s="66"/>
    </row>
    <row r="89" spans="1:20" ht="15" customHeight="1">
      <c r="A89" s="69" t="s">
        <v>631</v>
      </c>
      <c r="B89" s="69" t="s">
        <v>632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633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634</v>
      </c>
      <c r="B90" s="66" t="s">
        <v>635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636</v>
      </c>
      <c r="B91" s="69" t="s">
        <v>637</v>
      </c>
      <c r="C91" s="69" t="s">
        <v>638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639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640</v>
      </c>
      <c r="B92" s="66" t="s">
        <v>641</v>
      </c>
      <c r="C92" s="66" t="s">
        <v>638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642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643</v>
      </c>
      <c r="B93" s="69" t="s">
        <v>644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645</v>
      </c>
      <c r="M93" s="69"/>
      <c r="N93" s="66" t="s">
        <v>510</v>
      </c>
      <c r="O93" s="69" t="s">
        <v>210</v>
      </c>
      <c r="P93" s="69"/>
      <c r="Q93" s="69"/>
      <c r="R93" s="69"/>
      <c r="S93" s="69"/>
      <c r="T93" s="69"/>
    </row>
    <row r="94" spans="1:20" ht="15" customHeight="1">
      <c r="A94" s="66" t="s">
        <v>646</v>
      </c>
      <c r="B94" s="66" t="s">
        <v>647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648</v>
      </c>
      <c r="B95" s="69" t="s">
        <v>649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650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651</v>
      </c>
      <c r="B96" s="66" t="s">
        <v>652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598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653</v>
      </c>
      <c r="B97" s="69" t="s">
        <v>654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655</v>
      </c>
      <c r="B98" s="66" t="s">
        <v>656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657</v>
      </c>
      <c r="B99" s="69" t="s">
        <v>658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659</v>
      </c>
      <c r="B100" s="66" t="s">
        <v>660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661</v>
      </c>
      <c r="B101" s="69" t="s">
        <v>662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663</v>
      </c>
      <c r="B102" s="66" t="s">
        <v>664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665</v>
      </c>
      <c r="B103" s="69" t="s">
        <v>666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667</v>
      </c>
      <c r="B104" s="66" t="s">
        <v>668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669</v>
      </c>
      <c r="B105" s="69" t="s">
        <v>670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671</v>
      </c>
      <c r="B106" s="66" t="s">
        <v>672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673</v>
      </c>
      <c r="B107" s="69" t="s">
        <v>674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675</v>
      </c>
      <c r="B108" s="66" t="s">
        <v>676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677</v>
      </c>
      <c r="B109" s="69" t="s">
        <v>678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679</v>
      </c>
      <c r="B110" s="66" t="s">
        <v>680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681</v>
      </c>
      <c r="B111" s="69" t="s">
        <v>682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683</v>
      </c>
      <c r="B112" s="66" t="s">
        <v>684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598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685</v>
      </c>
      <c r="B113" s="69" t="s">
        <v>686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687</v>
      </c>
      <c r="B114" s="66" t="s">
        <v>688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689</v>
      </c>
      <c r="B115" s="69" t="s">
        <v>690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691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692</v>
      </c>
      <c r="B116" s="66" t="s">
        <v>693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694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695</v>
      </c>
      <c r="B117" s="69" t="s">
        <v>696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697</v>
      </c>
      <c r="B118" s="66" t="s">
        <v>698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699</v>
      </c>
      <c r="M118" s="66"/>
      <c r="N118" s="66" t="s">
        <v>425</v>
      </c>
      <c r="O118" s="66"/>
      <c r="P118" s="66" t="s">
        <v>700</v>
      </c>
      <c r="Q118" s="66"/>
      <c r="R118" s="66"/>
      <c r="S118" s="66"/>
      <c r="T118" s="66"/>
    </row>
    <row r="119" spans="1:246" ht="15" customHeight="1">
      <c r="A119" s="69" t="s">
        <v>701</v>
      </c>
      <c r="B119" s="69" t="s">
        <v>702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82" customHeight="1">
      <c r="A120" s="66" t="s">
        <v>703</v>
      </c>
      <c r="B120" s="66" t="s">
        <v>704</v>
      </c>
      <c r="C120" s="66" t="s">
        <v>95</v>
      </c>
      <c r="D120" s="67">
        <v>418.95333333333298</v>
      </c>
      <c r="E120" s="67">
        <v>699</v>
      </c>
      <c r="F120" s="67">
        <v>40</v>
      </c>
      <c r="G120" s="67">
        <v>6</v>
      </c>
      <c r="H120" s="66">
        <f t="shared" si="9"/>
        <v>46</v>
      </c>
      <c r="I120" s="66">
        <f>IF(D120&lt;&gt;"",D120,IFERROR(E120/(IFERROR(SUM(Sales!C:C),0))*(IFERROR(SUM(Purchases!C:C),0)),0))</f>
        <v>418.95333333333298</v>
      </c>
      <c r="J120" s="66">
        <f t="shared" si="10"/>
        <v>16758.13333333332</v>
      </c>
      <c r="K120" s="66">
        <f t="shared" si="11"/>
        <v>2513.719999999998</v>
      </c>
      <c r="L120" s="66" t="s">
        <v>1107</v>
      </c>
      <c r="M120" s="66" t="s">
        <v>49</v>
      </c>
      <c r="N120" s="66" t="s">
        <v>510</v>
      </c>
      <c r="O120" s="66"/>
      <c r="P120" s="66" t="s">
        <v>1108</v>
      </c>
      <c r="Q120" s="66"/>
      <c r="R120" s="66"/>
      <c r="S120" s="66"/>
      <c r="T120" s="66"/>
    </row>
    <row r="121" spans="1:246" ht="15" customHeight="1">
      <c r="A121" s="69" t="s">
        <v>705</v>
      </c>
      <c r="B121" s="69" t="s">
        <v>706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707</v>
      </c>
      <c r="M121" s="69"/>
      <c r="N121" s="69" t="s">
        <v>425</v>
      </c>
      <c r="O121" s="69"/>
      <c r="P121" s="69" t="s">
        <v>708</v>
      </c>
      <c r="Q121" s="69"/>
      <c r="R121" s="69"/>
      <c r="S121" s="69"/>
      <c r="T121" s="69"/>
    </row>
    <row r="122" spans="1:246" ht="15" customHeight="1">
      <c r="A122" s="66" t="s">
        <v>709</v>
      </c>
      <c r="B122" s="66" t="s">
        <v>710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711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712</v>
      </c>
      <c r="B123" s="78" t="s">
        <v>713</v>
      </c>
      <c r="C123" s="78" t="s">
        <v>95</v>
      </c>
      <c r="D123" s="79">
        <v>891.44</v>
      </c>
      <c r="E123" s="79">
        <v>1380</v>
      </c>
      <c r="F123" s="79">
        <v>6</v>
      </c>
      <c r="G123" s="79">
        <v>0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5348.64</v>
      </c>
      <c r="K123" s="78">
        <f t="shared" si="11"/>
        <v>0</v>
      </c>
      <c r="L123" s="78" t="s">
        <v>959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714</v>
      </c>
      <c r="B124" s="80" t="s">
        <v>715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716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717</v>
      </c>
      <c r="B125" s="78" t="s">
        <v>718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719</v>
      </c>
      <c r="M125" s="78"/>
      <c r="N125" s="78" t="s">
        <v>425</v>
      </c>
      <c r="O125" s="78"/>
      <c r="P125" s="78" t="s">
        <v>720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721</v>
      </c>
      <c r="B126" s="66" t="s">
        <v>722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723</v>
      </c>
      <c r="M126" s="66"/>
      <c r="N126" s="66" t="s">
        <v>425</v>
      </c>
      <c r="O126" s="66" t="s">
        <v>724</v>
      </c>
      <c r="P126" s="66"/>
      <c r="Q126" s="66"/>
      <c r="R126" s="66"/>
      <c r="S126" s="66"/>
      <c r="T126" s="66"/>
    </row>
    <row r="127" spans="1:246" ht="15" customHeight="1">
      <c r="A127" s="78" t="s">
        <v>725</v>
      </c>
      <c r="B127" s="69" t="s">
        <v>726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727</v>
      </c>
      <c r="B128" s="66" t="s">
        <v>728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598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729</v>
      </c>
      <c r="B129" s="69" t="s">
        <v>730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731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732</v>
      </c>
      <c r="B130" s="66" t="s">
        <v>733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734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735</v>
      </c>
      <c r="B131" s="69" t="s">
        <v>736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598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737</v>
      </c>
      <c r="B132" s="66" t="s">
        <v>738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739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740</v>
      </c>
      <c r="B133" s="69" t="s">
        <v>741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598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742</v>
      </c>
      <c r="B134" s="66" t="s">
        <v>743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598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744</v>
      </c>
      <c r="B135" s="69" t="s">
        <v>745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746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747</v>
      </c>
      <c r="B136" s="66" t="s">
        <v>748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749</v>
      </c>
      <c r="M136" s="66"/>
      <c r="N136" s="66" t="s">
        <v>425</v>
      </c>
      <c r="O136" s="66"/>
      <c r="P136" s="66" t="s">
        <v>750</v>
      </c>
      <c r="Q136" s="66"/>
      <c r="R136" s="66"/>
      <c r="S136" s="66"/>
      <c r="T136" s="66"/>
    </row>
    <row r="137" spans="1:20" ht="15" customHeight="1">
      <c r="A137" s="78" t="s">
        <v>751</v>
      </c>
      <c r="B137" s="69" t="s">
        <v>752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753</v>
      </c>
      <c r="B138" s="66" t="s">
        <v>754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755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756</v>
      </c>
      <c r="B139" s="69" t="s">
        <v>757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758</v>
      </c>
      <c r="B140" s="66" t="s">
        <v>759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760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761</v>
      </c>
      <c r="B141" s="69" t="s">
        <v>762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838</v>
      </c>
      <c r="K141" s="78">
        <f t="shared" si="14"/>
        <v>0</v>
      </c>
      <c r="L141" s="69" t="s">
        <v>953</v>
      </c>
      <c r="M141" s="69"/>
      <c r="N141" s="69" t="s">
        <v>425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763</v>
      </c>
      <c r="B142" s="66" t="s">
        <v>764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765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766</v>
      </c>
      <c r="B143" s="69" t="s">
        <v>767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598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768</v>
      </c>
      <c r="B144" s="66" t="s">
        <v>769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598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770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771</v>
      </c>
      <c r="B146" s="66" t="s">
        <v>772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773</v>
      </c>
      <c r="M146" s="66"/>
      <c r="N146" s="66" t="s">
        <v>510</v>
      </c>
      <c r="O146" s="66"/>
      <c r="P146" s="66" t="s">
        <v>774</v>
      </c>
      <c r="Q146" s="66"/>
      <c r="R146" s="66"/>
      <c r="S146" s="66"/>
      <c r="T146" s="66"/>
    </row>
    <row r="147" spans="1:20" ht="63.75" customHeight="1">
      <c r="A147" s="69" t="s">
        <v>775</v>
      </c>
      <c r="B147" s="69" t="s">
        <v>776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777</v>
      </c>
      <c r="M147" s="69"/>
      <c r="N147" s="69" t="s">
        <v>510</v>
      </c>
      <c r="O147" s="69"/>
      <c r="P147" s="69" t="s">
        <v>943</v>
      </c>
      <c r="Q147" s="69"/>
      <c r="R147" s="69"/>
      <c r="S147" s="69"/>
      <c r="T147" s="69"/>
    </row>
    <row r="148" spans="1:20" ht="15" customHeight="1">
      <c r="A148" s="66" t="s">
        <v>778</v>
      </c>
      <c r="B148" s="66" t="s">
        <v>779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780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781</v>
      </c>
      <c r="B149" s="69" t="s">
        <v>782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783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784</v>
      </c>
      <c r="B150" s="66" t="s">
        <v>785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598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786</v>
      </c>
      <c r="B151" s="69" t="s">
        <v>787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788</v>
      </c>
      <c r="M151" s="69"/>
      <c r="N151" s="69" t="s">
        <v>510</v>
      </c>
      <c r="O151" s="69" t="s">
        <v>210</v>
      </c>
      <c r="P151" s="69" t="s">
        <v>789</v>
      </c>
      <c r="Q151" s="69"/>
      <c r="R151" s="69"/>
      <c r="S151" s="69"/>
      <c r="T151" s="69"/>
    </row>
    <row r="152" spans="1:20" ht="15" customHeight="1">
      <c r="A152" s="66" t="s">
        <v>790</v>
      </c>
      <c r="B152" s="66" t="s">
        <v>791</v>
      </c>
      <c r="C152" s="66" t="s">
        <v>97</v>
      </c>
      <c r="D152" s="67">
        <v>295</v>
      </c>
      <c r="E152" s="67">
        <v>580</v>
      </c>
      <c r="F152" s="81">
        <v>2</v>
      </c>
      <c r="G152" s="81">
        <v>2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590</v>
      </c>
      <c r="K152" s="80">
        <f t="shared" si="14"/>
        <v>590</v>
      </c>
      <c r="L152" s="66" t="s">
        <v>962</v>
      </c>
      <c r="M152" s="66"/>
      <c r="N152" s="66" t="s">
        <v>510</v>
      </c>
      <c r="O152" s="66" t="s">
        <v>963</v>
      </c>
      <c r="P152" s="66" t="s">
        <v>792</v>
      </c>
      <c r="Q152" s="66"/>
      <c r="R152" s="66"/>
      <c r="S152" s="66"/>
      <c r="T152" s="66"/>
    </row>
    <row r="153" spans="1:20" ht="15" customHeight="1">
      <c r="A153" s="69" t="s">
        <v>793</v>
      </c>
      <c r="B153" s="69" t="s">
        <v>794</v>
      </c>
      <c r="C153" s="69" t="s">
        <v>95</v>
      </c>
      <c r="D153" s="70">
        <v>891.5</v>
      </c>
      <c r="E153" s="70">
        <v>1380</v>
      </c>
      <c r="F153" s="79">
        <v>2</v>
      </c>
      <c r="G153" s="79">
        <v>0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1783</v>
      </c>
      <c r="K153" s="78">
        <f t="shared" si="14"/>
        <v>0</v>
      </c>
      <c r="L153" s="69" t="s">
        <v>1090</v>
      </c>
      <c r="M153" s="69"/>
      <c r="N153" s="69" t="s">
        <v>425</v>
      </c>
      <c r="O153" s="69"/>
      <c r="P153" s="69" t="s">
        <v>795</v>
      </c>
      <c r="Q153" s="69"/>
      <c r="R153" s="69"/>
      <c r="S153" s="69"/>
      <c r="T153" s="69"/>
    </row>
    <row r="154" spans="1:20" ht="15" customHeight="1">
      <c r="A154" s="66" t="s">
        <v>796</v>
      </c>
      <c r="B154" s="66" t="s">
        <v>797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798</v>
      </c>
      <c r="M154" s="66"/>
      <c r="N154" s="66" t="s">
        <v>510</v>
      </c>
      <c r="O154" s="66" t="s">
        <v>799</v>
      </c>
      <c r="P154" s="66"/>
      <c r="Q154" s="66"/>
      <c r="R154" s="66"/>
      <c r="S154" s="66"/>
      <c r="T154" s="66"/>
    </row>
    <row r="155" spans="1:20" ht="15" customHeight="1">
      <c r="A155" s="69" t="s">
        <v>800</v>
      </c>
      <c r="B155" s="69" t="s">
        <v>801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598</v>
      </c>
      <c r="O155" s="69" t="s">
        <v>802</v>
      </c>
      <c r="P155" s="69"/>
      <c r="Q155" s="69"/>
      <c r="R155" s="69"/>
      <c r="S155" s="69"/>
      <c r="T155" s="69"/>
    </row>
    <row r="156" spans="1:20" ht="15" customHeight="1">
      <c r="A156" s="66" t="s">
        <v>803</v>
      </c>
      <c r="B156" s="66" t="s">
        <v>804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805</v>
      </c>
      <c r="M156" s="66"/>
      <c r="N156" s="66" t="s">
        <v>510</v>
      </c>
      <c r="O156" s="66" t="s">
        <v>802</v>
      </c>
      <c r="P156" s="66"/>
      <c r="Q156" s="66"/>
      <c r="R156" s="66"/>
      <c r="S156" s="66"/>
      <c r="T156" s="66"/>
    </row>
    <row r="157" spans="1:20" ht="15" customHeight="1">
      <c r="A157" s="69" t="s">
        <v>806</v>
      </c>
      <c r="B157" s="69" t="s">
        <v>807</v>
      </c>
      <c r="C157" s="69" t="s">
        <v>96</v>
      </c>
      <c r="D157" s="70">
        <v>525</v>
      </c>
      <c r="E157" s="70">
        <v>850</v>
      </c>
      <c r="F157" s="79">
        <v>2</v>
      </c>
      <c r="G157" s="79">
        <v>2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1050</v>
      </c>
      <c r="K157" s="78">
        <f t="shared" si="14"/>
        <v>1050</v>
      </c>
      <c r="L157" s="69" t="s">
        <v>964</v>
      </c>
      <c r="M157" s="69"/>
      <c r="N157" s="69" t="s">
        <v>510</v>
      </c>
      <c r="O157" s="69" t="s">
        <v>540</v>
      </c>
      <c r="P157" s="69"/>
      <c r="Q157" s="69"/>
      <c r="R157" s="69"/>
      <c r="S157" s="69"/>
      <c r="T157" s="69"/>
    </row>
    <row r="158" spans="1:20" ht="15" customHeight="1">
      <c r="A158" s="66" t="s">
        <v>808</v>
      </c>
      <c r="B158" s="66" t="s">
        <v>809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810</v>
      </c>
      <c r="M158" s="66"/>
      <c r="N158" s="66" t="s">
        <v>598</v>
      </c>
      <c r="O158" s="66" t="s">
        <v>811</v>
      </c>
      <c r="P158" s="66"/>
      <c r="Q158" s="66"/>
      <c r="R158" s="66"/>
      <c r="S158" s="66"/>
      <c r="T158" s="66"/>
    </row>
    <row r="159" spans="1:20" ht="15" customHeight="1">
      <c r="A159" s="69" t="s">
        <v>812</v>
      </c>
      <c r="B159" s="69" t="s">
        <v>813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814</v>
      </c>
      <c r="M159" s="69"/>
      <c r="N159" s="69" t="s">
        <v>510</v>
      </c>
      <c r="O159" s="69" t="s">
        <v>815</v>
      </c>
      <c r="P159" s="69"/>
      <c r="Q159" s="69"/>
      <c r="R159" s="69"/>
      <c r="S159" s="69"/>
      <c r="T159" s="69"/>
    </row>
    <row r="160" spans="1:20" ht="15" customHeight="1">
      <c r="A160" s="66" t="s">
        <v>816</v>
      </c>
      <c r="B160" s="66" t="s">
        <v>817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818</v>
      </c>
      <c r="B161" s="69" t="s">
        <v>819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820</v>
      </c>
      <c r="B162" s="66" t="s">
        <v>821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822</v>
      </c>
      <c r="B163" s="69" t="s">
        <v>823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598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824</v>
      </c>
      <c r="B164" s="66" t="s">
        <v>825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923</v>
      </c>
      <c r="M164" s="66"/>
      <c r="N164" s="66" t="s">
        <v>510</v>
      </c>
      <c r="O164" s="66"/>
      <c r="P164" s="66" t="s">
        <v>924</v>
      </c>
      <c r="Q164" s="66"/>
      <c r="R164" s="66"/>
      <c r="S164" s="66"/>
      <c r="T164" s="66"/>
    </row>
    <row r="165" spans="1:20" ht="15" customHeight="1">
      <c r="A165" s="69" t="s">
        <v>826</v>
      </c>
      <c r="B165" s="69" t="s">
        <v>827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828</v>
      </c>
      <c r="Q165" s="69"/>
      <c r="R165" s="69"/>
      <c r="S165" s="69"/>
      <c r="T165" s="69"/>
    </row>
    <row r="166" spans="1:20" ht="15" customHeight="1">
      <c r="A166" s="66" t="s">
        <v>829</v>
      </c>
      <c r="B166" s="66" t="s">
        <v>830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598</v>
      </c>
      <c r="O166" s="66"/>
      <c r="P166" s="66" t="s">
        <v>831</v>
      </c>
      <c r="Q166" s="66"/>
      <c r="R166" s="66"/>
      <c r="S166" s="66"/>
      <c r="T166" s="66"/>
    </row>
    <row r="167" spans="1:20" ht="15" customHeight="1">
      <c r="A167" s="69" t="s">
        <v>832</v>
      </c>
      <c r="B167" s="69" t="s">
        <v>833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834</v>
      </c>
      <c r="M167" s="69"/>
      <c r="N167" s="69" t="s">
        <v>510</v>
      </c>
      <c r="O167" s="69"/>
      <c r="P167" s="69" t="s">
        <v>835</v>
      </c>
      <c r="Q167" s="69"/>
      <c r="R167" s="69"/>
      <c r="S167" s="69"/>
      <c r="T167" s="69"/>
    </row>
    <row r="168" spans="1:20" ht="15" customHeight="1">
      <c r="A168" s="66" t="s">
        <v>836</v>
      </c>
      <c r="B168" s="66" t="s">
        <v>837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838</v>
      </c>
      <c r="M168" s="66"/>
      <c r="N168" s="66" t="s">
        <v>510</v>
      </c>
      <c r="O168" s="66"/>
      <c r="P168" s="66" t="s">
        <v>839</v>
      </c>
      <c r="Q168" s="66"/>
      <c r="R168" s="66"/>
      <c r="S168" s="66"/>
      <c r="T168" s="66"/>
    </row>
    <row r="169" spans="1:20" ht="15" customHeight="1">
      <c r="A169" s="69" t="s">
        <v>840</v>
      </c>
      <c r="B169" s="69" t="s">
        <v>841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598</v>
      </c>
      <c r="O169" s="69"/>
      <c r="P169" s="69" t="s">
        <v>842</v>
      </c>
      <c r="Q169" s="69"/>
      <c r="R169" s="69"/>
      <c r="S169" s="69"/>
      <c r="T169" s="69"/>
    </row>
    <row r="170" spans="1:20" ht="30" customHeight="1">
      <c r="A170" s="66" t="s">
        <v>843</v>
      </c>
      <c r="B170" s="66" t="s">
        <v>844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845</v>
      </c>
      <c r="M170" s="66"/>
      <c r="N170" s="66" t="s">
        <v>425</v>
      </c>
      <c r="O170" s="66"/>
      <c r="P170" s="66" t="s">
        <v>846</v>
      </c>
      <c r="Q170" s="66"/>
      <c r="R170" s="66"/>
      <c r="S170" s="66"/>
      <c r="T170" s="66"/>
    </row>
    <row r="171" spans="1:20" ht="31.5" customHeight="1">
      <c r="A171" s="69" t="s">
        <v>847</v>
      </c>
      <c r="B171" s="66" t="s">
        <v>848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849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850</v>
      </c>
      <c r="B172" s="66" t="s">
        <v>851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0</v>
      </c>
      <c r="H172" s="80">
        <f t="shared" si="15"/>
        <v>2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0</v>
      </c>
      <c r="L172" s="66" t="s">
        <v>937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852</v>
      </c>
      <c r="B173" s="69" t="s">
        <v>853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854</v>
      </c>
      <c r="B174" s="66" t="s">
        <v>855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856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857</v>
      </c>
      <c r="B175" s="69" t="s">
        <v>858</v>
      </c>
      <c r="C175" s="69" t="s">
        <v>95</v>
      </c>
      <c r="D175" s="70">
        <v>698.25</v>
      </c>
      <c r="E175" s="70">
        <v>1250</v>
      </c>
      <c r="F175" s="79">
        <v>4</v>
      </c>
      <c r="G175" s="79">
        <v>6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2793</v>
      </c>
      <c r="K175" s="78">
        <f t="shared" si="17"/>
        <v>4189.5</v>
      </c>
      <c r="L175" s="69" t="s">
        <v>1078</v>
      </c>
      <c r="M175" s="69"/>
      <c r="N175" s="69" t="s">
        <v>510</v>
      </c>
      <c r="O175" s="69"/>
      <c r="P175" s="69" t="s">
        <v>1079</v>
      </c>
      <c r="Q175" s="69"/>
      <c r="R175" s="69"/>
      <c r="S175" s="69"/>
      <c r="T175" s="69"/>
    </row>
    <row r="176" spans="1:20" ht="24" customHeight="1">
      <c r="A176" s="66" t="s">
        <v>859</v>
      </c>
      <c r="B176" s="66" t="s">
        <v>860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921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861</v>
      </c>
      <c r="B177" s="69" t="s">
        <v>862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916</v>
      </c>
      <c r="M177" s="69"/>
      <c r="N177" s="69" t="s">
        <v>425</v>
      </c>
      <c r="O177" s="69"/>
      <c r="P177" s="69" t="s">
        <v>863</v>
      </c>
      <c r="Q177" s="69"/>
      <c r="R177" s="69"/>
      <c r="S177" s="69"/>
      <c r="T177" s="69"/>
    </row>
    <row r="178" spans="1:20" ht="15" customHeight="1">
      <c r="A178" s="66" t="s">
        <v>864</v>
      </c>
      <c r="B178" s="66" t="s">
        <v>865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915</v>
      </c>
      <c r="M178" s="66"/>
      <c r="N178" s="66" t="s">
        <v>425</v>
      </c>
      <c r="O178" s="66"/>
      <c r="P178" s="66" t="s">
        <v>866</v>
      </c>
      <c r="Q178" s="66"/>
      <c r="R178" s="66"/>
      <c r="S178" s="66"/>
      <c r="T178" s="66"/>
    </row>
    <row r="179" spans="1:20" ht="30" customHeight="1">
      <c r="A179" s="69" t="s">
        <v>867</v>
      </c>
      <c r="B179" s="69" t="s">
        <v>868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869</v>
      </c>
      <c r="M179" s="69"/>
      <c r="N179" s="69" t="s">
        <v>425</v>
      </c>
      <c r="O179" s="69"/>
      <c r="P179" s="69" t="s">
        <v>870</v>
      </c>
      <c r="Q179" s="69"/>
      <c r="R179" s="69"/>
      <c r="S179" s="69"/>
      <c r="T179" s="69"/>
    </row>
    <row r="180" spans="1:20" ht="34" customHeight="1">
      <c r="A180" s="66" t="s">
        <v>871</v>
      </c>
      <c r="B180" s="66" t="s">
        <v>872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920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873</v>
      </c>
      <c r="B181" s="69" t="s">
        <v>955</v>
      </c>
      <c r="C181" s="69" t="s">
        <v>96</v>
      </c>
      <c r="D181" s="70">
        <v>1019</v>
      </c>
      <c r="E181" s="70">
        <v>1499</v>
      </c>
      <c r="F181" s="79">
        <v>0</v>
      </c>
      <c r="G181" s="79">
        <v>4</v>
      </c>
      <c r="H181" s="78">
        <f t="shared" ref="H181:H182" si="18">F181+IF(LEN(G181)=0,0,G181)</f>
        <v>4</v>
      </c>
      <c r="I181" s="78">
        <f>IF(D181&lt;&gt;"",D181,IFERROR(E181/(IFERROR(SUM(Sales!C:C),0))*(IFERROR(SUM(Purchases!C:C),0)),0))</f>
        <v>1019</v>
      </c>
      <c r="J181" s="78">
        <f t="shared" ref="J181:J182" si="19">F181*I181</f>
        <v>0</v>
      </c>
      <c r="K181" s="78">
        <f t="shared" ref="K181:K182" si="20">IF(LEN(G181)=0,0,G181)*I181</f>
        <v>4076</v>
      </c>
      <c r="L181" s="69"/>
      <c r="M181" s="69"/>
      <c r="N181" s="69" t="s">
        <v>598</v>
      </c>
      <c r="O181" s="69" t="s">
        <v>954</v>
      </c>
      <c r="P181" s="69" t="s">
        <v>958</v>
      </c>
      <c r="Q181" s="69"/>
      <c r="R181" s="69"/>
      <c r="S181" s="69"/>
      <c r="T181" s="69"/>
    </row>
    <row r="182" spans="1:20" ht="15" customHeight="1">
      <c r="A182" s="66" t="s">
        <v>874</v>
      </c>
      <c r="B182" s="66" t="s">
        <v>956</v>
      </c>
      <c r="C182" s="66" t="s">
        <v>95</v>
      </c>
      <c r="D182" s="67">
        <v>730</v>
      </c>
      <c r="E182" s="67">
        <v>1100</v>
      </c>
      <c r="F182" s="81">
        <v>0</v>
      </c>
      <c r="G182" s="81">
        <v>3</v>
      </c>
      <c r="H182" s="80">
        <f t="shared" si="18"/>
        <v>3</v>
      </c>
      <c r="I182" s="80">
        <f>IF(D182&lt;&gt;"",D182,IFERROR(E182/(IFERROR(SUM(Sales!C:C),0))*(IFERROR(SUM(Purchases!C:C),0)),0))</f>
        <v>730</v>
      </c>
      <c r="J182" s="80">
        <f t="shared" si="19"/>
        <v>0</v>
      </c>
      <c r="K182" s="80">
        <f t="shared" si="20"/>
        <v>2190</v>
      </c>
      <c r="L182" s="66"/>
      <c r="M182" s="66"/>
      <c r="N182" s="66" t="s">
        <v>598</v>
      </c>
      <c r="O182" s="66"/>
      <c r="P182" s="66" t="s">
        <v>957</v>
      </c>
      <c r="Q182" s="66"/>
      <c r="R182" s="66"/>
      <c r="S182" s="66"/>
      <c r="T182" s="66"/>
    </row>
    <row r="183" spans="1:20" ht="15" customHeight="1">
      <c r="A183" s="69" t="s">
        <v>875</v>
      </c>
      <c r="B183" s="69" t="s">
        <v>1003</v>
      </c>
      <c r="C183" s="69" t="s">
        <v>95</v>
      </c>
      <c r="D183" s="70">
        <v>419</v>
      </c>
      <c r="E183" s="70">
        <v>699</v>
      </c>
      <c r="F183" s="79">
        <v>0</v>
      </c>
      <c r="G183" s="79">
        <v>8</v>
      </c>
      <c r="H183" s="78">
        <v>0</v>
      </c>
      <c r="I183" s="78">
        <f>IF(D183&lt;&gt;"",D183,IFERROR(E183/(IFERROR(SUM(Sales!C:C),0))*(IFERROR(SUM(Purchases!C:C),0)),0))</f>
        <v>419</v>
      </c>
      <c r="J183" s="78">
        <f t="shared" ref="J183:J226" si="21">F183*I183</f>
        <v>0</v>
      </c>
      <c r="K183" s="78">
        <f t="shared" ref="K183:K226" si="22">IF(LEN(G183)=0,0,G183)*I183</f>
        <v>3352</v>
      </c>
      <c r="L183" s="69"/>
      <c r="M183" s="69"/>
      <c r="N183" s="69" t="s">
        <v>598</v>
      </c>
      <c r="O183" s="69"/>
      <c r="P183" s="69"/>
      <c r="Q183" s="69"/>
      <c r="R183" s="69"/>
      <c r="S183" s="69"/>
      <c r="T183" s="69"/>
    </row>
    <row r="184" spans="1:20" ht="40" customHeight="1">
      <c r="A184" s="66" t="s">
        <v>876</v>
      </c>
      <c r="B184" s="66" t="s">
        <v>1006</v>
      </c>
      <c r="C184" s="66" t="s">
        <v>95</v>
      </c>
      <c r="D184" s="67">
        <v>891</v>
      </c>
      <c r="E184" s="67">
        <v>1380</v>
      </c>
      <c r="F184" s="81">
        <v>11</v>
      </c>
      <c r="G184" s="81">
        <v>9</v>
      </c>
      <c r="H184" s="80">
        <f t="shared" ref="H184:H226" si="23">F184+IF(LEN(G184)=0,0,G184)</f>
        <v>20</v>
      </c>
      <c r="I184" s="80">
        <f>IF(D184&lt;&gt;"",D184,IFERROR(E184/(IFERROR(SUM(Sales!C:C),0))*(IFERROR(SUM(Purchases!C:C),0)),0))</f>
        <v>891</v>
      </c>
      <c r="J184" s="80">
        <f t="shared" si="21"/>
        <v>9801</v>
      </c>
      <c r="K184" s="80">
        <f t="shared" si="22"/>
        <v>8019</v>
      </c>
      <c r="L184" s="66" t="s">
        <v>1110</v>
      </c>
      <c r="M184" s="66"/>
      <c r="N184" s="66" t="s">
        <v>510</v>
      </c>
      <c r="O184" s="66"/>
      <c r="P184" s="66"/>
      <c r="Q184" s="66"/>
      <c r="R184" s="66"/>
      <c r="S184" s="66"/>
      <c r="T184" s="66"/>
    </row>
    <row r="185" spans="1:20" ht="15" customHeight="1">
      <c r="A185" s="69" t="s">
        <v>877</v>
      </c>
      <c r="B185" s="69" t="s">
        <v>1007</v>
      </c>
      <c r="C185" s="69" t="s">
        <v>95</v>
      </c>
      <c r="D185" s="70">
        <v>891</v>
      </c>
      <c r="E185" s="70">
        <v>1380</v>
      </c>
      <c r="F185" s="79">
        <v>5</v>
      </c>
      <c r="G185" s="79">
        <v>0</v>
      </c>
      <c r="H185" s="78">
        <f t="shared" si="23"/>
        <v>5</v>
      </c>
      <c r="I185" s="78">
        <f>IF(D185&lt;&gt;"",D185,IFERROR(E185/(IFERROR(SUM(Sales!C:C),0))*(IFERROR(SUM(Purchases!C:C),0)),0))</f>
        <v>891</v>
      </c>
      <c r="J185" s="78">
        <f t="shared" si="21"/>
        <v>4455</v>
      </c>
      <c r="K185" s="78">
        <f t="shared" si="22"/>
        <v>0</v>
      </c>
      <c r="L185" s="69" t="s">
        <v>1068</v>
      </c>
      <c r="M185" s="69"/>
      <c r="N185" s="69" t="s">
        <v>425</v>
      </c>
      <c r="O185" s="69"/>
      <c r="P185" s="69"/>
      <c r="Q185" s="69"/>
      <c r="R185" s="69"/>
      <c r="S185" s="69"/>
      <c r="T185" s="69"/>
    </row>
    <row r="186" spans="1:20" ht="15" customHeight="1">
      <c r="A186" s="66" t="s">
        <v>878</v>
      </c>
      <c r="B186" s="66" t="s">
        <v>713</v>
      </c>
      <c r="C186" s="66" t="s">
        <v>95</v>
      </c>
      <c r="D186" s="67">
        <v>891</v>
      </c>
      <c r="E186" s="67">
        <v>1380</v>
      </c>
      <c r="F186" s="81">
        <v>0</v>
      </c>
      <c r="G186" s="81">
        <v>2</v>
      </c>
      <c r="H186" s="80">
        <f t="shared" si="23"/>
        <v>2</v>
      </c>
      <c r="I186" s="80">
        <f>IF(D186&lt;&gt;"",D186,IFERROR(E186/(IFERROR(SUM(Sales!C:C),0))*(IFERROR(SUM(Purchases!C:C),0)),0))</f>
        <v>891</v>
      </c>
      <c r="J186" s="80">
        <f t="shared" si="21"/>
        <v>0</v>
      </c>
      <c r="K186" s="80">
        <f t="shared" si="22"/>
        <v>1782</v>
      </c>
      <c r="L186" s="66"/>
      <c r="M186" s="66"/>
      <c r="N186" s="66" t="s">
        <v>598</v>
      </c>
      <c r="O186" s="66"/>
      <c r="P186" s="66"/>
      <c r="Q186" s="66"/>
      <c r="R186" s="66"/>
      <c r="S186" s="66"/>
      <c r="T186" s="66"/>
    </row>
    <row r="187" spans="1:20" ht="15" customHeight="1">
      <c r="A187" s="69" t="s">
        <v>879</v>
      </c>
      <c r="B187" s="69" t="s">
        <v>1008</v>
      </c>
      <c r="C187" s="69" t="s">
        <v>95</v>
      </c>
      <c r="D187" s="70">
        <v>891</v>
      </c>
      <c r="E187" s="70">
        <v>1380</v>
      </c>
      <c r="F187" s="79">
        <v>0</v>
      </c>
      <c r="G187" s="79">
        <v>2</v>
      </c>
      <c r="H187" s="78">
        <f t="shared" si="23"/>
        <v>2</v>
      </c>
      <c r="I187" s="78">
        <f>IF(D187&lt;&gt;"",D187,IFERROR(E187/(IFERROR(SUM(Sales!C:C),0))*(IFERROR(SUM(Purchases!C:C),0)),0))</f>
        <v>891</v>
      </c>
      <c r="J187" s="78">
        <f t="shared" si="21"/>
        <v>0</v>
      </c>
      <c r="K187" s="78">
        <f t="shared" si="22"/>
        <v>1782</v>
      </c>
      <c r="L187" s="69"/>
      <c r="M187" s="69"/>
      <c r="N187" s="69" t="s">
        <v>598</v>
      </c>
      <c r="O187" s="69"/>
      <c r="P187" s="69"/>
      <c r="Q187" s="69"/>
      <c r="R187" s="69"/>
      <c r="S187" s="69"/>
      <c r="T187" s="69"/>
    </row>
    <row r="188" spans="1:20" ht="15" customHeight="1">
      <c r="A188" s="66" t="s">
        <v>880</v>
      </c>
      <c r="B188" s="66" t="s">
        <v>1009</v>
      </c>
      <c r="C188" s="66" t="s">
        <v>95</v>
      </c>
      <c r="D188" s="67">
        <v>891</v>
      </c>
      <c r="E188" s="67">
        <v>1380</v>
      </c>
      <c r="F188" s="81">
        <v>0</v>
      </c>
      <c r="G188" s="81">
        <v>2</v>
      </c>
      <c r="H188" s="80">
        <f t="shared" si="23"/>
        <v>2</v>
      </c>
      <c r="I188" s="80">
        <f>IF(D188&lt;&gt;"",D188,IFERROR(E188/(IFERROR(SUM(Sales!C:C),0))*(IFERROR(SUM(Purchases!C:C),0)),0))</f>
        <v>891</v>
      </c>
      <c r="J188" s="80">
        <f t="shared" si="21"/>
        <v>0</v>
      </c>
      <c r="K188" s="80">
        <f t="shared" si="22"/>
        <v>1782</v>
      </c>
      <c r="L188" s="66"/>
      <c r="M188" s="66"/>
      <c r="N188" s="66" t="s">
        <v>598</v>
      </c>
      <c r="O188" s="66"/>
      <c r="P188" s="66"/>
      <c r="Q188" s="66"/>
      <c r="R188" s="66"/>
      <c r="S188" s="66"/>
      <c r="T188" s="66"/>
    </row>
    <row r="189" spans="1:20" ht="30">
      <c r="A189" s="69" t="s">
        <v>965</v>
      </c>
      <c r="B189" s="66" t="s">
        <v>1010</v>
      </c>
      <c r="C189" s="66" t="s">
        <v>95</v>
      </c>
      <c r="D189" s="67">
        <v>891</v>
      </c>
      <c r="E189" s="67">
        <v>1380</v>
      </c>
      <c r="F189" s="79">
        <v>2</v>
      </c>
      <c r="G189" s="79">
        <v>6</v>
      </c>
      <c r="H189" s="78">
        <f t="shared" si="23"/>
        <v>8</v>
      </c>
      <c r="I189" s="78">
        <f>IF(D189&lt;&gt;"",D189,IFERROR(E189/(IFERROR(SUM(Sales!C:C),0))*(IFERROR(SUM(Purchases!C:C),0)),0))</f>
        <v>891</v>
      </c>
      <c r="J189" s="78">
        <f t="shared" si="21"/>
        <v>1782</v>
      </c>
      <c r="K189" s="78">
        <f t="shared" si="22"/>
        <v>5346</v>
      </c>
      <c r="L189" s="69" t="s">
        <v>1103</v>
      </c>
      <c r="M189" s="69"/>
      <c r="N189" s="69" t="s">
        <v>510</v>
      </c>
      <c r="O189" s="69"/>
      <c r="P189" s="69" t="s">
        <v>1102</v>
      </c>
      <c r="Q189" s="69"/>
      <c r="R189" s="69"/>
      <c r="S189" s="69"/>
      <c r="T189" s="69"/>
    </row>
    <row r="190" spans="1:20" ht="15">
      <c r="A190" s="66" t="s">
        <v>966</v>
      </c>
      <c r="B190" s="69" t="s">
        <v>1011</v>
      </c>
      <c r="C190" s="69" t="s">
        <v>95</v>
      </c>
      <c r="D190" s="70">
        <v>891</v>
      </c>
      <c r="E190" s="70">
        <v>1380</v>
      </c>
      <c r="F190" s="81">
        <v>0</v>
      </c>
      <c r="G190" s="81">
        <v>3</v>
      </c>
      <c r="H190" s="80">
        <f t="shared" si="23"/>
        <v>3</v>
      </c>
      <c r="I190" s="80">
        <f>IF(D190&lt;&gt;"",D190,IFERROR(E190/(IFERROR(SUM(Sales!C:C),0))*(IFERROR(SUM(Purchases!C:C),0)),0))</f>
        <v>891</v>
      </c>
      <c r="J190" s="80">
        <f t="shared" si="21"/>
        <v>0</v>
      </c>
      <c r="K190" s="80">
        <f t="shared" si="22"/>
        <v>2673</v>
      </c>
      <c r="L190" s="66"/>
      <c r="M190" s="66"/>
      <c r="N190" s="61" t="s">
        <v>1012</v>
      </c>
      <c r="P190" s="61" t="s">
        <v>1013</v>
      </c>
      <c r="S190" s="61"/>
      <c r="T190" s="61"/>
    </row>
    <row r="191" spans="1:20" ht="30">
      <c r="A191" s="69" t="s">
        <v>967</v>
      </c>
      <c r="B191" s="66" t="s">
        <v>1024</v>
      </c>
      <c r="C191" s="66" t="s">
        <v>95</v>
      </c>
      <c r="D191" s="67">
        <v>773</v>
      </c>
      <c r="E191" s="67">
        <v>1100</v>
      </c>
      <c r="F191" s="79">
        <v>0</v>
      </c>
      <c r="G191" s="79">
        <v>4</v>
      </c>
      <c r="H191" s="78">
        <f t="shared" si="23"/>
        <v>4</v>
      </c>
      <c r="I191" s="78">
        <f>IF(D191&lt;&gt;"",D191,IFERROR(E191/(IFERROR(SUM(Sales!C:C),0))*(IFERROR(SUM(Purchases!C:C),0)),0))</f>
        <v>773</v>
      </c>
      <c r="J191" s="78">
        <f t="shared" si="21"/>
        <v>0</v>
      </c>
      <c r="K191" s="78">
        <f t="shared" si="22"/>
        <v>3092</v>
      </c>
      <c r="L191" s="69"/>
      <c r="M191" s="69"/>
      <c r="N191" s="61" t="s">
        <v>598</v>
      </c>
      <c r="P191" s="61" t="s">
        <v>1025</v>
      </c>
      <c r="S191" s="61"/>
      <c r="T191" s="61"/>
    </row>
    <row r="192" spans="1:20" ht="15">
      <c r="A192" s="66" t="s">
        <v>968</v>
      </c>
      <c r="B192" s="69" t="s">
        <v>1027</v>
      </c>
      <c r="C192" s="69" t="s">
        <v>95</v>
      </c>
      <c r="D192" s="70">
        <v>808</v>
      </c>
      <c r="E192" s="70">
        <v>1250</v>
      </c>
      <c r="F192" s="81">
        <v>0</v>
      </c>
      <c r="G192" s="81">
        <v>3</v>
      </c>
      <c r="H192" s="80">
        <f t="shared" si="23"/>
        <v>3</v>
      </c>
      <c r="I192" s="80">
        <f>IF(D192&lt;&gt;"",D192,IFERROR(E192/(IFERROR(SUM(Sales!C:C),0))*(IFERROR(SUM(Purchases!C:C),0)),0))</f>
        <v>808</v>
      </c>
      <c r="J192" s="80">
        <f t="shared" si="21"/>
        <v>0</v>
      </c>
      <c r="K192" s="80">
        <f t="shared" si="22"/>
        <v>2424</v>
      </c>
      <c r="L192" s="66"/>
      <c r="M192" s="66"/>
      <c r="N192" s="61" t="s">
        <v>598</v>
      </c>
      <c r="P192" s="61" t="s">
        <v>1026</v>
      </c>
      <c r="S192" s="61"/>
      <c r="T192" s="61"/>
    </row>
    <row r="193" spans="1:20" ht="15">
      <c r="A193" s="69" t="s">
        <v>969</v>
      </c>
      <c r="B193" s="66" t="s">
        <v>1028</v>
      </c>
      <c r="C193" s="66" t="s">
        <v>95</v>
      </c>
      <c r="D193" s="67">
        <v>1024</v>
      </c>
      <c r="E193" s="67">
        <v>1550</v>
      </c>
      <c r="F193" s="79">
        <v>0</v>
      </c>
      <c r="G193" s="79">
        <v>1</v>
      </c>
      <c r="H193" s="78">
        <f t="shared" si="23"/>
        <v>1</v>
      </c>
      <c r="I193" s="78">
        <f>IF(D193&lt;&gt;"",D193,IFERROR(E193/(IFERROR(SUM(Sales!C:C),0))*(IFERROR(SUM(Purchases!C:C),0)),0))</f>
        <v>1024</v>
      </c>
      <c r="J193" s="78">
        <f t="shared" si="21"/>
        <v>0</v>
      </c>
      <c r="K193" s="78">
        <f t="shared" si="22"/>
        <v>1024</v>
      </c>
      <c r="L193" s="69"/>
      <c r="M193" s="69"/>
      <c r="N193" s="61" t="s">
        <v>598</v>
      </c>
      <c r="P193" s="61" t="s">
        <v>1029</v>
      </c>
      <c r="S193" s="61"/>
      <c r="T193" s="61"/>
    </row>
    <row r="194" spans="1:20" ht="15">
      <c r="A194" s="66" t="s">
        <v>970</v>
      </c>
      <c r="B194" s="66" t="s">
        <v>1030</v>
      </c>
      <c r="C194" s="66" t="s">
        <v>95</v>
      </c>
      <c r="D194" s="67">
        <v>790</v>
      </c>
      <c r="E194" s="67">
        <v>1250</v>
      </c>
      <c r="F194" s="81">
        <v>0</v>
      </c>
      <c r="G194" s="81">
        <v>3</v>
      </c>
      <c r="H194" s="80">
        <f t="shared" si="23"/>
        <v>3</v>
      </c>
      <c r="I194" s="80">
        <f>IF(D194&lt;&gt;"",D194,IFERROR(E194/(IFERROR(SUM(Sales!C:C),0))*(IFERROR(SUM(Purchases!C:C),0)),0))</f>
        <v>790</v>
      </c>
      <c r="J194" s="80">
        <f t="shared" si="21"/>
        <v>0</v>
      </c>
      <c r="K194" s="80">
        <f t="shared" si="22"/>
        <v>2370</v>
      </c>
      <c r="L194" s="66"/>
      <c r="M194" s="66"/>
      <c r="N194" s="61" t="s">
        <v>598</v>
      </c>
      <c r="P194" s="61" t="s">
        <v>1031</v>
      </c>
      <c r="S194" s="61"/>
      <c r="T194" s="61"/>
    </row>
    <row r="195" spans="1:20" ht="15">
      <c r="A195" s="69" t="s">
        <v>971</v>
      </c>
      <c r="B195" s="69" t="s">
        <v>1032</v>
      </c>
      <c r="C195" s="69" t="s">
        <v>95</v>
      </c>
      <c r="D195" s="70">
        <v>781</v>
      </c>
      <c r="E195" s="70">
        <v>1250</v>
      </c>
      <c r="F195" s="79">
        <v>1</v>
      </c>
      <c r="G195" s="79">
        <v>7</v>
      </c>
      <c r="H195" s="78">
        <f t="shared" si="23"/>
        <v>8</v>
      </c>
      <c r="I195" s="78">
        <f>IF(D195&lt;&gt;"",D195,IFERROR(E195/(IFERROR(SUM(Sales!C:C),0))*(IFERROR(SUM(Purchases!C:C),0)),0))</f>
        <v>781</v>
      </c>
      <c r="J195" s="78">
        <f t="shared" si="21"/>
        <v>781</v>
      </c>
      <c r="K195" s="78">
        <f t="shared" si="22"/>
        <v>5467</v>
      </c>
      <c r="L195" s="69" t="s">
        <v>1073</v>
      </c>
      <c r="M195" s="69"/>
      <c r="N195" s="61" t="s">
        <v>510</v>
      </c>
      <c r="P195" s="61" t="s">
        <v>1072</v>
      </c>
      <c r="S195" s="61"/>
      <c r="T195" s="61"/>
    </row>
    <row r="196" spans="1:20" ht="15">
      <c r="A196" s="66" t="s">
        <v>972</v>
      </c>
      <c r="B196" s="66" t="s">
        <v>1033</v>
      </c>
      <c r="C196" s="66" t="s">
        <v>95</v>
      </c>
      <c r="D196" s="67">
        <v>797</v>
      </c>
      <c r="E196" s="67">
        <v>1250</v>
      </c>
      <c r="F196" s="81">
        <v>0</v>
      </c>
      <c r="G196" s="81">
        <v>6</v>
      </c>
      <c r="H196" s="80">
        <f t="shared" si="23"/>
        <v>6</v>
      </c>
      <c r="I196" s="80">
        <f>IF(D196&lt;&gt;"",D196,IFERROR(E196/(IFERROR(SUM(Sales!C:C),0))*(IFERROR(SUM(Purchases!C:C),0)),0))</f>
        <v>797</v>
      </c>
      <c r="J196" s="80">
        <f t="shared" si="21"/>
        <v>0</v>
      </c>
      <c r="K196" s="80">
        <f t="shared" si="22"/>
        <v>4782</v>
      </c>
      <c r="L196" s="66"/>
      <c r="M196" s="66"/>
      <c r="N196" s="61" t="s">
        <v>598</v>
      </c>
      <c r="P196" s="61" t="s">
        <v>1034</v>
      </c>
      <c r="S196" s="61"/>
      <c r="T196" s="61"/>
    </row>
    <row r="197" spans="1:20" ht="15">
      <c r="A197" s="69" t="s">
        <v>973</v>
      </c>
      <c r="B197" s="69" t="s">
        <v>1035</v>
      </c>
      <c r="C197" s="69" t="s">
        <v>95</v>
      </c>
      <c r="D197" s="70">
        <v>772</v>
      </c>
      <c r="E197" s="70">
        <v>1250</v>
      </c>
      <c r="F197" s="79">
        <v>0</v>
      </c>
      <c r="G197" s="79">
        <v>4</v>
      </c>
      <c r="H197" s="78">
        <f t="shared" si="23"/>
        <v>4</v>
      </c>
      <c r="I197" s="78">
        <f>IF(D197&lt;&gt;"",D197,IFERROR(E197/(IFERROR(SUM(Sales!C:C),0))*(IFERROR(SUM(Purchases!C:C),0)),0))</f>
        <v>772</v>
      </c>
      <c r="J197" s="78">
        <f t="shared" si="21"/>
        <v>0</v>
      </c>
      <c r="K197" s="78">
        <f t="shared" si="22"/>
        <v>3088</v>
      </c>
      <c r="L197" s="69"/>
      <c r="M197" s="69"/>
      <c r="N197" s="61" t="s">
        <v>598</v>
      </c>
      <c r="P197" s="61" t="s">
        <v>1036</v>
      </c>
      <c r="S197" s="61"/>
      <c r="T197" s="61"/>
    </row>
    <row r="198" spans="1:20" ht="15">
      <c r="A198" s="66" t="s">
        <v>974</v>
      </c>
      <c r="B198" s="66" t="s">
        <v>1037</v>
      </c>
      <c r="C198" s="66" t="s">
        <v>95</v>
      </c>
      <c r="D198" s="67">
        <v>772</v>
      </c>
      <c r="E198" s="67">
        <v>1250</v>
      </c>
      <c r="F198" s="81">
        <v>0</v>
      </c>
      <c r="G198" s="81">
        <v>1</v>
      </c>
      <c r="H198" s="80">
        <f t="shared" si="23"/>
        <v>1</v>
      </c>
      <c r="I198" s="80">
        <f>IF(D198&lt;&gt;"",D198,IFERROR(E198/(IFERROR(SUM(Sales!C:C),0))*(IFERROR(SUM(Purchases!C:C),0)),0))</f>
        <v>772</v>
      </c>
      <c r="J198" s="80">
        <f t="shared" si="21"/>
        <v>0</v>
      </c>
      <c r="K198" s="80">
        <f t="shared" si="22"/>
        <v>772</v>
      </c>
      <c r="L198" s="66"/>
      <c r="M198" s="66"/>
      <c r="N198" s="61" t="s">
        <v>598</v>
      </c>
      <c r="P198" s="61" t="s">
        <v>1038</v>
      </c>
      <c r="S198" s="61"/>
      <c r="T198" s="61"/>
    </row>
    <row r="199" spans="1:20" ht="15">
      <c r="A199" s="69" t="s">
        <v>975</v>
      </c>
      <c r="B199" s="66" t="s">
        <v>1039</v>
      </c>
      <c r="C199" s="66" t="s">
        <v>95</v>
      </c>
      <c r="D199" s="67">
        <v>467</v>
      </c>
      <c r="E199" s="67">
        <v>850</v>
      </c>
      <c r="F199" s="79">
        <v>0</v>
      </c>
      <c r="G199" s="79">
        <v>4</v>
      </c>
      <c r="H199" s="78">
        <f t="shared" si="23"/>
        <v>4</v>
      </c>
      <c r="I199" s="78">
        <f>IF(D199&lt;&gt;"",D199,IFERROR(E199/(IFERROR(SUM(Sales!C:C),0))*(IFERROR(SUM(Purchases!C:C),0)),0))</f>
        <v>467</v>
      </c>
      <c r="J199" s="78">
        <f t="shared" si="21"/>
        <v>0</v>
      </c>
      <c r="K199" s="78">
        <f t="shared" si="22"/>
        <v>1868</v>
      </c>
      <c r="L199" s="69"/>
      <c r="M199" s="69"/>
      <c r="N199" s="61" t="s">
        <v>598</v>
      </c>
      <c r="P199" s="61" t="s">
        <v>1040</v>
      </c>
      <c r="S199" s="61"/>
      <c r="T199" s="61"/>
    </row>
    <row r="200" spans="1:20" ht="30">
      <c r="A200" s="66" t="s">
        <v>976</v>
      </c>
      <c r="B200" s="69" t="s">
        <v>1041</v>
      </c>
      <c r="C200" s="69" t="s">
        <v>95</v>
      </c>
      <c r="D200" s="70">
        <v>866</v>
      </c>
      <c r="E200" s="70">
        <v>1350</v>
      </c>
      <c r="F200" s="81">
        <v>3</v>
      </c>
      <c r="G200" s="81">
        <v>2</v>
      </c>
      <c r="H200" s="80">
        <f t="shared" si="23"/>
        <v>5</v>
      </c>
      <c r="I200" s="80">
        <f>IF(D200&lt;&gt;"",D200,IFERROR(E200/(IFERROR(SUM(Sales!C:C),0))*(IFERROR(SUM(Purchases!C:C),0)),0))</f>
        <v>866</v>
      </c>
      <c r="J200" s="80">
        <f t="shared" si="21"/>
        <v>2598</v>
      </c>
      <c r="K200" s="80">
        <f t="shared" si="22"/>
        <v>1732</v>
      </c>
      <c r="L200" s="66" t="s">
        <v>1097</v>
      </c>
      <c r="M200" s="66"/>
      <c r="N200" s="61" t="s">
        <v>510</v>
      </c>
      <c r="P200" s="61" t="s">
        <v>1042</v>
      </c>
      <c r="S200" s="61"/>
      <c r="T200" s="61"/>
    </row>
    <row r="201" spans="1:20" ht="15">
      <c r="A201" s="69" t="s">
        <v>977</v>
      </c>
      <c r="B201" s="66" t="s">
        <v>1043</v>
      </c>
      <c r="C201" s="66" t="s">
        <v>95</v>
      </c>
      <c r="D201" s="67">
        <v>724</v>
      </c>
      <c r="E201" s="67">
        <v>1250</v>
      </c>
      <c r="F201" s="79">
        <v>1</v>
      </c>
      <c r="G201" s="79">
        <v>1</v>
      </c>
      <c r="H201" s="78">
        <f t="shared" si="23"/>
        <v>2</v>
      </c>
      <c r="I201" s="78">
        <f>IF(D201&lt;&gt;"",D201,IFERROR(E201/(IFERROR(SUM(Sales!C:C),0))*(IFERROR(SUM(Purchases!C:C),0)),0))</f>
        <v>724</v>
      </c>
      <c r="J201" s="78">
        <f t="shared" si="21"/>
        <v>724</v>
      </c>
      <c r="K201" s="78">
        <f t="shared" si="22"/>
        <v>724</v>
      </c>
      <c r="L201" s="69" t="s">
        <v>1076</v>
      </c>
      <c r="M201" s="69"/>
      <c r="N201" s="61" t="s">
        <v>510</v>
      </c>
      <c r="P201" s="61" t="s">
        <v>1077</v>
      </c>
      <c r="S201" s="61"/>
      <c r="T201" s="61"/>
    </row>
    <row r="202" spans="1:20" ht="15">
      <c r="A202" s="66" t="s">
        <v>978</v>
      </c>
      <c r="B202" s="69" t="s">
        <v>1044</v>
      </c>
      <c r="C202" s="69" t="s">
        <v>95</v>
      </c>
      <c r="D202" s="70">
        <v>940</v>
      </c>
      <c r="E202" s="70">
        <v>1500</v>
      </c>
      <c r="F202" s="81">
        <v>0</v>
      </c>
      <c r="G202" s="81">
        <v>5</v>
      </c>
      <c r="H202" s="80">
        <f t="shared" si="23"/>
        <v>5</v>
      </c>
      <c r="I202" s="80">
        <f>IF(D202&lt;&gt;"",D202,IFERROR(E202/(IFERROR(SUM(Sales!C:C),0))*(IFERROR(SUM(Purchases!C:C),0)),0))</f>
        <v>940</v>
      </c>
      <c r="J202" s="80">
        <f t="shared" si="21"/>
        <v>0</v>
      </c>
      <c r="K202" s="80">
        <f t="shared" si="22"/>
        <v>4700</v>
      </c>
      <c r="L202" s="66"/>
      <c r="M202" s="66"/>
      <c r="N202" s="61" t="s">
        <v>598</v>
      </c>
      <c r="P202" s="61" t="s">
        <v>1045</v>
      </c>
      <c r="S202" s="61"/>
      <c r="T202" s="61"/>
    </row>
    <row r="203" spans="1:20" ht="15">
      <c r="A203" s="69" t="s">
        <v>979</v>
      </c>
      <c r="B203" s="66" t="s">
        <v>1046</v>
      </c>
      <c r="C203" s="66" t="s">
        <v>95</v>
      </c>
      <c r="D203" s="67">
        <v>488.25</v>
      </c>
      <c r="E203" s="67">
        <v>699</v>
      </c>
      <c r="F203" s="79">
        <v>2</v>
      </c>
      <c r="G203" s="79">
        <v>0</v>
      </c>
      <c r="H203" s="78">
        <f t="shared" si="23"/>
        <v>2</v>
      </c>
      <c r="I203" s="78">
        <f>IF(D203&lt;&gt;"",D203,IFERROR(E203/(IFERROR(SUM(Sales!C:C),0))*(IFERROR(SUM(Purchases!C:C),0)),0))</f>
        <v>488.25</v>
      </c>
      <c r="J203" s="78">
        <f t="shared" si="21"/>
        <v>976.5</v>
      </c>
      <c r="K203" s="78">
        <f t="shared" si="22"/>
        <v>0</v>
      </c>
      <c r="L203" s="69" t="s">
        <v>1089</v>
      </c>
      <c r="M203" s="69"/>
      <c r="N203" s="61" t="s">
        <v>425</v>
      </c>
      <c r="P203" s="61" t="s">
        <v>1047</v>
      </c>
      <c r="S203" s="61"/>
      <c r="T203" s="61"/>
    </row>
    <row r="204" spans="1:20" ht="15">
      <c r="A204" s="66" t="s">
        <v>980</v>
      </c>
      <c r="B204" s="66" t="s">
        <v>1048</v>
      </c>
      <c r="C204" s="66" t="s">
        <v>95</v>
      </c>
      <c r="D204" s="67">
        <v>880</v>
      </c>
      <c r="E204" s="67">
        <v>1350</v>
      </c>
      <c r="F204" s="81">
        <v>1</v>
      </c>
      <c r="G204" s="81">
        <v>2</v>
      </c>
      <c r="H204" s="80">
        <f t="shared" si="23"/>
        <v>3</v>
      </c>
      <c r="I204" s="80">
        <f>IF(D204&lt;&gt;"",D204,IFERROR(E204/(IFERROR(SUM(Sales!C:C),0))*(IFERROR(SUM(Purchases!C:C),0)),0))</f>
        <v>880</v>
      </c>
      <c r="J204" s="80">
        <f t="shared" si="21"/>
        <v>880</v>
      </c>
      <c r="K204" s="80">
        <f t="shared" si="22"/>
        <v>1760</v>
      </c>
      <c r="L204" s="66" t="s">
        <v>1082</v>
      </c>
      <c r="M204" s="66"/>
      <c r="N204" s="61" t="s">
        <v>510</v>
      </c>
      <c r="P204" s="61" t="s">
        <v>1081</v>
      </c>
      <c r="S204" s="61"/>
      <c r="T204" s="61"/>
    </row>
    <row r="205" spans="1:20" ht="15">
      <c r="A205" s="69" t="s">
        <v>981</v>
      </c>
      <c r="B205" s="69" t="s">
        <v>1049</v>
      </c>
      <c r="C205" s="69" t="s">
        <v>95</v>
      </c>
      <c r="D205" s="70">
        <v>761</v>
      </c>
      <c r="E205" s="70">
        <v>1250</v>
      </c>
      <c r="F205" s="79">
        <v>1</v>
      </c>
      <c r="G205" s="79">
        <v>2</v>
      </c>
      <c r="H205" s="78">
        <f t="shared" si="23"/>
        <v>3</v>
      </c>
      <c r="I205" s="78">
        <f>IF(D205&lt;&gt;"",D205,IFERROR(E205/(IFERROR(SUM(Sales!C:C),0))*(IFERROR(SUM(Purchases!C:C),0)),0))</f>
        <v>761</v>
      </c>
      <c r="J205" s="78">
        <f t="shared" si="21"/>
        <v>761</v>
      </c>
      <c r="K205" s="78">
        <f t="shared" si="22"/>
        <v>1522</v>
      </c>
      <c r="L205" s="69" t="s">
        <v>1095</v>
      </c>
      <c r="M205" s="69"/>
      <c r="N205" s="61" t="s">
        <v>598</v>
      </c>
      <c r="P205" s="61" t="s">
        <v>1050</v>
      </c>
      <c r="S205" s="61"/>
      <c r="T205" s="61"/>
    </row>
    <row r="206" spans="1:20" ht="15">
      <c r="A206" s="66" t="s">
        <v>982</v>
      </c>
      <c r="B206" s="66" t="s">
        <v>1051</v>
      </c>
      <c r="C206" s="66" t="s">
        <v>95</v>
      </c>
      <c r="D206" s="67">
        <v>761</v>
      </c>
      <c r="E206" s="67">
        <v>1250</v>
      </c>
      <c r="F206" s="81">
        <v>0</v>
      </c>
      <c r="G206" s="81">
        <v>1</v>
      </c>
      <c r="H206" s="80">
        <f t="shared" si="23"/>
        <v>1</v>
      </c>
      <c r="I206" s="80">
        <f>IF(D206&lt;&gt;"",D206,IFERROR(E206/(IFERROR(SUM(Sales!C:C),0))*(IFERROR(SUM(Purchases!C:C),0)),0))</f>
        <v>761</v>
      </c>
      <c r="J206" s="80">
        <f t="shared" si="21"/>
        <v>0</v>
      </c>
      <c r="K206" s="80">
        <f t="shared" si="22"/>
        <v>761</v>
      </c>
      <c r="L206" s="66"/>
      <c r="M206" s="66"/>
      <c r="N206" s="61" t="s">
        <v>598</v>
      </c>
      <c r="P206" s="61" t="s">
        <v>1052</v>
      </c>
      <c r="S206" s="61"/>
      <c r="T206" s="61"/>
    </row>
    <row r="207" spans="1:20" ht="15">
      <c r="A207" s="69" t="s">
        <v>983</v>
      </c>
      <c r="B207" s="69" t="s">
        <v>1053</v>
      </c>
      <c r="C207" s="69" t="s">
        <v>95</v>
      </c>
      <c r="D207" s="70">
        <v>828</v>
      </c>
      <c r="E207" s="70">
        <v>1250</v>
      </c>
      <c r="F207" s="79">
        <v>1</v>
      </c>
      <c r="G207" s="79">
        <v>4</v>
      </c>
      <c r="H207" s="78">
        <f t="shared" si="23"/>
        <v>5</v>
      </c>
      <c r="I207" s="78">
        <f>IF(D207&lt;&gt;"",D207,IFERROR(E207/(IFERROR(SUM(Sales!C:C),0))*(IFERROR(SUM(Purchases!C:C),0)),0))</f>
        <v>828</v>
      </c>
      <c r="J207" s="78">
        <f t="shared" si="21"/>
        <v>828</v>
      </c>
      <c r="K207" s="78">
        <f t="shared" si="22"/>
        <v>3312</v>
      </c>
      <c r="L207" s="69" t="s">
        <v>1075</v>
      </c>
      <c r="M207" s="69"/>
      <c r="N207" s="61" t="s">
        <v>510</v>
      </c>
      <c r="P207" s="61" t="s">
        <v>1074</v>
      </c>
      <c r="S207" s="61"/>
      <c r="T207" s="61"/>
    </row>
    <row r="208" spans="1:20" ht="30">
      <c r="A208" s="66" t="s">
        <v>984</v>
      </c>
      <c r="B208" s="66" t="s">
        <v>1054</v>
      </c>
      <c r="C208" s="66" t="s">
        <v>95</v>
      </c>
      <c r="D208" s="67">
        <v>782</v>
      </c>
      <c r="E208" s="67">
        <v>1250</v>
      </c>
      <c r="F208" s="81">
        <v>0</v>
      </c>
      <c r="G208" s="81">
        <v>4</v>
      </c>
      <c r="H208" s="80">
        <f t="shared" si="23"/>
        <v>4</v>
      </c>
      <c r="I208" s="80">
        <f>IF(D208&lt;&gt;"",D208,IFERROR(E208/(IFERROR(SUM(Sales!C:C),0))*(IFERROR(SUM(Purchases!C:C),0)),0))</f>
        <v>782</v>
      </c>
      <c r="J208" s="80">
        <f t="shared" si="21"/>
        <v>0</v>
      </c>
      <c r="K208" s="80">
        <f t="shared" si="22"/>
        <v>3128</v>
      </c>
      <c r="L208" s="66"/>
      <c r="M208" s="66"/>
      <c r="N208" s="61" t="s">
        <v>598</v>
      </c>
      <c r="P208" s="61" t="s">
        <v>1055</v>
      </c>
      <c r="S208" s="61"/>
      <c r="T208" s="61"/>
    </row>
    <row r="209" spans="1:20" ht="15">
      <c r="A209" s="69" t="s">
        <v>985</v>
      </c>
      <c r="B209" s="66" t="s">
        <v>1056</v>
      </c>
      <c r="C209" s="66" t="s">
        <v>95</v>
      </c>
      <c r="D209" s="67">
        <v>982</v>
      </c>
      <c r="E209" s="67">
        <v>1550</v>
      </c>
      <c r="F209" s="79">
        <v>0</v>
      </c>
      <c r="G209" s="79">
        <v>2</v>
      </c>
      <c r="H209" s="78">
        <f t="shared" si="23"/>
        <v>2</v>
      </c>
      <c r="I209" s="78">
        <f>IF(D209&lt;&gt;"",D209,IFERROR(E209/(IFERROR(SUM(Sales!C:C),0))*(IFERROR(SUM(Purchases!C:C),0)),0))</f>
        <v>982</v>
      </c>
      <c r="J209" s="78">
        <f t="shared" si="21"/>
        <v>0</v>
      </c>
      <c r="K209" s="78">
        <f t="shared" si="22"/>
        <v>1964</v>
      </c>
      <c r="L209" s="69"/>
      <c r="M209" s="69"/>
      <c r="N209" s="61" t="s">
        <v>598</v>
      </c>
      <c r="P209" s="61" t="s">
        <v>1057</v>
      </c>
      <c r="S209" s="61"/>
      <c r="T209" s="61"/>
    </row>
    <row r="210" spans="1:20" ht="15">
      <c r="A210" s="66" t="s">
        <v>986</v>
      </c>
      <c r="B210" s="69" t="s">
        <v>1061</v>
      </c>
      <c r="C210" s="69" t="s">
        <v>95</v>
      </c>
      <c r="D210" s="70">
        <v>891</v>
      </c>
      <c r="E210" s="70">
        <v>1350</v>
      </c>
      <c r="F210" s="81">
        <v>0</v>
      </c>
      <c r="G210" s="81">
        <v>1</v>
      </c>
      <c r="H210" s="80">
        <f t="shared" si="23"/>
        <v>1</v>
      </c>
      <c r="I210" s="80">
        <f>IF(D210&lt;&gt;"",D210,IFERROR(E210/(IFERROR(SUM(Sales!C:C),0))*(IFERROR(SUM(Purchases!C:C),0)),0))</f>
        <v>891</v>
      </c>
      <c r="J210" s="80">
        <f t="shared" si="21"/>
        <v>0</v>
      </c>
      <c r="K210" s="80">
        <f t="shared" si="22"/>
        <v>891</v>
      </c>
      <c r="L210" s="66"/>
      <c r="M210" s="66"/>
      <c r="N210" s="61" t="s">
        <v>598</v>
      </c>
      <c r="P210" s="61" t="s">
        <v>1059</v>
      </c>
      <c r="S210" s="61"/>
      <c r="T210" s="61"/>
    </row>
    <row r="211" spans="1:20" ht="15">
      <c r="A211" s="69" t="s">
        <v>987</v>
      </c>
      <c r="B211" s="66" t="s">
        <v>1058</v>
      </c>
      <c r="C211" s="66" t="s">
        <v>95</v>
      </c>
      <c r="D211" s="67">
        <v>922</v>
      </c>
      <c r="E211" s="67">
        <v>1400</v>
      </c>
      <c r="F211" s="79">
        <v>0</v>
      </c>
      <c r="G211" s="79">
        <v>2</v>
      </c>
      <c r="H211" s="78">
        <f t="shared" si="23"/>
        <v>2</v>
      </c>
      <c r="I211" s="78">
        <f>IF(D211&lt;&gt;"",D211,IFERROR(E211/(IFERROR(SUM(Sales!C:C),0))*(IFERROR(SUM(Purchases!C:C),0)),0))</f>
        <v>922</v>
      </c>
      <c r="J211" s="78">
        <f t="shared" si="21"/>
        <v>0</v>
      </c>
      <c r="K211" s="78">
        <f t="shared" si="22"/>
        <v>1844</v>
      </c>
      <c r="L211" s="69"/>
      <c r="M211" s="69"/>
      <c r="N211" s="61" t="s">
        <v>598</v>
      </c>
      <c r="P211" s="61" t="s">
        <v>1060</v>
      </c>
      <c r="S211" s="61"/>
      <c r="T211" s="61"/>
    </row>
    <row r="212" spans="1:20" ht="15">
      <c r="A212" s="66" t="s">
        <v>988</v>
      </c>
      <c r="B212" s="69"/>
      <c r="C212" s="69"/>
      <c r="D212" s="70"/>
      <c r="E212" s="70"/>
      <c r="F212" s="81">
        <v>0</v>
      </c>
      <c r="G212" s="81">
        <v>-27</v>
      </c>
      <c r="H212" s="80">
        <f t="shared" si="23"/>
        <v>-27</v>
      </c>
      <c r="I212" s="80">
        <f>IF(D212&lt;&gt;"",D212,IFERROR(E212/(IFERROR(SUM(Sales!C:C),0))*(IFERROR(SUM(Purchases!C:C),0)),0))</f>
        <v>0</v>
      </c>
      <c r="J212" s="80">
        <f t="shared" si="21"/>
        <v>0</v>
      </c>
      <c r="K212" s="80">
        <f t="shared" si="22"/>
        <v>0</v>
      </c>
      <c r="L212" s="66"/>
      <c r="M212" s="66"/>
      <c r="S212" s="61"/>
      <c r="T212" s="61"/>
    </row>
    <row r="213" spans="1:20" ht="15">
      <c r="A213" s="69" t="s">
        <v>989</v>
      </c>
      <c r="B213" s="66"/>
      <c r="C213" s="66"/>
      <c r="D213" s="67"/>
      <c r="E213" s="67"/>
      <c r="F213" s="79">
        <v>0</v>
      </c>
      <c r="G213" s="79">
        <v>-28</v>
      </c>
      <c r="H213" s="78">
        <f t="shared" si="23"/>
        <v>-28</v>
      </c>
      <c r="I213" s="78">
        <f>IF(D213&lt;&gt;"",D213,IFERROR(E213/(IFERROR(SUM(Sales!C:C),0))*(IFERROR(SUM(Purchases!C:C),0)),0))</f>
        <v>0</v>
      </c>
      <c r="J213" s="78">
        <f t="shared" si="21"/>
        <v>0</v>
      </c>
      <c r="K213" s="78">
        <f t="shared" si="22"/>
        <v>0</v>
      </c>
      <c r="L213" s="69"/>
      <c r="M213" s="69"/>
      <c r="S213" s="61"/>
      <c r="T213" s="61"/>
    </row>
    <row r="214" spans="1:20" ht="15">
      <c r="A214" s="66" t="s">
        <v>990</v>
      </c>
      <c r="B214" s="66"/>
      <c r="C214" s="66"/>
      <c r="D214" s="67"/>
      <c r="E214" s="67"/>
      <c r="F214" s="81">
        <v>0</v>
      </c>
      <c r="G214" s="81">
        <v>-29</v>
      </c>
      <c r="H214" s="80">
        <f t="shared" si="23"/>
        <v>-29</v>
      </c>
      <c r="I214" s="80">
        <f>IF(D214&lt;&gt;"",D214,IFERROR(E214/(IFERROR(SUM(Sales!C:C),0))*(IFERROR(SUM(Purchases!C:C),0)),0))</f>
        <v>0</v>
      </c>
      <c r="J214" s="80">
        <f t="shared" si="21"/>
        <v>0</v>
      </c>
      <c r="K214" s="80">
        <f t="shared" si="22"/>
        <v>0</v>
      </c>
      <c r="L214" s="66"/>
      <c r="M214" s="66"/>
      <c r="S214" s="61"/>
      <c r="T214" s="61"/>
    </row>
    <row r="215" spans="1:20" ht="15">
      <c r="A215" s="69" t="s">
        <v>991</v>
      </c>
      <c r="B215" s="69"/>
      <c r="C215" s="69"/>
      <c r="D215" s="70"/>
      <c r="E215" s="70"/>
      <c r="F215" s="79">
        <v>0</v>
      </c>
      <c r="G215" s="79">
        <v>-30</v>
      </c>
      <c r="H215" s="78">
        <f t="shared" si="23"/>
        <v>-30</v>
      </c>
      <c r="I215" s="78">
        <f>IF(D215&lt;&gt;"",D215,IFERROR(E215/(IFERROR(SUM(Sales!C:C),0))*(IFERROR(SUM(Purchases!C:C),0)),0))</f>
        <v>0</v>
      </c>
      <c r="J215" s="78">
        <f t="shared" si="21"/>
        <v>0</v>
      </c>
      <c r="K215" s="78">
        <f t="shared" si="22"/>
        <v>0</v>
      </c>
      <c r="L215" s="69"/>
      <c r="M215" s="69"/>
      <c r="S215" s="61"/>
      <c r="T215" s="61"/>
    </row>
    <row r="216" spans="1:20" ht="15">
      <c r="A216" s="66" t="s">
        <v>992</v>
      </c>
      <c r="B216" s="66"/>
      <c r="C216" s="66"/>
      <c r="D216" s="67"/>
      <c r="E216" s="67"/>
      <c r="F216" s="81">
        <v>0</v>
      </c>
      <c r="G216" s="81">
        <v>-31</v>
      </c>
      <c r="H216" s="80">
        <f t="shared" si="23"/>
        <v>-31</v>
      </c>
      <c r="I216" s="80">
        <f>IF(D216&lt;&gt;"",D216,IFERROR(E216/(IFERROR(SUM(Sales!C:C),0))*(IFERROR(SUM(Purchases!C:C),0)),0))</f>
        <v>0</v>
      </c>
      <c r="J216" s="80">
        <f t="shared" si="21"/>
        <v>0</v>
      </c>
      <c r="K216" s="80">
        <f t="shared" si="22"/>
        <v>0</v>
      </c>
      <c r="L216" s="66"/>
      <c r="M216" s="66"/>
      <c r="S216" s="61"/>
      <c r="T216" s="61"/>
    </row>
    <row r="217" spans="1:20" ht="15">
      <c r="A217" s="69" t="s">
        <v>993</v>
      </c>
      <c r="B217" s="69"/>
      <c r="C217" s="69"/>
      <c r="D217" s="70"/>
      <c r="E217" s="70"/>
      <c r="F217" s="79">
        <v>0</v>
      </c>
      <c r="G217" s="79">
        <v>-32</v>
      </c>
      <c r="H217" s="78">
        <f t="shared" si="23"/>
        <v>-32</v>
      </c>
      <c r="I217" s="78">
        <f>IF(D217&lt;&gt;"",D217,IFERROR(E217/(IFERROR(SUM(Sales!C:C),0))*(IFERROR(SUM(Purchases!C:C),0)),0))</f>
        <v>0</v>
      </c>
      <c r="J217" s="78">
        <f t="shared" si="21"/>
        <v>0</v>
      </c>
      <c r="K217" s="78">
        <f t="shared" si="22"/>
        <v>0</v>
      </c>
      <c r="L217" s="69"/>
      <c r="M217" s="69"/>
      <c r="S217" s="61"/>
      <c r="T217" s="61"/>
    </row>
    <row r="218" spans="1:20" ht="15">
      <c r="A218" s="66" t="s">
        <v>994</v>
      </c>
      <c r="B218" s="66"/>
      <c r="C218" s="66"/>
      <c r="D218" s="67"/>
      <c r="E218" s="67"/>
      <c r="F218" s="81">
        <v>0</v>
      </c>
      <c r="G218" s="81">
        <v>-33</v>
      </c>
      <c r="H218" s="80">
        <f t="shared" si="23"/>
        <v>-33</v>
      </c>
      <c r="I218" s="80">
        <f>IF(D218&lt;&gt;"",D218,IFERROR(E218/(IFERROR(SUM(Sales!C:C),0))*(IFERROR(SUM(Purchases!C:C),0)),0))</f>
        <v>0</v>
      </c>
      <c r="J218" s="80">
        <f t="shared" si="21"/>
        <v>0</v>
      </c>
      <c r="K218" s="80">
        <f t="shared" si="22"/>
        <v>0</v>
      </c>
      <c r="L218" s="66"/>
      <c r="M218" s="66"/>
      <c r="S218" s="61"/>
      <c r="T218" s="61"/>
    </row>
    <row r="219" spans="1:20" ht="15">
      <c r="A219" s="69" t="s">
        <v>995</v>
      </c>
      <c r="B219" s="66"/>
      <c r="C219" s="66"/>
      <c r="D219" s="67"/>
      <c r="E219" s="67"/>
      <c r="F219" s="79">
        <v>0</v>
      </c>
      <c r="G219" s="79">
        <v>-34</v>
      </c>
      <c r="H219" s="78">
        <f t="shared" si="23"/>
        <v>-34</v>
      </c>
      <c r="I219" s="78">
        <f>IF(D219&lt;&gt;"",D219,IFERROR(E219/(IFERROR(SUM(Sales!C:C),0))*(IFERROR(SUM(Purchases!C:C),0)),0))</f>
        <v>0</v>
      </c>
      <c r="J219" s="78">
        <f t="shared" si="21"/>
        <v>0</v>
      </c>
      <c r="K219" s="78">
        <f t="shared" si="22"/>
        <v>0</v>
      </c>
      <c r="L219" s="69"/>
      <c r="M219" s="69"/>
      <c r="S219" s="61"/>
      <c r="T219" s="61"/>
    </row>
    <row r="220" spans="1:20" ht="15">
      <c r="A220" s="66" t="s">
        <v>996</v>
      </c>
      <c r="B220" s="69"/>
      <c r="C220" s="69"/>
      <c r="D220" s="70"/>
      <c r="E220" s="70"/>
      <c r="F220" s="81">
        <v>0</v>
      </c>
      <c r="G220" s="81">
        <v>-35</v>
      </c>
      <c r="H220" s="80">
        <f t="shared" si="23"/>
        <v>-35</v>
      </c>
      <c r="I220" s="80">
        <f>IF(D220&lt;&gt;"",D220,IFERROR(E220/(IFERROR(SUM(Sales!C:C),0))*(IFERROR(SUM(Purchases!C:C),0)),0))</f>
        <v>0</v>
      </c>
      <c r="J220" s="80">
        <f t="shared" si="21"/>
        <v>0</v>
      </c>
      <c r="K220" s="80">
        <f t="shared" si="22"/>
        <v>0</v>
      </c>
      <c r="L220" s="66"/>
      <c r="M220" s="66"/>
      <c r="S220" s="61"/>
      <c r="T220" s="61"/>
    </row>
    <row r="221" spans="1:20" ht="15">
      <c r="A221" s="69" t="s">
        <v>997</v>
      </c>
      <c r="B221" s="66"/>
      <c r="C221" s="66"/>
      <c r="D221" s="67"/>
      <c r="E221" s="67"/>
      <c r="F221" s="79">
        <v>0</v>
      </c>
      <c r="G221" s="79">
        <v>-36</v>
      </c>
      <c r="H221" s="78">
        <f t="shared" si="23"/>
        <v>-36</v>
      </c>
      <c r="I221" s="78">
        <f>IF(D221&lt;&gt;"",D221,IFERROR(E221/(IFERROR(SUM(Sales!C:C),0))*(IFERROR(SUM(Purchases!C:C),0)),0))</f>
        <v>0</v>
      </c>
      <c r="J221" s="78">
        <f t="shared" si="21"/>
        <v>0</v>
      </c>
      <c r="K221" s="78">
        <f t="shared" si="22"/>
        <v>0</v>
      </c>
      <c r="L221" s="69"/>
      <c r="M221" s="69"/>
      <c r="S221" s="61"/>
      <c r="T221" s="61"/>
    </row>
    <row r="222" spans="1:20" ht="15">
      <c r="A222" s="66" t="s">
        <v>998</v>
      </c>
      <c r="B222" s="69"/>
      <c r="C222" s="69"/>
      <c r="D222" s="70"/>
      <c r="E222" s="70"/>
      <c r="F222" s="81">
        <v>0</v>
      </c>
      <c r="G222" s="81">
        <v>-37</v>
      </c>
      <c r="H222" s="80">
        <f t="shared" si="23"/>
        <v>-37</v>
      </c>
      <c r="I222" s="80">
        <f>IF(D222&lt;&gt;"",D222,IFERROR(E222/(IFERROR(SUM(Sales!C:C),0))*(IFERROR(SUM(Purchases!C:C),0)),0))</f>
        <v>0</v>
      </c>
      <c r="J222" s="80">
        <f t="shared" si="21"/>
        <v>0</v>
      </c>
      <c r="K222" s="80">
        <f t="shared" si="22"/>
        <v>0</v>
      </c>
      <c r="L222" s="66"/>
      <c r="M222" s="66"/>
      <c r="S222" s="61"/>
      <c r="T222" s="61"/>
    </row>
    <row r="223" spans="1:20" ht="15">
      <c r="A223" s="69" t="s">
        <v>999</v>
      </c>
      <c r="B223" s="66"/>
      <c r="C223" s="66"/>
      <c r="D223" s="67"/>
      <c r="E223" s="67"/>
      <c r="F223" s="79">
        <v>0</v>
      </c>
      <c r="G223" s="79">
        <v>-38</v>
      </c>
      <c r="H223" s="78">
        <f t="shared" si="23"/>
        <v>-38</v>
      </c>
      <c r="I223" s="78">
        <f>IF(D223&lt;&gt;"",D223,IFERROR(E223/(IFERROR(SUM(Sales!C:C),0))*(IFERROR(SUM(Purchases!C:C),0)),0))</f>
        <v>0</v>
      </c>
      <c r="J223" s="78">
        <f t="shared" si="21"/>
        <v>0</v>
      </c>
      <c r="K223" s="78">
        <f t="shared" si="22"/>
        <v>0</v>
      </c>
      <c r="L223" s="69"/>
      <c r="M223" s="69"/>
      <c r="S223" s="61"/>
      <c r="T223" s="61"/>
    </row>
    <row r="224" spans="1:20" ht="15">
      <c r="A224" s="66" t="s">
        <v>1000</v>
      </c>
      <c r="B224" s="66"/>
      <c r="C224" s="66"/>
      <c r="D224" s="67"/>
      <c r="E224" s="67"/>
      <c r="F224" s="81">
        <v>0</v>
      </c>
      <c r="G224" s="81">
        <v>-39</v>
      </c>
      <c r="H224" s="80">
        <f t="shared" si="23"/>
        <v>-39</v>
      </c>
      <c r="I224" s="80">
        <f>IF(D224&lt;&gt;"",D224,IFERROR(E224/(IFERROR(SUM(Sales!C:C),0))*(IFERROR(SUM(Purchases!C:C),0)),0))</f>
        <v>0</v>
      </c>
      <c r="J224" s="80">
        <f t="shared" si="21"/>
        <v>0</v>
      </c>
      <c r="K224" s="80">
        <f t="shared" si="22"/>
        <v>0</v>
      </c>
      <c r="L224" s="66"/>
      <c r="M224" s="66"/>
      <c r="S224" s="61"/>
      <c r="T224" s="61"/>
    </row>
    <row r="225" spans="1:20" ht="15">
      <c r="A225" s="69" t="s">
        <v>1001</v>
      </c>
      <c r="B225" s="69"/>
      <c r="C225" s="69"/>
      <c r="D225" s="70"/>
      <c r="E225" s="70"/>
      <c r="F225" s="79">
        <v>0</v>
      </c>
      <c r="G225" s="79">
        <v>-40</v>
      </c>
      <c r="H225" s="78">
        <f t="shared" si="23"/>
        <v>-40</v>
      </c>
      <c r="I225" s="78">
        <f>IF(D225&lt;&gt;"",D225,IFERROR(E225/(IFERROR(SUM(Sales!C:C),0))*(IFERROR(SUM(Purchases!C:C),0)),0))</f>
        <v>0</v>
      </c>
      <c r="J225" s="78">
        <f t="shared" si="21"/>
        <v>0</v>
      </c>
      <c r="K225" s="78">
        <f t="shared" si="22"/>
        <v>0</v>
      </c>
      <c r="L225" s="69"/>
      <c r="M225" s="69"/>
      <c r="S225" s="61"/>
      <c r="T225" s="61"/>
    </row>
    <row r="226" spans="1:20" ht="15">
      <c r="A226" s="66" t="s">
        <v>1002</v>
      </c>
      <c r="B226" s="66"/>
      <c r="C226" s="66"/>
      <c r="D226" s="67"/>
      <c r="E226" s="67"/>
      <c r="F226" s="81">
        <v>0</v>
      </c>
      <c r="G226" s="81">
        <v>-41</v>
      </c>
      <c r="H226" s="80">
        <f t="shared" si="23"/>
        <v>-41</v>
      </c>
      <c r="I226" s="80">
        <f>IF(D226&lt;&gt;"",D226,IFERROR(E226/(IFERROR(SUM(Sales!C:C),0))*(IFERROR(SUM(Purchases!C:C),0)),0))</f>
        <v>0</v>
      </c>
      <c r="J226" s="80">
        <f t="shared" si="21"/>
        <v>0</v>
      </c>
      <c r="K226" s="80">
        <f t="shared" si="22"/>
        <v>0</v>
      </c>
      <c r="L226" s="66"/>
      <c r="S226" s="61"/>
      <c r="T226" s="61"/>
    </row>
    <row r="227" spans="1:20">
      <c r="S227" s="61"/>
      <c r="T227" s="61"/>
    </row>
    <row r="228" spans="1:20">
      <c r="S228" s="61"/>
      <c r="T228" s="61"/>
    </row>
    <row r="229" spans="1:20">
      <c r="S229" s="61"/>
      <c r="T229" s="61"/>
    </row>
    <row r="230" spans="1:20">
      <c r="S230" s="61"/>
      <c r="T230" s="61"/>
    </row>
    <row r="231" spans="1:20">
      <c r="S231" s="61"/>
      <c r="T231" s="61"/>
    </row>
    <row r="232" spans="1:20">
      <c r="S232" s="61"/>
      <c r="T232" s="61"/>
    </row>
    <row r="233" spans="1:20">
      <c r="S233" s="61"/>
      <c r="T233" s="61"/>
    </row>
    <row r="234" spans="1:20">
      <c r="S234" s="61"/>
      <c r="T234" s="61"/>
    </row>
    <row r="235" spans="1:20">
      <c r="S235" s="61"/>
      <c r="T235" s="61"/>
    </row>
    <row r="236" spans="1:20">
      <c r="S236" s="61"/>
      <c r="T236" s="61"/>
    </row>
    <row r="237" spans="1:20">
      <c r="S237" s="61"/>
      <c r="T237" s="61"/>
    </row>
    <row r="238" spans="1:20">
      <c r="S238" s="61"/>
      <c r="T238" s="61"/>
    </row>
    <row r="239" spans="1:20">
      <c r="S239" s="61"/>
      <c r="T239" s="61"/>
    </row>
    <row r="240" spans="1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881</v>
      </c>
      <c r="B1" s="95"/>
    </row>
    <row r="2" spans="1:8" ht="13.5" customHeight="1">
      <c r="A2" s="8" t="s">
        <v>42</v>
      </c>
      <c r="B2" s="8" t="s">
        <v>882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883</v>
      </c>
      <c r="C7" s="86" t="s">
        <v>884</v>
      </c>
      <c r="D7" s="86" t="s">
        <v>885</v>
      </c>
      <c r="E7" s="86" t="s">
        <v>886</v>
      </c>
      <c r="F7" s="86" t="s">
        <v>887</v>
      </c>
      <c r="G7" s="86" t="s">
        <v>888</v>
      </c>
      <c r="H7" s="86" t="s">
        <v>889</v>
      </c>
    </row>
    <row r="8" spans="1:8" ht="13.5" customHeight="1">
      <c r="A8" s="9" t="s">
        <v>49</v>
      </c>
      <c r="B8" s="9">
        <f>IFERROR(SUMIF(Purchases!$B:$B,$A8,Purchases!$C:$C),0)</f>
        <v>212783</v>
      </c>
      <c r="C8" s="9">
        <f>SUM($B$8:$B$10)/3</f>
        <v>151240</v>
      </c>
      <c r="D8" s="9">
        <f>B8-C8</f>
        <v>61543</v>
      </c>
      <c r="E8" s="9">
        <f>IF(Summary!$B$6&gt;0, Summary!$B$6*VLOOKUP($A8,$A$3:$B$5,2,FALSE()),0)</f>
        <v>0</v>
      </c>
      <c r="F8" s="9">
        <f>D8+E8</f>
        <v>61543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43239.66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151240</v>
      </c>
      <c r="D9" s="11">
        <f>B9-C9</f>
        <v>57097</v>
      </c>
      <c r="E9" s="11">
        <f>IF(Summary!$B$6&gt;0, Summary!$B$6*VLOOKUP($A9,$A$3:$B$5,2,FALSE()),0)</f>
        <v>0</v>
      </c>
      <c r="F9" s="11">
        <f>D9+E9</f>
        <v>57097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15457.669999999998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151240</v>
      </c>
      <c r="D10" s="9">
        <f>B10-C10</f>
        <v>-118640</v>
      </c>
      <c r="E10" s="9">
        <f>IF(Summary!$B$6&gt;0, Summary!$B$6*VLOOKUP($A10,$A$3:$B$5,2,FALSE()),0)</f>
        <v>0</v>
      </c>
      <c r="F10" s="9">
        <f>D10+E10</f>
        <v>-118640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-58697.33</v>
      </c>
    </row>
    <row r="12" spans="1:8" s="90" customFormat="1" ht="15.75" customHeight="1">
      <c r="A12" s="96" t="s">
        <v>890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891</v>
      </c>
      <c r="C13" s="86" t="s">
        <v>892</v>
      </c>
      <c r="D13" s="86" t="s">
        <v>893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894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894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894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894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894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894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894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894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894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894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895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896</v>
      </c>
    </row>
    <row r="3" spans="1:7" s="87" customFormat="1" ht="13.5" customHeight="1">
      <c r="A3" s="86" t="s">
        <v>42</v>
      </c>
      <c r="B3" s="86" t="s">
        <v>897</v>
      </c>
      <c r="C3" s="86" t="s">
        <v>882</v>
      </c>
      <c r="D3" s="86" t="s">
        <v>898</v>
      </c>
      <c r="E3" s="86" t="s">
        <v>899</v>
      </c>
      <c r="F3" s="86" t="s">
        <v>900</v>
      </c>
      <c r="G3" s="86" t="s">
        <v>901</v>
      </c>
    </row>
    <row r="4" spans="1:7" ht="13.5" customHeight="1">
      <c r="A4" s="9" t="s">
        <v>49</v>
      </c>
      <c r="B4" s="9">
        <f>IFERROR(SUMIFS(Sales!$C:$C,Sales!$E:$E,$A4,Sales!$I:$I,"Completed"),0)</f>
        <v>341737</v>
      </c>
      <c r="C4" s="9">
        <f>VLOOKUP($A4,PartnerShares!$A$3:$B$5,2,FALSE())</f>
        <v>0.33339999999999997</v>
      </c>
      <c r="D4" s="9">
        <f>Summary!$B$4*C4</f>
        <v>136324.25939999998</v>
      </c>
      <c r="E4" s="9">
        <f>B4-D4</f>
        <v>205412.74060000002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68102.714600000007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136242.48120000001</v>
      </c>
      <c r="E5" s="11">
        <f>B5-D5</f>
        <v>-81618.481200000009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-10031.439200000008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136324.25939999998</v>
      </c>
      <c r="E6" s="9">
        <f>B6-D6</f>
        <v>-123794.25939999998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-58071.27539999997</v>
      </c>
    </row>
    <row r="9" spans="1:7" ht="13.5" customHeight="1">
      <c r="A9" s="6" t="s">
        <v>0</v>
      </c>
    </row>
    <row r="10" spans="1:7" ht="13.5" customHeight="1">
      <c r="A10" s="6" t="s">
        <v>902</v>
      </c>
    </row>
    <row r="11" spans="1:7" ht="13.5" customHeight="1">
      <c r="A11" s="6" t="s">
        <v>903</v>
      </c>
    </row>
    <row r="12" spans="1:7" ht="13.5" customHeight="1">
      <c r="A12" s="6" t="s">
        <v>904</v>
      </c>
    </row>
    <row r="13" spans="1:7" ht="13.5" customHeight="1">
      <c r="A13" s="6" t="s">
        <v>905</v>
      </c>
    </row>
    <row r="14" spans="1:7" ht="13.5" customHeight="1">
      <c r="A14" s="6" t="s">
        <v>906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2026-06-26T03:24:42Z</dcterms:modified>
  <dc:language>en-US</dc:language>
</cp:coreProperties>
</file>