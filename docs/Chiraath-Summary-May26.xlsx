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6F2DC9B1-6D09-014D-BDCA-F115EE68D788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6" i="6" l="1"/>
  <c r="I176" i="6"/>
  <c r="J176" i="6" s="1"/>
  <c r="H177" i="6"/>
  <c r="I177" i="6"/>
  <c r="J177" i="6" s="1"/>
  <c r="H178" i="6"/>
  <c r="I178" i="6"/>
  <c r="J178" i="6" s="1"/>
  <c r="H179" i="6"/>
  <c r="I179" i="6"/>
  <c r="J179" i="6" s="1"/>
  <c r="H180" i="6"/>
  <c r="I180" i="6"/>
  <c r="J180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6" i="6" l="1"/>
  <c r="K180" i="6"/>
  <c r="K178" i="6"/>
  <c r="K179" i="6"/>
  <c r="K177" i="6"/>
  <c r="K172" i="6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<sst xmlns="http://schemas.openxmlformats.org/spreadsheetml/2006/main" count="2321" uniqueCount="934">
  <si>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</si>
  <si>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</si>
  <si>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</si>
  <si>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</si>
  <si>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</si>
  <si>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</si>
  <si>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</si>
  <si>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</si>
  <si>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</si>
  <si>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</si>
  <si>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</si>
  <si>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</si>
  <si>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</si>
  <si>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</si>
  <si>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</si>
  <si>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</si>
  <si>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</si>
  <si>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</si>
  <si>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</si>
  <si>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</si>
  <si>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</si>
  <si>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</si>
  <si>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</si>
  <si>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</si>
  <si>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</si>
  <si>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</si>
  <si>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</si>
  <si>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</si>
  <si>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</si>
  <si>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</si>
  <si>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</si>
  <si>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</si>
  <si>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</si>
  <si>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</si>
  <si>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</si>
  <si>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</si>
  <si>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</si>
  <si>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</si>
  <si>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</si>
  <si>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</si>
  <si>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</si>
  <si>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</si>
  <si>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</si>
  <si>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</si>
  <si>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</si>
  <si>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</si>
  <si>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</si>
  <si>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</si>
  <si>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</si>
  <si>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</si>
  <si>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</si>
  <si>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</si>
  <si>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</si>
  <si>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</si>
  <si>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</si>
  <si>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</si>
  <si>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</si>
  <si>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</si>
  <si>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</si>
  <si>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</si>
  <si>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</si>
  <si>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</si>
  <si>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</si>
  <si>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</si>
  <si>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</si>
  <si>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</si>
  <si>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</si>
  <si>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</si>
  <si>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</si>
  <si>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</si>
  <si>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</si>
  <si>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</si>
  <si>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</si>
  <si>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</si>
  <si>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</si>
  <si>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</si>
  <si>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</si>
  <si>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</si>
  <si>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</si>
  <si>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</si>
  <si>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</si>
  <si>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</si>
  <si>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</si>
  <si>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</si>
  <si>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</si>
  <si>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</si>
  <si>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</si>
  <si>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</si>
  <si>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</si>
  <si>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</si>
  <si>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</si>
  <si>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</si>
  <si>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</si>
  <si>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</si>
  <si>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</si>
  <si>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</si>
  <si>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</si>
  <si>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</si>
  <si>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</si>
  <si>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</si>
  <si>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</si>
  <si>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</si>
  <si>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</si>
  <si>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</si>
  <si>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</si>
  <si>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</si>
  <si>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</si>
  <si>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</si>
  <si>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</si>
  <si>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</si>
  <si>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</si>
  <si>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</si>
  <si>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</si>
  <si>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</si>
  <si>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</si>
  <si>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</si>
  <si>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</si>
  <si>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</si>
  <si>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</si>
  <si>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</si>
  <si>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</si>
  <si>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</si>
  <si>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</si>
  <si>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</si>
  <si>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</si>
  <si>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</si>
  <si>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</si>
  <si>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</si>
  <si>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</si>
  <si>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</si>
  <si>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</si>
  <si>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</si>
  <si>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</si>
  <si>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</si>
  <si>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</si>
  <si>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</si>
  <si>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</si>
  <si>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</si>
  <si>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</si>
  <si>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</si>
  <si>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</si>
  <si>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</si>
  <si>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</si>
  <si>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</si>
  <si>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</si>
  <si>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</si>
  <si>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</si>
  <si>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</si>
  <si>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</si>
  <si>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</si>
  <si>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</si>
  <si>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</si>
  <si>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</si>
  <si>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</si>
  <si>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</si>
  <si>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</si>
  <si>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</si>
  <si>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</si>
  <si>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</si>
  <si>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</si>
  <si>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</si>
  <si>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</si>
  <si>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</si>
  <si>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</si>
  <si>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</si>
  <si>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</si>
  <si>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</si>
  <si>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</si>
  <si>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</si>
  <si>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</si>
  <si>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</si>
  <si>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</si>
  <si>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</si>
  <si>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</si>
  <si>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</si>
  <si>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</si>
  <si>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</si>
  <si>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</si>
  <si>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</si>
  <si>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</si>
  <si>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</si>
  <si>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</si>
  <si>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</si>
  <si>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</si>
  <si>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</si>
  <si>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</si>
  <si>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</si>
  <si>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</si>
  <si>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</si>
  <si>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</si>
  <si>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</si>
  <si>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</si>
  <si>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</si>
  <si>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</si>
  <si>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</si>
  <si>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</si>
  <si>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</si>
  <si>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</si>
  <si>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</si>
  <si>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</si>
  <si>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</si>
  <si>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</si>
  <si>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</si>
  <si>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</si>
  <si>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</si>
  <si>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</si>
  <si>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</si>
  <si>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</si>
  <si>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</si>
  <si>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</si>
  <si>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</si>
  <si>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</si>
  <si>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</si>
  <si>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</si>
  <si>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</si>
  <si>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</si>
  <si>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</si>
  <si>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</si>
  <si>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</si>
  <si>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</si>
  <si>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</si>
  <si>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</si>
  <si>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</si>
  <si>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</si>
  <si>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</si>
  <si>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</si>
  <si>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</si>
  <si>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</si>
  <si>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</si>
  <si>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</si>
  <si>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</si>
  <si>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</si>
  <si>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</si>
  <si>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</si>
  <si>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</si>
  <si>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</si>
  <si>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</si>
  <si>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</si>
  <si>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</si>
  <si>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</si>
  <si>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</si>
  <si>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</si>
  <si>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</si>
  <si>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</si>
  <si>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</si>
  <si>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</si>
  <si>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</si>
  <si>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</si>
  <si>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</si>
  <si>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</si>
  <si>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</si>
  <si>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</si>
  <si>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</si>
  <si>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</si>
  <si>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</si>
  <si>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</si>
  <si>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</si>
  <si>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</si>
  <si>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</si>
  <si>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</si>
  <si>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</si>
  <si>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</si>
  <si>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</si>
  <si>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</si>
  <si>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</si>
  <si>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</si>
  <si>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</si>
  <si>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</si>
  <si>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</si>
  <si>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</si>
  <si>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</si>
  <si>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</si>
  <si>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</si>
  <si>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</si>
  <si>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</si>
  <si>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</si>
  <si>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</si>
  <si>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</si>
  <si>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</si>
  <si>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</si>
  <si>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</si>
  <si>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</si>
  <si>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</si>
  <si>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</si>
  <si>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</si>
  <si>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</si>
  <si>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</si>
  <si>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</si>
  <si>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</si>
  <si>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</si>
  <si>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</si>
  <si>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</si>
  <si>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</si>
  <si>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</si>
  <si>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</si>
  <si>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</si>
  <si>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</si>
  <si>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</si>
  <si>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</si>
  <si>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</si>
  <si>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</si>
  <si>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</si>
  <si>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</si>
  <si>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</si>
  <si>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</si>
  <si>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</si>
  <si>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</si>
  <si>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</si>
  <si>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</si>
  <si>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</si>
  <si>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</si>
  <si>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</si>
  <si>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</si>
  <si>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</si>
  <si>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</si>
  <si>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</si>
  <si>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</si>
  <si>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</si>
  <si>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</si>
  <si>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</si>
  <si>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</si>
  <si>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</si>
  <si>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</si>
  <si>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</si>
  <si>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</si>
  <si>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</si>
  <si>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</si>
  <si>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</si>
  <si>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</si>
  <si>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</si>
  <si>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</si>
  <si>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</si>
  <si>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</si>
  <si>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</si>
  <si>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</si>
  <si>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</si>
  <si>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</si>
  <si>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</si>
  <si>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</si>
  <si>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</si>
  <si>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</si>
  <si>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</si>
  <si>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</si>
  <si>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</si>
  <si>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</si>
  <si>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</si>
  <si>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</si>
  <si>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</si>
  <si>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</si>
  <si>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</si>
  <si>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</si>
  <si>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</si>
  <si>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</si>
  <si>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</si>
  <si>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</si>
  <si>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</si>
  <si>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</si>
  <si>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</si>
  <si>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</si>
  <si>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</si>
  <si>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</si>
  <si>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</si>
  <si>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</si>
  <si>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</si>
  <si>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</si>
  <si>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</si>
  <si>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</si>
  <si>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</si>
  <si>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</si>
  <si>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</si>
  <si>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</si>
  <si>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</si>
  <si>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</si>
  <si>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</si>
  <si>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</si>
  <si>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</si>
  <si>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</si>
  <si>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</si>
  <si>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</si>
  <si>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</si>
  <si>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</si>
  <si>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</si>
  <si>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</si>
  <si>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</si>
  <si>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</si>
  <si>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</si>
  <si>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</si>
  <si>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</si>
  <si>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</si>
  <si>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</si>
  <si>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</si>
  <si>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</si>
  <si>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</si>
  <si>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</si>
  <si>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</si>
  <si>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</si>
  <si>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</si>
  <si>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</si>
  <si>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</si>
  <si>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</si>
  <si>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</si>
  <si>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</si>
  <si>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</si>
  <si>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</si>
  <si>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</si>
  <si>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</si>
  <si>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</si>
  <si>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</si>
  <si>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</si>
  <si>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</si>
  <si>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</si>
  <si>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</si>
  <si>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</si>
  <si>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</si>
  <si>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</si>
  <si>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</si>
  <si>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</si>
  <si>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</si>
  <si>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</si>
  <si>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</si>
  <si>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</si>
  <si>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</si>
  <si>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</si>
  <si>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</si>
  <si>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</si>
  <si>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</si>
  <si>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</si>
  <si>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</si>
  <si>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</si>
  <si>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</si>
  <si>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</si>
  <si>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</si>
  <si>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</si>
  <si>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</si>
  <si>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</si>
  <si>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</si>
  <si>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</si>
  <si>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</si>
  <si>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</si>
  <si>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</si>
  <si>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</si>
  <si>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</si>
  <si>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</si>
  <si>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</si>
  <si>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</si>
  <si>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</si>
  <si>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</si>
  <si>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</si>
  <si>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</si>
  <si>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</si>
  <si>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</si>
  <si>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</si>
  <si>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</si>
  <si>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</si>
  <si>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</si>
  <si>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</si>
  <si>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</si>
  <si>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</si>
  <si>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</si>
  <si>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</si>
  <si>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</si>
  <si>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</si>
  <si>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</si>
  <si>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</si>
  <si>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</si>
  <si>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</si>
  <si>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</si>
  <si>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</si>
  <si>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</si>
  <si>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</si>
  <si>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</si>
  <si>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</si>
  <si>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</si>
  <si>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</si>
  <si>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</si>
  <si>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</si>
  <si>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</si>
  <si>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</si>
  <si>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</si>
  <si>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</si>
  <si>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</si>
  <si>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</si>
  <si>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</si>
  <si>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</si>
  <si>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</si>
  <si>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</si>
  <si>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</si>
  <si>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</si>
  <si>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</si>
  <si>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</si>
  <si>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</si>
  <si>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</si>
  <si>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</si>
  <si>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</si>
  <si>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</si>
  <si>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</si>
  <si>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</si>
  <si>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</si>
  <si>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</si>
  <si>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</si>
  <si>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</si>
  <si>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</si>
  <si>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</si>
  <si>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</si>
  <si>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</si>
  <si>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</si>
  <si>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</si>
  <si>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</si>
  <si>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</si>
  <si>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</si>
  <si>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</si>
  <si>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</si>
  <si>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</si>
  <si>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</si>
  <si>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</si>
  <si>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</si>
  <si>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</si>
  <si>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</si>
  <si>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</si>
  <si>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</si>
  <si>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</si>
  <si>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</si>
  <si>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</si>
  <si>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</si>
  <si>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</si>
  <si>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</si>
  <si>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</si>
  <si>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</si>
  <si>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</si>
  <si>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</si>
  <si>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</si>
  <si>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</si>
  <si>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</si>
  <si>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</si>
  <si>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</si>
  <si>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</si>
  <si>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</si>
  <si>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</si>
  <si>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</si>
  <si>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</si>
  <si>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</si>
  <si>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</si>
  <si>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</si>
  <si>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</si>
  <si>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</si>
  <si>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</si>
  <si>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</si>
  <si>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</si>
  <si>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</si>
  <si>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</si>
  <si>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</si>
  <si>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</si>
  <si>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</si>
  <si>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</si>
  <si>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</si>
  <si>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</si>
  <si>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</si>
  <si>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</si>
  <si>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</si>
  <si>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</si>
  <si>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</si>
  <si>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</si>
  <si>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</si>
  <si>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</si>
  <si>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</si>
  <si>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</si>
  <si>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</si>
  <si>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</si>
  <si>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</si>
  <si>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</si>
  <si>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</si>
  <si>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</si>
  <si>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</si>
  <si>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</si>
  <si>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</si>
  <si>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</si>
  <si>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</si>
  <si>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</si>
  <si>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</si>
  <si>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</si>
  <si>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</si>
  <si>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</si>
  <si>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</si>
  <si>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</si>
  <si>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</si>
  <si>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</si>
  <si>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</si>
  <si>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</si>
  <si>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</si>
  <si>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</si>
  <si>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</si>
  <si>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</si>
  <si>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</si>
  <si>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</si>
  <si>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</si>
  <si>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</si>
  <si>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</si>
  <si>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</si>
  <si>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</si>
  <si>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</si>
  <si>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</si>
  <si>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</si>
  <si>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</si>
  <si>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</si>
  <si>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</si>
  <si>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</si>
  <si>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</si>
  <si>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</si>
  <si>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</si>
  <si>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</si>
  <si>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</si>
  <si>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</si>
  <si>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</si>
  <si>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</si>
  <si>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</si>
  <si>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</si>
  <si>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</si>
  <si>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</si>
  <si>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</si>
  <si>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</si>
  <si>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</si>
  <si>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</si>
  <si>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</si>
  <si>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</si>
  <si>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</si>
  <si>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</si>
  <si>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</si>
  <si>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</si>
  <si>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</si>
  <si>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</si>
  <si>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</si>
  <si>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</si>
  <si>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</si>
  <si>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</si>
  <si>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</si>
  <si>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</si>
  <si>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</si>
  <si>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</si>
  <si>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</si>
  <si>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</si>
  <si>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</si>
  <si>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</si>
  <si>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</si>
  <si>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</si>
  <si>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</si>
  <si>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</si>
  <si>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</si>
  <si>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</si>
  <si>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</si>
  <si>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</si>
  <si>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</si>
  <si>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</si>
  <si>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</si>
  <si>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</si>
  <si>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</si>
  <si>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</si>
  <si>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</si>
  <si>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</si>
  <si>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</si>
  <si>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</si>
  <si>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</si>
  <si>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</si>
  <si>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</si>
  <si>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</si>
  <si>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</si>
  <si>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</si>
  <si>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</si>
  <si>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</si>
  <si>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</si>
  <si>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</si>
  <si>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</si>
  <si>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</si>
  <si>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</si>
  <si>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</si>
  <si>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</si>
  <si>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</si>
  <si>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</si>
  <si>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</si>
  <si>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</si>
  <si>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</si>
  <si>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</si>
  <si>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</si>
  <si>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</si>
  <si>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</si>
  <si>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</si>
  <si>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</si>
  <si>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</si>
  <si>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</si>
  <si>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</si>
  <si>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</si>
  <si>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</si>
  <si>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</si>
  <si>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</si>
  <si>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</si>
  <si>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</si>
  <si>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</si>
  <si>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</si>
  <si>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</si>
  <si>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</si>
  <si>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</si>
  <si>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</si>
  <si>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</si>
  <si>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</si>
  <si>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</si>
  <si>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</si>
  <si>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</si>
  <si>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</si>
  <si>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</si>
  <si>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</si>
  <si>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</si>
  <si>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</si>
  <si>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</si>
  <si>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</si>
  <si>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</si>
  <si>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</si>
  <si>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</si>
  <si>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</si>
  <si>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</si>
  <si>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</si>
  <si>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</si>
  <si>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</si>
  <si>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</si>
  <si>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</si>
  <si>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</si>
  <si>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</si>
  <si>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</si>
  <si>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</si>
  <si>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</si>
  <si>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</si>
  <si>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</si>
  <si>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</si>
  <si>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</si>
  <si>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</si>
  <si>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</si>
  <si>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</si>
  <si>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</si>
  <si>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</si>
  <si>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</si>
  <si>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</si>
  <si>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</si>
  <si>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</si>
  <si>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</si>
  <si>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</si>
  <si>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</si>
  <si>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</si>
  <si>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</si>
  <si>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CHR-162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</si>
  <si>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</si>
  <si>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</si>
  <si>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</si>
  <si>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</si>
  <si>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</si>
  <si>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</si>
  <si>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</si>
  <si>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</si>
  <si>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</si>
  <si>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</si>
  <si>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</si>
  <si>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</si>
  <si>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</si>
  <si>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</si>
  <si>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</si>
  <si>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</si>
  <si>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</si>
  <si>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</si>
  <si>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</si>
  <si>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</si>
  <si>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</si>
  <si>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</si>
  <si>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</si>
  <si>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</si>
  <si>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</si>
  <si>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</si>
  <si>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</si>
  <si>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</si>
  <si>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</si>
  <si>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</si>
  <si>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</si>
  <si>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</si>
  <si>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</si>
  <si>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</si>
  <si>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</si>
  <si>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</si>
  <si>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</si>
  <si>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</si>
  <si>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</si>
  <si>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</si>
  <si>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</si>
  <si>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</si>
  <si>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</si>
  <si>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</si>
  <si>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</si>
  <si>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</si>
  <si>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</si>
  <si>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</si>
  <si>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</si>
  <si>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</si>
  <si>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</si>
  <si>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</si>
  <si>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</si>
  <si>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</si>
  <si>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</si>
  <si>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</si>
  <si>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</si>
  <si>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</si>
  <si>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</si>
  <si>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</si>
  <si>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</si>
  <si>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</si>
  <si>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</si>
  <si>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</si>
  <si>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</si>
  <si>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</si>
  <si>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</si>
  <si>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</si>
  <si>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</si>
  <si>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</si>
  <si>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</si>
  <si>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</si>
  <si>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</si>
  <si>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</si>
  <si>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</si>
  <si>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</si>
  <si>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</si>
  <si>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Pink</t>
  </si>
  <si>
    <t>Salwar maroon single piece M (CHR-78)</t>
  </si>
  <si>
    <t>Green Aanchal - XXL, Cream 2 piece aanchal - M,  Chikankari - XL, Blue Ajrakh Salwar - XXL, Maroon Banarasi new design</t>
  </si>
  <si>
    <t>CHR-119 - Chanderi Silk Blue</t>
  </si>
  <si>
    <t>CHR-119 - Chanderi Silk Maroon</t>
  </si>
  <si>
    <t>Amrutha Pathanamthitta</t>
  </si>
  <si>
    <t>Sherin Fathima (Thalassery)</t>
  </si>
  <si>
    <t>Athira (Kollam)</t>
  </si>
  <si>
    <t>CHR-119 - Chanderi Silk Black</t>
  </si>
  <si>
    <t>Jini (Palakkad)</t>
  </si>
  <si>
    <t>Sreelekha (Kayamkulam)</t>
  </si>
  <si>
    <t>matka - Maroon/Navy Blue</t>
  </si>
  <si>
    <t>Anju Shinoob</t>
  </si>
  <si>
    <t>New Banarasi - Blue</t>
  </si>
  <si>
    <t>Khadi Saree Violet and Rainbow saree</t>
  </si>
  <si>
    <t>Ponnu - Red (1350), Indu - Maroon, Anju Shinoob - Blue</t>
  </si>
  <si>
    <t>Latha (500), Baby Khadeeja</t>
  </si>
  <si>
    <t>Baby Khadeeja - Violet</t>
  </si>
  <si>
    <t>Yellow, Dark Green</t>
  </si>
  <si>
    <t>Kavya (Kasargod)</t>
  </si>
  <si>
    <t>Matka Black with Golden Yellow</t>
  </si>
  <si>
    <t>Matka Green/Yellow &amp; Bengal Cotton (Adv:100)</t>
  </si>
  <si>
    <t>Silpa Kannur</t>
  </si>
  <si>
    <t>CHR-175</t>
  </si>
  <si>
    <t>CHR-176</t>
  </si>
  <si>
    <t>CHR-177</t>
  </si>
  <si>
    <t>CHR-178</t>
  </si>
  <si>
    <t>CHR-179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</si>
  <si>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</si>
  <si>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</si>
  <si>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</si>
  <si>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</si>
  <si>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</si>
  <si>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</si>
  <si>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</si>
  <si>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</si>
  <si>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Aji Roy(Trichue)</t>
  </si>
  <si>
    <t>CHR-119 - Black &amp; Mustard</t>
  </si>
  <si>
    <t>Gopika (TVM)</t>
  </si>
  <si>
    <t>CHR-119 - Black</t>
  </si>
  <si>
    <t>Lily Kutty (Kottayam)</t>
  </si>
  <si>
    <t>Sindhu (Pkd)</t>
  </si>
  <si>
    <t>CHR-119 - Green</t>
  </si>
  <si>
    <t>CHR-119 - Maroon</t>
  </si>
  <si>
    <t>Matka Silk Saree Collection</t>
  </si>
  <si>
    <t>Soft Silk Saree Collection</t>
  </si>
  <si>
    <t>Tussar Silk Collection</t>
  </si>
  <si>
    <t>Tissue Silk Saree Collection</t>
  </si>
  <si>
    <t>Chanderi Silk Saree Collection</t>
  </si>
  <si>
    <t>Aasha (EKM)</t>
  </si>
  <si>
    <t>Boosting - March &amp; April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</si>
  <si>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</si>
  <si>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</si>
  <si>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</si>
  <si>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</si>
  <si>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</si>
  <si>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</si>
  <si>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Bottle Green/Golden Yellow - 2 
Navy Blue/Bottle Green - 2</t>
  </si>
  <si>
    <t>Blue/bottle green - Saranya Hyd, Blue/red - Jothika, Mustard - Vineetha, Bottle Green/Golden Yellow - Swapna (Thrissur)-1200, Black/Golden yellow - Kavya(Kasargod) - 1200, Back/Yellow - Subha - 1200</t>
  </si>
  <si>
    <t>Subi</t>
  </si>
  <si>
    <t>Roman Silk(L)</t>
  </si>
  <si>
    <t>Sushitha (XXL-1600), M-Returned, L - Subi(), XL-Lipsy(1500)</t>
  </si>
  <si>
    <t>Tussar silk Green(CHR-70)</t>
  </si>
  <si>
    <t>Khadee Saree - Black &amp; Beige Leaf Print Cotton Silk Saree</t>
  </si>
  <si>
    <t>Khadee Saree - Teal &amp; Coral Abstract Print Cotton Silk Saree</t>
  </si>
  <si>
    <t>Khadee saree - black &amp; biege lief print</t>
  </si>
  <si>
    <t>Smita Michigan</t>
  </si>
  <si>
    <t>Saida (1600), Lathika (L-1400), Smitha - M</t>
  </si>
  <si>
    <t>Size: XXL</t>
  </si>
  <si>
    <t>Smita</t>
  </si>
  <si>
    <t>Chanderi Black/Parrot Green, Silk Blend Salwar 3 piece set - M, Kerala Saree Floral Design, Tussar Silk - Burned Orange and Onion peel</t>
  </si>
  <si>
    <t>Lipcy Michigan</t>
  </si>
  <si>
    <t>Smitha - Rust orange &amp; Onion Peel, Lipcy - Blue</t>
  </si>
  <si>
    <t>Grey, wine (damaged)</t>
  </si>
  <si>
    <t>Light brown</t>
  </si>
  <si>
    <t>Lipcy - Green</t>
  </si>
  <si>
    <t>Tussar Silk Blue, Tussar Silk Green, Roman Silk XL, Matka Saree red/green</t>
  </si>
  <si>
    <t>Lipcy - Red/Green</t>
  </si>
  <si>
    <t>royal blue/rani pink, parrot green/red</t>
  </si>
  <si>
    <t>206-05-10</t>
  </si>
  <si>
    <t>Chithra</t>
  </si>
  <si>
    <t>Chris (1000 - Green), Chithra - Maroon</t>
  </si>
  <si>
    <t>Rust Orange</t>
  </si>
  <si>
    <t>Narayanpett peacock blue, Linen Saree maroon, cotton 3 piece salwar set mirror work - XL, soft silk saree- black</t>
  </si>
  <si>
    <t>Lakshmi</t>
  </si>
  <si>
    <t>black/pink</t>
  </si>
  <si>
    <t>Sourabhya (XL - 580), Lakshmi - L</t>
  </si>
  <si>
    <t>Sherin - Maroon/navy blue(1099), Lakshmi - Navy Blue &amp; Maroon</t>
  </si>
  <si>
    <t>Peacok Blue/Maroon - 3
Purple/Green - 1
Navy Blue/Maroon - 1
Lavender/Violet - 1
Grey/Blue - 1</t>
  </si>
  <si>
    <t>Chanderi Black/Orange, Jute - L, Matka - Blue &amp; Red, Matka Navy Blue &amp; maroon</t>
  </si>
  <si>
    <t>Indukala</t>
  </si>
  <si>
    <t>Indu Varrier</t>
  </si>
  <si>
    <t>Aanchal Blue Salwar XL, Mul cottoan floral salwar with lace detailing L, Tussar silk golden color, Narayanpet green</t>
  </si>
  <si>
    <t>Soft Silk Black - Chithra, Violet - Susmi</t>
  </si>
  <si>
    <t>Chithra- peacok blue, Indu Varier - Green, Susmi - Maroon</t>
  </si>
  <si>
    <t>navy blue, maroon</t>
  </si>
  <si>
    <t xml:space="preserve">Grey-Black/Red, Purple-Yellow/Bottle Green </t>
  </si>
  <si>
    <t>Indu - XXL, Susmi - M</t>
  </si>
  <si>
    <t>L, XL, XXXL</t>
  </si>
  <si>
    <t>Indukala - L</t>
  </si>
  <si>
    <t>Kathakali Saree, Chanderi Black/Pink, Aanchal Black Salwar set with Printed Dupatta(L), Aanchal white 3 piece salwar XL</t>
  </si>
  <si>
    <t>Indukala - XL</t>
  </si>
  <si>
    <t>XL, XXL</t>
  </si>
  <si>
    <t>Smita - Parrot Green, Lakshmi - Black &amp; Orange, Indukala - Black/Pink</t>
  </si>
  <si>
    <t>Jiji-XL, Indu varrier-L</t>
  </si>
  <si>
    <t>M, XXL</t>
  </si>
  <si>
    <t>Chris (Goldern with flowers), Indu Varrier</t>
  </si>
  <si>
    <t>Narayanpett Maroon, Aanchal Olive Green with floral details M, Chanferi Off white, Soft Silk Saree Violet</t>
  </si>
  <si>
    <r>
      <rPr>
        <u/>
        <sz val="11"/>
        <color theme="1"/>
        <rFont val="Trebuchet MS"/>
        <family val="2"/>
      </rPr>
      <t>First Set:</t>
    </r>
    <r>
      <rPr>
        <sz val="11"/>
        <color theme="1"/>
        <rFont val="Trebuchet MS"/>
        <family val="2"/>
        <charset val="1"/>
      </rPr>
      <t xml:space="preserve"> Aruna - violet, Resmi - navy blue, Malini - Rani Pink
</t>
    </r>
    <r>
      <rPr>
        <u/>
        <sz val="11"/>
        <color theme="1"/>
        <rFont val="Trebuchet MS"/>
        <family val="2"/>
      </rPr>
      <t>Second Set:</t>
    </r>
    <r>
      <rPr>
        <sz val="11"/>
        <color theme="1"/>
        <rFont val="Trebuchet MS"/>
        <family val="2"/>
        <charset val="1"/>
      </rPr>
      <t xml:space="preserve"> Sreelekha - Black, Dona - navy Blue, Jayalakshmi - Pink, Jyothimol - Navy Blue, Amrutha - Maroon, Athira - Black, Jini - Maroon</t>
    </r>
    <r>
      <rPr>
        <sz val="11"/>
        <color theme="1"/>
        <rFont val="Trebuchet MS"/>
        <family val="2"/>
      </rPr>
      <t>, Gopika - Black, Aji Roy - Black, Aji Roy - Mustard, Lili Kutty - Maroon, Sindhu - Black, Asha - Green, Soorya - Rani Pink, Asha Latha - Offwhite, Susmi - Off white</t>
    </r>
  </si>
  <si>
    <r>
      <t xml:space="preserve">
</t>
    </r>
    <r>
      <rPr>
        <u/>
        <sz val="11"/>
        <color theme="1"/>
        <rFont val="Trebuchet MS"/>
        <family val="2"/>
      </rPr>
      <t>New batch:</t>
    </r>
    <r>
      <rPr>
        <sz val="11"/>
        <color theme="1"/>
        <rFont val="Trebuchet MS"/>
        <family val="2"/>
        <charset val="1"/>
      </rPr>
      <t xml:space="preserve"> Blue (2), mustard yellow (1), navy blue (3), Green (2), Rani pink (2), Maroon (3), off white (2), Orange (2)
</t>
    </r>
    <r>
      <rPr>
        <u/>
        <sz val="11"/>
        <color theme="1"/>
        <rFont val="Trebuchet MS"/>
        <family val="2"/>
      </rPr>
      <t>New batch2:</t>
    </r>
    <r>
      <rPr>
        <sz val="11"/>
        <color theme="1"/>
        <rFont val="Trebuchet MS"/>
        <family val="2"/>
        <charset val="1"/>
      </rPr>
      <t xml:space="preserve"> Black(7), White(5), Rani Pink(1)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</si>
</sst>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3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  <font>
      <sz val="8"/>
      <name val="Calibri"/>
      <family val="2"/>
      <charset val="1"/>
    </font>
    <font>
      <u/>
      <sz val="11"/>
      <color theme="1"/>
      <name val="Trebuchet MS"/>
      <family val="2"/>
    </font>
    <font>
      <sz val="11"/>
      <color theme="1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32" fillId="4" borderId="2" xfId="0" applyFont="1" applyFill="1" applyBorder="1" applyAlignment="1">
      <alignment horizontal="left" vertical="center"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182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93</c:v>
                </c:pt>
                <c:pt idx="1">
                  <c:v>59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61609</c:v>
                </c:pt>
                <c:pt idx="1">
                  <c:v>61548.609999999993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3944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-47311</c:v>
                </c:pt>
                <c:pt idx="1">
                  <c:v>-4790</c:v>
                </c:pt>
                <c:pt idx="2">
                  <c:v>-22172</c:v>
                </c:pt>
                <c:pt idx="3">
                  <c:v>-71002</c:v>
                </c:pt>
                <c:pt idx="4">
                  <c:v>-3944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271</c:v>
                </c:pt>
                <c:pt idx="1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18" sqref="G18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354237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327368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342137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-26869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17877.66</v>
      </c>
      <c r="C10" s="9"/>
    </row>
    <row r="11" spans="1:6" ht="13.5" customHeight="1">
      <c r="A11" s="11" t="s">
        <v>50</v>
      </c>
      <c r="B11" s="14">
        <f>PartnerShares!H9</f>
        <v>7658.6699999999983</v>
      </c>
      <c r="C11" s="11"/>
    </row>
    <row r="12" spans="1:6" ht="13.5" customHeight="1">
      <c r="A12" s="9" t="s">
        <v>51</v>
      </c>
      <c r="B12" s="13">
        <f>PartnerShares!H10</f>
        <v>-25536.33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154260</v>
      </c>
      <c r="C18" s="10">
        <f>PartnerShares!C8</f>
        <v>118079</v>
      </c>
      <c r="D18" s="10">
        <f>PartnerShares!D8</f>
        <v>36181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17877.66</v>
      </c>
      <c r="G18" s="16" t="str">
        <f>IF(ROUND(F18,0)&gt;0,"Receive ₹"&amp;TEXT(ABS(F18),"#,##0"),IF(ROUND(F18,0)&lt;0,"Pay ₹"&amp;TEXT(ABS(F18),"#,##0"),"✓ Settled"))</f>
        <v>Receive ₹17,878</v>
      </c>
    </row>
    <row r="19" spans="1:7" ht="13.5" customHeight="1">
      <c r="A19" s="11" t="str">
        <f>PartnerShares!A9</f>
        <v>Anoop</v>
      </c>
      <c r="B19" s="12">
        <f>PartnerShares!B9</f>
        <v>167377</v>
      </c>
      <c r="C19" s="12">
        <f>PartnerShares!C9</f>
        <v>118079</v>
      </c>
      <c r="D19" s="12">
        <f>PartnerShares!D9</f>
        <v>49298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7658.6699999999983</v>
      </c>
      <c r="G19" s="17" t="str">
        <f>IF(ROUND(F19,0)&gt;0,"Receive ₹"&amp;TEXT(ABS(F19),"#,##0"),IF(ROUND(F19,0)&lt;0,"Pay ₹"&amp;TEXT(ABS(F19),"#,##0"),"✓ Settled"))</f>
        <v>Receive ₹7,659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118079</v>
      </c>
      <c r="D20" s="10">
        <f>PartnerShares!D10</f>
        <v>-85479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-25536.33</v>
      </c>
      <c r="G20" s="17" t="str">
        <f>IF(ROUND(F20,0)&gt;0,"Receive ₹"&amp;TEXT(ABS(F20),"#,##0"),IF(ROUND(F20,0)&lt;0,"Pay ₹"&amp;TEXT(ABS(F20),"#,##0"),"✓ Settled"))</f>
        <v>Pay ₹25,536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274469</v>
      </c>
      <c r="C26" s="10">
        <f>'Cash Pool'!D4</f>
        <v>109144.49119999999</v>
      </c>
      <c r="D26" s="10">
        <f>'Cash Pool'!E4</f>
        <v>165324.50880000001</v>
      </c>
      <c r="E26" s="10">
        <f>'Cash Pool'!F4</f>
        <v>-137310.02600000001</v>
      </c>
      <c r="F26" s="13">
        <f>'Cash Pool'!G4</f>
        <v>28014.482799999998</v>
      </c>
      <c r="G26" s="17" t="str">
        <f>IF(ROUND(F26,0)&gt;0,"Pay ₹"&amp;TEXT(ABS(F26),"#,##0"),IF(ROUND(F26,0)&lt;0,"Receive ₹"&amp;TEXT(ABS(F26),"#,##0"),"✓ Settled"))</f>
        <v>Pay ₹28,014</v>
      </c>
    </row>
    <row r="27" spans="1:7" ht="13.5" customHeight="1">
      <c r="A27" s="11" t="str">
        <f>'Cash Pool'!A5</f>
        <v>Anoop</v>
      </c>
      <c r="B27" s="12">
        <f>'Cash Pool'!B5</f>
        <v>40369</v>
      </c>
      <c r="C27" s="12">
        <f>'Cash Pool'!D5</f>
        <v>109079.01759999999</v>
      </c>
      <c r="D27" s="12">
        <f>'Cash Pool'!E5</f>
        <v>-68710.017599999992</v>
      </c>
      <c r="E27" s="12">
        <f>'Cash Pool'!F5</f>
        <v>71587.042000000001</v>
      </c>
      <c r="F27" s="14">
        <f>'Cash Pool'!G5</f>
        <v>2877.0244000000093</v>
      </c>
      <c r="G27" s="18" t="str">
        <f>IF(ROUND(F27,0)&gt;0,"Pay ₹"&amp;TEXT(ABS(F27),"#,##0"),IF(ROUND(F27,0)&lt;0,"Receive ₹"&amp;TEXT(ABS(F27),"#,##0"),"✓ Settled"))</f>
        <v>Pay ₹2,877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109144.49119999999</v>
      </c>
      <c r="D28" s="10">
        <f>'Cash Pool'!E6</f>
        <v>-96614.491199999989</v>
      </c>
      <c r="E28" s="10">
        <f>'Cash Pool'!F6</f>
        <v>65722.984000000011</v>
      </c>
      <c r="F28" s="13">
        <f>'Cash Pool'!G6</f>
        <v>-30891.507199999978</v>
      </c>
      <c r="G28" s="16" t="str">
        <f>IF(ROUND(F28,0)&gt;0,"Pay ₹"&amp;TEXT(ABS(F28),"#,##0"),IF(ROUND(F28,0)&lt;0,"Receive ₹"&amp;TEXT(ABS(F28),"#,##0"),"✓ Settled"))</f>
        <v>Receive ₹30,892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5" t="s">
        <v>67</v>
      </c>
      <c r="B1" s="95"/>
      <c r="C1" s="95"/>
      <c r="D1" s="95"/>
      <c r="E1" s="95"/>
      <c r="F1" s="95"/>
      <c r="G1" s="95"/>
      <c r="H1" s="95"/>
    </row>
    <row r="3" spans="1:8" ht="15" customHeight="1">
      <c r="A3" s="19" t="s">
        <v>68</v>
      </c>
      <c r="B3" s="20">
        <f ca="1">TODAY()</f>
        <v>46159</v>
      </c>
    </row>
    <row r="5" spans="1:8" ht="15" customHeight="1">
      <c r="A5" s="19" t="s">
        <v>41</v>
      </c>
      <c r="B5" s="21">
        <f>Summary!B3</f>
        <v>354237</v>
      </c>
      <c r="D5" s="19" t="s">
        <v>69</v>
      </c>
      <c r="E5" s="21">
        <f>Summary!B4</f>
        <v>327368</v>
      </c>
    </row>
    <row r="6" spans="1:8" ht="15" customHeight="1">
      <c r="A6" s="19" t="s">
        <v>70</v>
      </c>
      <c r="B6" s="21">
        <f>Summary!B6</f>
        <v>-26869</v>
      </c>
      <c r="D6" s="19" t="s">
        <v>71</v>
      </c>
      <c r="E6" s="21">
        <f>SUMIFS(INVENTORY!K:K, INVENTORY!N:N, "&lt;&gt;Sold Out")</f>
        <v>115210.80999999998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0</v>
      </c>
      <c r="D10" s="21">
        <f t="shared" ref="D10:D21" si="0">C10-B10</f>
        <v>-47311</v>
      </c>
      <c r="F10" s="25" t="s">
        <v>80</v>
      </c>
      <c r="G10" s="21">
        <f>SUM(INVENTORY!F:F)</f>
        <v>271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0</v>
      </c>
      <c r="D11" s="27">
        <f t="shared" si="0"/>
        <v>-4790</v>
      </c>
      <c r="F11" s="26" t="s">
        <v>82</v>
      </c>
      <c r="G11" s="27">
        <f>SUM(INVENTORY!G:G)</f>
        <v>156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0</v>
      </c>
      <c r="D12" s="21">
        <f t="shared" si="0"/>
        <v>-22172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0</v>
      </c>
      <c r="D13" s="27">
        <f t="shared" si="0"/>
        <v>-71002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3944</v>
      </c>
      <c r="C14" s="21">
        <f>IFERROR(SUMPRODUCT((TEXT(Sales!$A$2:$A$996,"MMM")=$A14)*(YEAR(Sales!$A$2:$A$996)=$B$7)*Sales!$C$2:$C$996),0)</f>
        <v>0</v>
      </c>
      <c r="D14" s="21">
        <f t="shared" si="0"/>
        <v>-3944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182</v>
      </c>
      <c r="H47" s="30">
        <f>SUMIF(INVENTORY!C:C, F47, INVENTORY!G:G)</f>
        <v>93</v>
      </c>
      <c r="J47" s="30" t="s">
        <v>96</v>
      </c>
      <c r="K47" s="31">
        <f t="array" ref="K47">SUMPRODUCT((INVENTORY!$C$2:$C$477=J47)*(INVENTORY!$D$2:$D$477)*(INVENTORY!$G$2:$G$477))</f>
        <v>61609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59</v>
      </c>
      <c r="J48" s="30" t="s">
        <v>95</v>
      </c>
      <c r="K48" s="31">
        <f t="array" ref="K48">SUMPRODUCT((INVENTORY!$C$2:$C$477=J48)*(INVENTORY!$D$2:$D$477)*(INVENTORY!$G$2:$G$477))</f>
        <v>61548.609999999993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D72" sqref="D72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803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874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182" activePane="bottomLeft" state="frozen"/>
      <selection pane="bottomLeft" activeCell="H196" sqref="H196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8" style="90" customWidth="1"/>
    <col min="9" max="9" width="9.1640625" style="90" bestFit="1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42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14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 t="s">
        <v>154</v>
      </c>
      <c r="E146" s="80" t="s">
        <v>49</v>
      </c>
      <c r="F146" s="91"/>
      <c r="G146" s="91"/>
      <c r="H146" s="92" t="s">
        <v>886</v>
      </c>
      <c r="I146" s="80" t="s">
        <v>140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 t="s">
        <v>154</v>
      </c>
      <c r="E160" s="80" t="s">
        <v>49</v>
      </c>
      <c r="F160" s="91"/>
      <c r="G160" s="91"/>
      <c r="H160" s="92" t="s">
        <v>804</v>
      </c>
      <c r="I160" s="80" t="s">
        <v>334</v>
      </c>
    </row>
    <row r="161" spans="1:9" ht="14">
      <c r="A161" s="75">
        <v>46132</v>
      </c>
      <c r="B161" s="76" t="s">
        <v>815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 t="s">
        <v>154</v>
      </c>
      <c r="E162" s="80" t="s">
        <v>49</v>
      </c>
      <c r="F162" s="91"/>
      <c r="G162" s="91"/>
      <c r="H162" s="92" t="s">
        <v>826</v>
      </c>
      <c r="I162" s="80" t="s">
        <v>140</v>
      </c>
    </row>
    <row r="163" spans="1:9" ht="14">
      <c r="A163" s="75">
        <v>46133</v>
      </c>
      <c r="B163" s="76" t="s">
        <v>807</v>
      </c>
      <c r="C163" s="77">
        <v>1350</v>
      </c>
      <c r="D163" s="76" t="s">
        <v>154</v>
      </c>
      <c r="E163" s="76" t="s">
        <v>49</v>
      </c>
      <c r="F163" s="76"/>
      <c r="G163" s="76"/>
      <c r="H163" s="78" t="s">
        <v>808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809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810</v>
      </c>
      <c r="I165" s="76" t="s">
        <v>334</v>
      </c>
    </row>
    <row r="166" spans="1:9" ht="14">
      <c r="A166" s="79">
        <v>46134</v>
      </c>
      <c r="B166" s="80" t="s">
        <v>820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822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818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825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650</v>
      </c>
      <c r="D169" s="80"/>
      <c r="E169" s="80" t="s">
        <v>49</v>
      </c>
      <c r="F169" s="91"/>
      <c r="G169" s="91"/>
      <c r="H169" s="92" t="s">
        <v>827</v>
      </c>
      <c r="I169" s="80" t="s">
        <v>334</v>
      </c>
    </row>
    <row r="170" spans="1:9" ht="14">
      <c r="A170" s="75">
        <v>46134</v>
      </c>
      <c r="B170" s="76" t="s">
        <v>819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824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827</v>
      </c>
      <c r="I171" s="80" t="s">
        <v>334</v>
      </c>
    </row>
    <row r="172" spans="1:9" ht="14">
      <c r="A172" s="75">
        <v>46138</v>
      </c>
      <c r="B172" s="76" t="s">
        <v>829</v>
      </c>
      <c r="C172" s="77">
        <v>690</v>
      </c>
      <c r="D172" s="76" t="s">
        <v>154</v>
      </c>
      <c r="E172" s="76" t="s">
        <v>49</v>
      </c>
      <c r="F172" s="76"/>
      <c r="G172" s="76"/>
      <c r="H172" s="78" t="s">
        <v>828</v>
      </c>
      <c r="I172" s="76" t="s">
        <v>140</v>
      </c>
    </row>
    <row r="173" spans="1:9" ht="14">
      <c r="A173" s="79">
        <v>46138</v>
      </c>
      <c r="B173" s="80" t="s">
        <v>830</v>
      </c>
      <c r="C173" s="81">
        <v>1099</v>
      </c>
      <c r="D173" s="80" t="s">
        <v>154</v>
      </c>
      <c r="E173" s="80" t="s">
        <v>49</v>
      </c>
      <c r="F173" s="91"/>
      <c r="G173" s="91"/>
      <c r="H173" s="92" t="s">
        <v>835</v>
      </c>
      <c r="I173" s="80" t="s">
        <v>140</v>
      </c>
    </row>
    <row r="174" spans="1:9" ht="14">
      <c r="A174" s="75">
        <v>46139</v>
      </c>
      <c r="B174" s="76" t="s">
        <v>831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832</v>
      </c>
      <c r="I174" s="76" t="s">
        <v>140</v>
      </c>
    </row>
    <row r="175" spans="1:9" ht="14">
      <c r="A175" s="79">
        <v>46139</v>
      </c>
      <c r="B175" s="80" t="s">
        <v>833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828</v>
      </c>
      <c r="I175" s="80" t="s">
        <v>140</v>
      </c>
    </row>
    <row r="176" spans="1:9" ht="14">
      <c r="A176" s="75">
        <v>46139</v>
      </c>
      <c r="B176" s="76" t="s">
        <v>834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863</v>
      </c>
      <c r="I176" s="76" t="s">
        <v>140</v>
      </c>
    </row>
    <row r="177" spans="1:9" ht="14">
      <c r="A177" s="79">
        <v>46140</v>
      </c>
      <c r="B177" s="80" t="s">
        <v>836</v>
      </c>
      <c r="C177" s="81">
        <v>1380</v>
      </c>
      <c r="D177" s="80" t="s">
        <v>154</v>
      </c>
      <c r="E177" s="80" t="s">
        <v>49</v>
      </c>
      <c r="F177" s="91"/>
      <c r="G177" s="91"/>
      <c r="H177" s="92" t="s">
        <v>837</v>
      </c>
      <c r="I177" s="80" t="s">
        <v>140</v>
      </c>
    </row>
    <row r="178" spans="1:9" ht="14">
      <c r="A178" s="75">
        <v>46140</v>
      </c>
      <c r="B178" s="76" t="s">
        <v>178</v>
      </c>
      <c r="C178" s="77">
        <v>1480</v>
      </c>
      <c r="D178" s="76" t="s">
        <v>154</v>
      </c>
      <c r="E178" s="76" t="s">
        <v>49</v>
      </c>
      <c r="F178" s="76"/>
      <c r="G178" s="76"/>
      <c r="H178" s="78" t="s">
        <v>838</v>
      </c>
      <c r="I178" s="76" t="s">
        <v>140</v>
      </c>
    </row>
    <row r="179" spans="1:9" ht="14">
      <c r="A179" s="79">
        <v>46140</v>
      </c>
      <c r="B179" s="80" t="s">
        <v>843</v>
      </c>
      <c r="C179" s="81">
        <v>1200</v>
      </c>
      <c r="D179" s="80" t="s">
        <v>154</v>
      </c>
      <c r="E179" s="80" t="s">
        <v>49</v>
      </c>
      <c r="F179" s="91"/>
      <c r="G179" s="91"/>
      <c r="H179" s="92" t="s">
        <v>844</v>
      </c>
      <c r="I179" s="80" t="s">
        <v>140</v>
      </c>
    </row>
    <row r="180" spans="1:9" ht="14">
      <c r="A180" s="75">
        <v>46140</v>
      </c>
      <c r="B180" s="76" t="s">
        <v>846</v>
      </c>
      <c r="C180" s="77">
        <v>1899</v>
      </c>
      <c r="D180" s="76" t="s">
        <v>154</v>
      </c>
      <c r="E180" s="76" t="s">
        <v>49</v>
      </c>
      <c r="F180" s="76"/>
      <c r="G180" s="76"/>
      <c r="H180" s="78" t="s">
        <v>845</v>
      </c>
      <c r="I180" s="76" t="s">
        <v>334</v>
      </c>
    </row>
    <row r="181" spans="1:9" ht="14">
      <c r="A181" s="79">
        <v>46141</v>
      </c>
      <c r="B181" s="80" t="s">
        <v>860</v>
      </c>
      <c r="C181" s="81">
        <v>1380</v>
      </c>
      <c r="D181" s="80" t="s">
        <v>154</v>
      </c>
      <c r="E181" s="80" t="s">
        <v>49</v>
      </c>
      <c r="F181" s="91"/>
      <c r="G181" s="91"/>
      <c r="H181" s="92" t="s">
        <v>861</v>
      </c>
      <c r="I181" s="80" t="s">
        <v>140</v>
      </c>
    </row>
    <row r="182" spans="1:9" ht="14">
      <c r="A182" s="75">
        <v>46141</v>
      </c>
      <c r="B182" s="76" t="s">
        <v>862</v>
      </c>
      <c r="C182" s="77">
        <v>690</v>
      </c>
      <c r="D182" s="76" t="s">
        <v>154</v>
      </c>
      <c r="E182" s="76" t="s">
        <v>49</v>
      </c>
      <c r="F182" s="76"/>
      <c r="G182" s="76"/>
      <c r="H182" s="78" t="s">
        <v>863</v>
      </c>
      <c r="I182" s="76" t="s">
        <v>140</v>
      </c>
    </row>
    <row r="183" spans="1:9" ht="14">
      <c r="A183" s="79">
        <v>46142</v>
      </c>
      <c r="B183" s="80" t="s">
        <v>864</v>
      </c>
      <c r="C183" s="81">
        <v>690</v>
      </c>
      <c r="D183" s="80" t="s">
        <v>154</v>
      </c>
      <c r="E183" s="80" t="s">
        <v>49</v>
      </c>
      <c r="F183" s="91"/>
      <c r="G183" s="91"/>
      <c r="H183" s="92" t="s">
        <v>867</v>
      </c>
      <c r="I183" s="80" t="s">
        <v>140</v>
      </c>
    </row>
    <row r="184" spans="1:9" ht="14">
      <c r="A184" s="75">
        <v>46142</v>
      </c>
      <c r="B184" s="76" t="s">
        <v>865</v>
      </c>
      <c r="C184" s="77">
        <v>690</v>
      </c>
      <c r="D184" s="76" t="s">
        <v>154</v>
      </c>
      <c r="E184" s="76" t="s">
        <v>49</v>
      </c>
      <c r="F184" s="76"/>
      <c r="G184" s="76"/>
      <c r="H184" s="78" t="s">
        <v>863</v>
      </c>
      <c r="I184" s="76" t="s">
        <v>140</v>
      </c>
    </row>
    <row r="185" spans="1:9" ht="14">
      <c r="A185" s="79">
        <v>46142</v>
      </c>
      <c r="B185" s="80" t="s">
        <v>873</v>
      </c>
      <c r="C185" s="81">
        <v>609</v>
      </c>
      <c r="D185" s="80" t="s">
        <v>154</v>
      </c>
      <c r="E185" s="80" t="s">
        <v>49</v>
      </c>
      <c r="F185" s="91"/>
      <c r="G185" s="91"/>
      <c r="H185" s="92" t="s">
        <v>866</v>
      </c>
      <c r="I185" s="80" t="s">
        <v>140</v>
      </c>
    </row>
    <row r="186" spans="1:9" ht="14">
      <c r="A186" s="79">
        <v>46144</v>
      </c>
      <c r="B186" s="80" t="s">
        <v>875</v>
      </c>
      <c r="C186" s="81">
        <v>699</v>
      </c>
      <c r="D186" s="80" t="s">
        <v>154</v>
      </c>
      <c r="E186" s="80" t="s">
        <v>49</v>
      </c>
      <c r="F186" s="91"/>
      <c r="G186" s="91"/>
      <c r="H186" s="92" t="s">
        <v>876</v>
      </c>
      <c r="I186" s="80" t="s">
        <v>140</v>
      </c>
    </row>
    <row r="187" spans="1:9" ht="14">
      <c r="A187" s="75">
        <v>46144</v>
      </c>
      <c r="B187" s="76" t="s">
        <v>877</v>
      </c>
      <c r="C187" s="77">
        <v>690</v>
      </c>
      <c r="D187" s="76" t="s">
        <v>154</v>
      </c>
      <c r="E187" s="76" t="s">
        <v>49</v>
      </c>
      <c r="F187" s="76"/>
      <c r="G187" s="76"/>
      <c r="H187" s="78" t="s">
        <v>878</v>
      </c>
      <c r="I187" s="76" t="s">
        <v>140</v>
      </c>
    </row>
    <row r="188" spans="1:9" ht="14">
      <c r="A188" s="79">
        <v>46145</v>
      </c>
      <c r="B188" s="80" t="s">
        <v>879</v>
      </c>
      <c r="C188" s="81">
        <v>1200</v>
      </c>
      <c r="D188" s="80" t="s">
        <v>154</v>
      </c>
      <c r="E188" s="80" t="s">
        <v>49</v>
      </c>
      <c r="F188" s="91"/>
      <c r="G188" s="91"/>
      <c r="H188" s="92" t="s">
        <v>880</v>
      </c>
      <c r="I188" s="80" t="s">
        <v>140</v>
      </c>
    </row>
    <row r="189" spans="1:9" ht="14">
      <c r="A189" s="75">
        <v>46145</v>
      </c>
      <c r="B189" s="76" t="s">
        <v>883</v>
      </c>
      <c r="C189" s="77">
        <v>1200</v>
      </c>
      <c r="D189" s="76" t="s">
        <v>154</v>
      </c>
      <c r="E189" s="76" t="s">
        <v>49</v>
      </c>
      <c r="F189" s="76"/>
      <c r="G189" s="76"/>
      <c r="H189" s="78" t="s">
        <v>884</v>
      </c>
      <c r="I189" s="76" t="s">
        <v>140</v>
      </c>
    </row>
    <row r="190" spans="1:9" ht="14">
      <c r="A190" s="79">
        <v>46145</v>
      </c>
      <c r="B190" s="80" t="s">
        <v>153</v>
      </c>
      <c r="C190" s="81">
        <v>600</v>
      </c>
      <c r="D190" s="80" t="s">
        <v>154</v>
      </c>
      <c r="E190" s="80" t="s">
        <v>49</v>
      </c>
      <c r="F190" s="91"/>
      <c r="G190" s="91"/>
      <c r="H190" s="92" t="s">
        <v>889</v>
      </c>
      <c r="I190" s="80" t="s">
        <v>140</v>
      </c>
    </row>
    <row r="191" spans="1:9" ht="42">
      <c r="A191" s="75">
        <v>46151</v>
      </c>
      <c r="B191" s="76" t="s">
        <v>890</v>
      </c>
      <c r="C191" s="77">
        <v>5600</v>
      </c>
      <c r="D191" s="76" t="s">
        <v>142</v>
      </c>
      <c r="E191" s="76" t="s">
        <v>50</v>
      </c>
      <c r="F191" s="76"/>
      <c r="G191" s="76"/>
      <c r="H191" s="78" t="s">
        <v>894</v>
      </c>
      <c r="I191" s="76" t="s">
        <v>140</v>
      </c>
    </row>
    <row r="192" spans="1:9" ht="28">
      <c r="A192" s="79">
        <v>46152</v>
      </c>
      <c r="B192" s="80" t="s">
        <v>895</v>
      </c>
      <c r="C192" s="81">
        <v>5600</v>
      </c>
      <c r="D192" s="80" t="s">
        <v>142</v>
      </c>
      <c r="E192" s="80" t="s">
        <v>50</v>
      </c>
      <c r="F192" s="91"/>
      <c r="G192" s="91"/>
      <c r="H192" s="92" t="s">
        <v>900</v>
      </c>
      <c r="I192" s="80" t="s">
        <v>140</v>
      </c>
    </row>
    <row r="193" spans="1:9" ht="42">
      <c r="A193" s="75" t="s">
        <v>903</v>
      </c>
      <c r="B193" s="76" t="s">
        <v>904</v>
      </c>
      <c r="C193" s="77">
        <v>5600</v>
      </c>
      <c r="D193" s="76" t="s">
        <v>142</v>
      </c>
      <c r="E193" s="76" t="s">
        <v>50</v>
      </c>
      <c r="F193" s="76"/>
      <c r="G193" s="76"/>
      <c r="H193" s="78" t="s">
        <v>907</v>
      </c>
      <c r="I193" s="76" t="s">
        <v>140</v>
      </c>
    </row>
    <row r="194" spans="1:9" ht="28">
      <c r="A194" s="79">
        <v>46151</v>
      </c>
      <c r="B194" s="80" t="s">
        <v>908</v>
      </c>
      <c r="C194" s="81">
        <v>3000</v>
      </c>
      <c r="D194" s="80"/>
      <c r="E194" s="80"/>
      <c r="F194" s="91"/>
      <c r="G194" s="91"/>
      <c r="H194" s="92" t="s">
        <v>913</v>
      </c>
      <c r="I194" s="80" t="s">
        <v>334</v>
      </c>
    </row>
    <row r="195" spans="1:9" ht="42">
      <c r="A195" s="75">
        <v>46155</v>
      </c>
      <c r="B195" s="76" t="s">
        <v>914</v>
      </c>
      <c r="C195" s="77">
        <v>5400</v>
      </c>
      <c r="D195" s="76" t="s">
        <v>142</v>
      </c>
      <c r="E195" s="76" t="s">
        <v>50</v>
      </c>
      <c r="F195" s="76"/>
      <c r="G195" s="76"/>
      <c r="H195" s="78" t="s">
        <v>924</v>
      </c>
      <c r="I195" s="76" t="s">
        <v>140</v>
      </c>
    </row>
    <row r="196" spans="1:9" ht="42">
      <c r="A196" s="79">
        <v>46155</v>
      </c>
      <c r="B196" s="80" t="s">
        <v>915</v>
      </c>
      <c r="C196" s="81">
        <v>5750</v>
      </c>
      <c r="D196" s="80" t="s">
        <v>142</v>
      </c>
      <c r="E196" s="80" t="s">
        <v>50</v>
      </c>
      <c r="F196" s="91"/>
      <c r="G196" s="91"/>
      <c r="H196" s="92" t="s">
        <v>916</v>
      </c>
      <c r="I196" s="80" t="s">
        <v>140</v>
      </c>
    </row>
    <row r="197" spans="1:9" ht="42">
      <c r="A197" s="75">
        <v>46155</v>
      </c>
      <c r="B197" s="76" t="s">
        <v>175</v>
      </c>
      <c r="C197" s="77">
        <v>4000</v>
      </c>
      <c r="D197" s="76" t="s">
        <v>142</v>
      </c>
      <c r="E197" s="76" t="s">
        <v>50</v>
      </c>
      <c r="F197" s="76"/>
      <c r="G197" s="76"/>
      <c r="H197" s="78" t="s">
        <v>931</v>
      </c>
      <c r="I197" s="76" t="s">
        <v>140</v>
      </c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85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zoomScaleNormal="100" workbookViewId="0">
      <pane ySplit="1" topLeftCell="A165" activePane="bottomLeft" state="frozen"/>
      <selection pane="bottomLeft" activeCell="B176" sqref="B176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7.5" style="43" bestFit="1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54.1640625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2</v>
      </c>
      <c r="G52" s="49">
        <v>2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2400</v>
      </c>
      <c r="K52" s="48">
        <f t="shared" si="5"/>
        <v>2400</v>
      </c>
      <c r="L52" s="48" t="s">
        <v>928</v>
      </c>
      <c r="M52" s="48"/>
      <c r="N52" s="48" t="s">
        <v>451</v>
      </c>
      <c r="O52" s="48" t="s">
        <v>929</v>
      </c>
      <c r="P52" s="48" t="s">
        <v>461</v>
      </c>
      <c r="Q52" s="48"/>
      <c r="R52" s="48"/>
      <c r="S52" s="48"/>
      <c r="T52" s="48"/>
    </row>
    <row r="53" spans="1:246" ht="15" customHeight="1">
      <c r="A53" s="42" t="s">
        <v>462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463</v>
      </c>
      <c r="M53" s="42"/>
      <c r="N53" s="42" t="s">
        <v>334</v>
      </c>
      <c r="O53" s="42" t="s">
        <v>221</v>
      </c>
      <c r="P53" s="42" t="s">
        <v>464</v>
      </c>
      <c r="Q53" s="42"/>
      <c r="R53" s="42"/>
      <c r="S53" s="42"/>
      <c r="T53" s="42"/>
    </row>
    <row r="54" spans="1:246" s="57" customFormat="1" ht="15" customHeight="1">
      <c r="A54" s="48" t="s">
        <v>465</v>
      </c>
      <c r="B54" s="54" t="s">
        <v>466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467</v>
      </c>
      <c r="Q54" s="48" t="s">
        <v>468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469</v>
      </c>
      <c r="B55" s="42" t="s">
        <v>470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471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472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473</v>
      </c>
      <c r="P56" s="48"/>
      <c r="Q56" s="48"/>
      <c r="R56" s="48"/>
      <c r="S56" s="48"/>
      <c r="T56" s="48"/>
    </row>
    <row r="57" spans="1:246" ht="15" customHeight="1">
      <c r="A57" s="42" t="s">
        <v>474</v>
      </c>
      <c r="B57" s="42" t="s">
        <v>475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476</v>
      </c>
      <c r="P57" s="42"/>
      <c r="Q57" s="42"/>
      <c r="R57" s="42"/>
      <c r="S57" s="42"/>
      <c r="T57" s="42"/>
    </row>
    <row r="58" spans="1:246" ht="15" customHeight="1">
      <c r="A58" s="48" t="s">
        <v>477</v>
      </c>
      <c r="B58" s="48" t="s">
        <v>478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479</v>
      </c>
      <c r="P58" s="48"/>
      <c r="Q58" s="48"/>
      <c r="R58" s="48"/>
      <c r="S58" s="48"/>
      <c r="T58" s="48"/>
    </row>
    <row r="59" spans="1:246" ht="15" customHeight="1">
      <c r="A59" s="42" t="s">
        <v>480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481</v>
      </c>
      <c r="M59" s="42"/>
      <c r="N59" s="42" t="s">
        <v>451</v>
      </c>
      <c r="O59" s="42" t="s">
        <v>482</v>
      </c>
      <c r="P59" s="42" t="s">
        <v>483</v>
      </c>
      <c r="Q59" s="42"/>
      <c r="R59" s="42"/>
      <c r="S59" s="42"/>
      <c r="T59" s="42"/>
    </row>
    <row r="60" spans="1:246" ht="15" customHeight="1">
      <c r="A60" s="48" t="s">
        <v>484</v>
      </c>
      <c r="B60" s="48" t="s">
        <v>485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486</v>
      </c>
      <c r="M60" s="48" t="s">
        <v>49</v>
      </c>
      <c r="N60" s="48" t="s">
        <v>366</v>
      </c>
      <c r="O60" s="48"/>
      <c r="P60" s="48" t="s">
        <v>487</v>
      </c>
      <c r="Q60" s="48"/>
      <c r="R60" s="48"/>
      <c r="S60" s="48"/>
      <c r="T60" s="48"/>
    </row>
    <row r="61" spans="1:246" ht="45" customHeight="1">
      <c r="A61" s="42" t="s">
        <v>488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489</v>
      </c>
      <c r="M61" s="42"/>
      <c r="N61" s="42" t="s">
        <v>451</v>
      </c>
      <c r="O61" s="42" t="s">
        <v>490</v>
      </c>
      <c r="P61" s="42" t="s">
        <v>491</v>
      </c>
      <c r="Q61" s="42" t="s">
        <v>492</v>
      </c>
      <c r="R61" s="42"/>
      <c r="S61" s="42"/>
      <c r="T61" s="42"/>
    </row>
    <row r="62" spans="1:246" ht="15" customHeight="1">
      <c r="A62" s="48" t="s">
        <v>493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494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495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496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497</v>
      </c>
      <c r="B65" s="42" t="s">
        <v>498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821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499</v>
      </c>
      <c r="B66" s="48" t="s">
        <v>500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501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502</v>
      </c>
      <c r="B67" s="42" t="s">
        <v>503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504</v>
      </c>
      <c r="B68" s="48" t="s">
        <v>505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506</v>
      </c>
      <c r="M68" s="48"/>
      <c r="N68" s="48" t="s">
        <v>451</v>
      </c>
      <c r="O68" s="48"/>
      <c r="P68" s="48" t="s">
        <v>507</v>
      </c>
      <c r="Q68" s="48"/>
      <c r="R68" s="48"/>
      <c r="S68" s="48"/>
      <c r="T68" s="48"/>
    </row>
    <row r="69" spans="1:20" ht="15" customHeight="1">
      <c r="A69" s="42" t="s">
        <v>508</v>
      </c>
      <c r="B69" s="42" t="s">
        <v>509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510</v>
      </c>
      <c r="P69" s="42"/>
      <c r="Q69" s="42"/>
      <c r="R69" s="42"/>
      <c r="S69" s="42"/>
      <c r="T69" s="42"/>
    </row>
    <row r="70" spans="1:20" ht="15" customHeight="1">
      <c r="A70" s="48" t="s">
        <v>511</v>
      </c>
      <c r="B70" s="48" t="s">
        <v>512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513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514</v>
      </c>
      <c r="B71" s="42" t="s">
        <v>515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516</v>
      </c>
      <c r="M71" s="42" t="s">
        <v>49</v>
      </c>
      <c r="N71" s="42" t="s">
        <v>366</v>
      </c>
      <c r="O71" s="42"/>
      <c r="P71" s="42" t="s">
        <v>517</v>
      </c>
      <c r="Q71" s="42"/>
      <c r="R71" s="42"/>
      <c r="S71" s="42"/>
      <c r="T71" s="42"/>
    </row>
    <row r="72" spans="1:20" ht="15" customHeight="1">
      <c r="A72" s="48" t="s">
        <v>518</v>
      </c>
      <c r="B72" s="48" t="s">
        <v>519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520</v>
      </c>
      <c r="B73" s="42" t="s">
        <v>521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522</v>
      </c>
      <c r="B74" s="48" t="s">
        <v>523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524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525</v>
      </c>
      <c r="B76" s="48" t="s">
        <v>526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527</v>
      </c>
      <c r="B77" s="42" t="s">
        <v>528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529</v>
      </c>
      <c r="M77" s="42"/>
      <c r="N77" s="42" t="s">
        <v>451</v>
      </c>
      <c r="O77" s="42" t="s">
        <v>530</v>
      </c>
      <c r="P77" s="42"/>
      <c r="Q77" s="42"/>
      <c r="R77" s="42"/>
      <c r="S77" s="42"/>
      <c r="T77" s="42"/>
    </row>
    <row r="78" spans="1:20" ht="15" customHeight="1">
      <c r="A78" s="48" t="s">
        <v>531</v>
      </c>
      <c r="B78" s="48" t="s">
        <v>532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533</v>
      </c>
      <c r="M78" s="48"/>
      <c r="N78" s="48" t="s">
        <v>451</v>
      </c>
      <c r="O78" s="48" t="s">
        <v>534</v>
      </c>
      <c r="P78" s="48"/>
      <c r="Q78" s="48"/>
      <c r="R78" s="48"/>
      <c r="S78" s="48"/>
      <c r="T78" s="48"/>
    </row>
    <row r="79" spans="1:20" ht="15" customHeight="1">
      <c r="A79" s="42" t="s">
        <v>535</v>
      </c>
      <c r="B79" s="42" t="s">
        <v>536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823</v>
      </c>
      <c r="M79" s="42"/>
      <c r="N79" s="42" t="s">
        <v>537</v>
      </c>
      <c r="O79" s="42" t="s">
        <v>538</v>
      </c>
      <c r="P79" s="42"/>
      <c r="Q79" s="42"/>
      <c r="R79" s="42"/>
      <c r="S79" s="42"/>
      <c r="T79" s="42"/>
    </row>
    <row r="80" spans="1:20" ht="15" customHeight="1">
      <c r="A80" s="48" t="s">
        <v>539</v>
      </c>
      <c r="B80" s="48" t="s">
        <v>540</v>
      </c>
      <c r="C80" s="48" t="s">
        <v>96</v>
      </c>
      <c r="D80" s="49">
        <v>1230</v>
      </c>
      <c r="E80" s="49">
        <v>1700</v>
      </c>
      <c r="F80" s="49">
        <v>3</v>
      </c>
      <c r="G80" s="49">
        <v>1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3690</v>
      </c>
      <c r="K80" s="48">
        <f t="shared" si="8"/>
        <v>1230</v>
      </c>
      <c r="L80" s="48" t="s">
        <v>891</v>
      </c>
      <c r="M80" s="48"/>
      <c r="N80" s="48" t="s">
        <v>451</v>
      </c>
      <c r="O80" s="48" t="s">
        <v>892</v>
      </c>
      <c r="P80" s="48"/>
      <c r="Q80" s="48"/>
      <c r="R80" s="48"/>
      <c r="S80" s="48"/>
      <c r="T80" s="48"/>
    </row>
    <row r="81" spans="1:20" ht="30" customHeight="1">
      <c r="A81" s="42" t="s">
        <v>541</v>
      </c>
      <c r="B81" s="42" t="s">
        <v>542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543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544</v>
      </c>
      <c r="B82" s="48" t="s">
        <v>545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546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547</v>
      </c>
      <c r="B83" s="42" t="s">
        <v>548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549</v>
      </c>
      <c r="M83" s="42"/>
      <c r="N83" s="42" t="s">
        <v>366</v>
      </c>
      <c r="O83" s="42" t="s">
        <v>550</v>
      </c>
      <c r="P83" s="42"/>
      <c r="Q83" s="42"/>
      <c r="R83" s="42"/>
      <c r="S83" s="42"/>
      <c r="T83" s="42"/>
    </row>
    <row r="84" spans="1:20" ht="15" customHeight="1">
      <c r="A84" s="48" t="s">
        <v>551</v>
      </c>
      <c r="B84" s="48" t="s">
        <v>552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553</v>
      </c>
      <c r="M84" s="48"/>
      <c r="N84" s="48" t="s">
        <v>451</v>
      </c>
      <c r="O84" s="48" t="s">
        <v>554</v>
      </c>
      <c r="P84" s="48"/>
      <c r="Q84" s="48"/>
      <c r="R84" s="48"/>
      <c r="S84" s="48"/>
      <c r="T84" s="48"/>
    </row>
    <row r="85" spans="1:20" ht="15" customHeight="1">
      <c r="A85" s="42" t="s">
        <v>555</v>
      </c>
      <c r="B85" s="42" t="s">
        <v>556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814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557</v>
      </c>
      <c r="B86" s="48" t="s">
        <v>558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559</v>
      </c>
      <c r="M86" s="48"/>
      <c r="N86" s="48" t="s">
        <v>451</v>
      </c>
      <c r="O86" s="48" t="s">
        <v>534</v>
      </c>
      <c r="P86" s="48"/>
      <c r="Q86" s="48"/>
      <c r="R86" s="48"/>
      <c r="S86" s="48"/>
      <c r="T86" s="48"/>
    </row>
    <row r="87" spans="1:20" ht="15" customHeight="1">
      <c r="A87" s="42" t="s">
        <v>560</v>
      </c>
      <c r="B87" s="42" t="s">
        <v>561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537</v>
      </c>
      <c r="O87" s="42" t="s">
        <v>562</v>
      </c>
      <c r="P87" s="42"/>
      <c r="Q87" s="42"/>
      <c r="R87" s="42"/>
      <c r="S87" s="42"/>
      <c r="T87" s="42"/>
    </row>
    <row r="88" spans="1:20" ht="30" customHeight="1">
      <c r="A88" s="48" t="s">
        <v>563</v>
      </c>
      <c r="B88" s="48" t="s">
        <v>564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565</v>
      </c>
      <c r="M88" s="48"/>
      <c r="N88" s="48" t="s">
        <v>451</v>
      </c>
      <c r="O88" s="48" t="s">
        <v>566</v>
      </c>
      <c r="P88" s="48"/>
      <c r="Q88" s="48"/>
      <c r="R88" s="48"/>
      <c r="S88" s="48"/>
      <c r="T88" s="48"/>
    </row>
    <row r="89" spans="1:20" ht="15" customHeight="1">
      <c r="A89" s="42" t="s">
        <v>567</v>
      </c>
      <c r="B89" s="42" t="s">
        <v>568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569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570</v>
      </c>
      <c r="B90" s="48" t="s">
        <v>571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572</v>
      </c>
      <c r="B91" s="42" t="s">
        <v>573</v>
      </c>
      <c r="C91" s="42" t="s">
        <v>574</v>
      </c>
      <c r="D91" s="51">
        <v>389</v>
      </c>
      <c r="E91" s="51">
        <v>689</v>
      </c>
      <c r="F91" s="51">
        <v>2</v>
      </c>
      <c r="G91" s="51">
        <v>0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778</v>
      </c>
      <c r="K91" s="42">
        <f t="shared" si="8"/>
        <v>0</v>
      </c>
      <c r="L91" s="42" t="s">
        <v>840</v>
      </c>
      <c r="M91" s="42"/>
      <c r="N91" s="42" t="s">
        <v>366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575</v>
      </c>
      <c r="B92" s="48" t="s">
        <v>576</v>
      </c>
      <c r="C92" s="48" t="s">
        <v>574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577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578</v>
      </c>
      <c r="B93" s="42" t="s">
        <v>579</v>
      </c>
      <c r="C93" s="42" t="s">
        <v>97</v>
      </c>
      <c r="D93" s="51">
        <v>472</v>
      </c>
      <c r="E93" s="51">
        <v>650</v>
      </c>
      <c r="F93" s="51">
        <v>2</v>
      </c>
      <c r="G93" s="51">
        <v>1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944</v>
      </c>
      <c r="K93" s="42">
        <f t="shared" si="8"/>
        <v>472</v>
      </c>
      <c r="L93" s="42" t="s">
        <v>910</v>
      </c>
      <c r="M93" s="42"/>
      <c r="N93" s="48" t="s">
        <v>451</v>
      </c>
      <c r="O93" s="42" t="s">
        <v>806</v>
      </c>
      <c r="P93" s="42"/>
      <c r="Q93" s="42"/>
      <c r="R93" s="42"/>
      <c r="S93" s="42"/>
      <c r="T93" s="42"/>
    </row>
    <row r="94" spans="1:20" ht="15" customHeight="1">
      <c r="A94" s="48" t="s">
        <v>580</v>
      </c>
      <c r="B94" s="48" t="s">
        <v>581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582</v>
      </c>
      <c r="B95" s="42" t="s">
        <v>583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584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585</v>
      </c>
      <c r="B96" s="48" t="s">
        <v>586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537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587</v>
      </c>
      <c r="B97" s="42" t="s">
        <v>588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589</v>
      </c>
      <c r="B98" s="48" t="s">
        <v>590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591</v>
      </c>
      <c r="B99" s="42" t="s">
        <v>592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593</v>
      </c>
      <c r="B100" s="48" t="s">
        <v>594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595</v>
      </c>
      <c r="B101" s="42" t="s">
        <v>596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597</v>
      </c>
      <c r="B102" s="48" t="s">
        <v>598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599</v>
      </c>
      <c r="B103" s="42" t="s">
        <v>600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601</v>
      </c>
      <c r="B104" s="48" t="s">
        <v>602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603</v>
      </c>
      <c r="B105" s="42" t="s">
        <v>604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605</v>
      </c>
      <c r="B106" s="48" t="s">
        <v>606</v>
      </c>
      <c r="C106" s="48" t="s">
        <v>96</v>
      </c>
      <c r="D106" s="49">
        <v>976</v>
      </c>
      <c r="E106" s="49">
        <v>1600</v>
      </c>
      <c r="F106" s="49">
        <v>1</v>
      </c>
      <c r="G106" s="49">
        <v>0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976</v>
      </c>
      <c r="K106" s="48">
        <f t="shared" si="11"/>
        <v>0</v>
      </c>
      <c r="L106" s="48" t="s">
        <v>915</v>
      </c>
      <c r="M106" s="48"/>
      <c r="N106" s="48" t="s">
        <v>366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607</v>
      </c>
      <c r="B107" s="42" t="s">
        <v>608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609</v>
      </c>
      <c r="B108" s="48" t="s">
        <v>610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611</v>
      </c>
      <c r="B109" s="42" t="s">
        <v>612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613</v>
      </c>
      <c r="B110" s="48" t="s">
        <v>614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615</v>
      </c>
      <c r="B111" s="42" t="s">
        <v>616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617</v>
      </c>
      <c r="B112" s="48" t="s">
        <v>618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537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619</v>
      </c>
      <c r="B113" s="42" t="s">
        <v>620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621</v>
      </c>
      <c r="B114" s="48" t="s">
        <v>622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623</v>
      </c>
      <c r="B115" s="42" t="s">
        <v>624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625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626</v>
      </c>
      <c r="B116" s="48" t="s">
        <v>627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628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629</v>
      </c>
      <c r="B117" s="42" t="s">
        <v>630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631</v>
      </c>
      <c r="B118" s="48" t="s">
        <v>632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633</v>
      </c>
      <c r="M118" s="48"/>
      <c r="N118" s="48" t="s">
        <v>366</v>
      </c>
      <c r="O118" s="48"/>
      <c r="P118" s="48" t="s">
        <v>634</v>
      </c>
      <c r="Q118" s="48"/>
      <c r="R118" s="48"/>
      <c r="S118" s="48"/>
      <c r="T118" s="48"/>
    </row>
    <row r="119" spans="1:246" ht="15" customHeight="1">
      <c r="A119" s="42" t="s">
        <v>635</v>
      </c>
      <c r="B119" s="42" t="s">
        <v>636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105">
      <c r="A120" s="48" t="s">
        <v>637</v>
      </c>
      <c r="B120" s="48" t="s">
        <v>638</v>
      </c>
      <c r="C120" s="48" t="s">
        <v>95</v>
      </c>
      <c r="D120" s="49">
        <v>418.95333333333298</v>
      </c>
      <c r="E120" s="49">
        <v>699</v>
      </c>
      <c r="F120" s="49">
        <v>19</v>
      </c>
      <c r="G120" s="49">
        <v>30</v>
      </c>
      <c r="H120" s="48">
        <f t="shared" si="9"/>
        <v>49</v>
      </c>
      <c r="I120" s="48">
        <f>IF(D120&lt;&gt;"",D120,IFERROR(E120/(IFERROR(SUM(Sales!C:C),0))*(IFERROR(SUM(Purchases!C:C),0)),0))</f>
        <v>418.95333333333298</v>
      </c>
      <c r="J120" s="48">
        <f t="shared" si="10"/>
        <v>7960.1133333333264</v>
      </c>
      <c r="K120" s="48">
        <f t="shared" si="11"/>
        <v>12568.599999999989</v>
      </c>
      <c r="L120" s="94" t="s">
        <v>932</v>
      </c>
      <c r="M120" s="48" t="s">
        <v>49</v>
      </c>
      <c r="N120" s="48" t="s">
        <v>451</v>
      </c>
      <c r="O120" s="48"/>
      <c r="P120" s="48" t="s">
        <v>933</v>
      </c>
      <c r="Q120" s="48"/>
      <c r="R120" s="48"/>
      <c r="S120" s="48"/>
      <c r="T120" s="48"/>
    </row>
    <row r="121" spans="1:246" ht="15" customHeight="1">
      <c r="A121" s="42" t="s">
        <v>639</v>
      </c>
      <c r="B121" s="42" t="s">
        <v>640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641</v>
      </c>
      <c r="M121" s="42"/>
      <c r="N121" s="42" t="s">
        <v>366</v>
      </c>
      <c r="O121" s="42"/>
      <c r="P121" s="42" t="s">
        <v>642</v>
      </c>
      <c r="Q121" s="42"/>
      <c r="R121" s="42"/>
      <c r="S121" s="42"/>
      <c r="T121" s="42"/>
    </row>
    <row r="122" spans="1:246" ht="15" customHeight="1">
      <c r="A122" s="48" t="s">
        <v>643</v>
      </c>
      <c r="B122" s="48" t="s">
        <v>644</v>
      </c>
      <c r="C122" s="48" t="s">
        <v>96</v>
      </c>
      <c r="D122" s="49">
        <v>1175</v>
      </c>
      <c r="E122" s="49">
        <v>1600</v>
      </c>
      <c r="F122" s="49">
        <v>0</v>
      </c>
      <c r="G122" s="49">
        <v>4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0</v>
      </c>
      <c r="K122" s="48">
        <f t="shared" si="11"/>
        <v>4700</v>
      </c>
      <c r="L122" s="48" t="s">
        <v>885</v>
      </c>
      <c r="M122" s="48"/>
      <c r="N122" s="48" t="s">
        <v>366</v>
      </c>
      <c r="O122" s="48"/>
      <c r="P122" s="48"/>
      <c r="Q122" s="48"/>
      <c r="R122" s="48"/>
      <c r="S122" s="48"/>
      <c r="T122" s="48"/>
    </row>
    <row r="123" spans="1:246" s="53" customFormat="1" ht="75" customHeight="1">
      <c r="A123" s="59" t="s">
        <v>646</v>
      </c>
      <c r="B123" s="59" t="s">
        <v>647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648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649</v>
      </c>
      <c r="B124" s="61" t="s">
        <v>650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651</v>
      </c>
      <c r="M124" s="61"/>
      <c r="N124" s="61" t="s">
        <v>366</v>
      </c>
      <c r="O124" s="61"/>
      <c r="P124" s="61" t="s">
        <v>461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652</v>
      </c>
      <c r="B125" s="59" t="s">
        <v>653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654</v>
      </c>
      <c r="M125" s="59"/>
      <c r="N125" s="59" t="s">
        <v>366</v>
      </c>
      <c r="O125" s="59"/>
      <c r="P125" s="59" t="s">
        <v>655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656</v>
      </c>
      <c r="B126" s="48" t="s">
        <v>657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658</v>
      </c>
      <c r="M126" s="48"/>
      <c r="N126" s="48" t="s">
        <v>366</v>
      </c>
      <c r="O126" s="48" t="s">
        <v>659</v>
      </c>
      <c r="P126" s="48"/>
      <c r="Q126" s="48"/>
      <c r="R126" s="48"/>
      <c r="S126" s="48"/>
      <c r="T126" s="48"/>
    </row>
    <row r="127" spans="1:246" ht="15" customHeight="1">
      <c r="A127" s="59" t="s">
        <v>660</v>
      </c>
      <c r="B127" s="42" t="s">
        <v>661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662</v>
      </c>
      <c r="B128" s="48" t="s">
        <v>663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537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664</v>
      </c>
      <c r="B129" s="42" t="s">
        <v>665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666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667</v>
      </c>
      <c r="B130" s="48" t="s">
        <v>668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669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670</v>
      </c>
      <c r="B131" s="42" t="s">
        <v>671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537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672</v>
      </c>
      <c r="B132" s="48" t="s">
        <v>673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674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675</v>
      </c>
      <c r="B133" s="42" t="s">
        <v>676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537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677</v>
      </c>
      <c r="B134" s="48" t="s">
        <v>678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537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679</v>
      </c>
      <c r="B135" s="42" t="s">
        <v>680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681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682</v>
      </c>
      <c r="B136" s="48" t="s">
        <v>683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817</v>
      </c>
      <c r="M136" s="48"/>
      <c r="N136" s="48" t="s">
        <v>366</v>
      </c>
      <c r="O136" s="48"/>
      <c r="P136" s="48" t="s">
        <v>684</v>
      </c>
      <c r="Q136" s="48"/>
      <c r="R136" s="48"/>
      <c r="S136" s="48"/>
      <c r="T136" s="48"/>
    </row>
    <row r="137" spans="1:20" ht="15" customHeight="1">
      <c r="A137" s="59" t="s">
        <v>685</v>
      </c>
      <c r="B137" s="42" t="s">
        <v>686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687</v>
      </c>
      <c r="B138" s="48" t="s">
        <v>688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816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689</v>
      </c>
      <c r="B139" s="42" t="s">
        <v>690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691</v>
      </c>
      <c r="B140" s="48" t="s">
        <v>692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693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694</v>
      </c>
      <c r="B141" s="42" t="s">
        <v>695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537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696</v>
      </c>
      <c r="B142" s="48" t="s">
        <v>697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698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699</v>
      </c>
      <c r="B143" s="42" t="s">
        <v>700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537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701</v>
      </c>
      <c r="B144" s="48" t="s">
        <v>702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537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703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704</v>
      </c>
      <c r="B146" s="48" t="s">
        <v>705</v>
      </c>
      <c r="C146" s="48" t="s">
        <v>95</v>
      </c>
      <c r="D146" s="49">
        <v>761</v>
      </c>
      <c r="E146" s="49">
        <v>1200</v>
      </c>
      <c r="F146" s="62">
        <v>2</v>
      </c>
      <c r="G146" s="62">
        <v>1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1522</v>
      </c>
      <c r="K146" s="61">
        <f t="shared" si="14"/>
        <v>761</v>
      </c>
      <c r="L146" s="48" t="s">
        <v>905</v>
      </c>
      <c r="M146" s="48"/>
      <c r="N146" s="48" t="s">
        <v>451</v>
      </c>
      <c r="O146" s="48"/>
      <c r="P146" s="48" t="s">
        <v>906</v>
      </c>
      <c r="Q146" s="48"/>
      <c r="R146" s="48"/>
      <c r="S146" s="48"/>
      <c r="T146" s="48"/>
    </row>
    <row r="147" spans="1:20" ht="64" customHeight="1">
      <c r="A147" s="42" t="s">
        <v>706</v>
      </c>
      <c r="B147" s="42" t="s">
        <v>707</v>
      </c>
      <c r="C147" s="42" t="s">
        <v>95</v>
      </c>
      <c r="D147" s="51">
        <v>719</v>
      </c>
      <c r="E147" s="51">
        <v>1200</v>
      </c>
      <c r="F147" s="60">
        <v>5</v>
      </c>
      <c r="G147" s="60">
        <v>6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3595</v>
      </c>
      <c r="K147" s="59">
        <f t="shared" si="14"/>
        <v>4314</v>
      </c>
      <c r="L147" s="42" t="s">
        <v>882</v>
      </c>
      <c r="M147" s="42"/>
      <c r="N147" s="42" t="s">
        <v>451</v>
      </c>
      <c r="O147" s="42"/>
      <c r="P147" s="42" t="s">
        <v>881</v>
      </c>
      <c r="Q147" s="42"/>
      <c r="R147" s="42"/>
      <c r="S147" s="42"/>
      <c r="T147" s="42"/>
    </row>
    <row r="148" spans="1:20" ht="15" customHeight="1">
      <c r="A148" s="48" t="s">
        <v>708</v>
      </c>
      <c r="B148" s="48" t="s">
        <v>709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710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711</v>
      </c>
      <c r="B149" s="42" t="s">
        <v>712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930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713</v>
      </c>
      <c r="B150" s="48" t="s">
        <v>714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537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715</v>
      </c>
      <c r="B151" s="42" t="s">
        <v>716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811</v>
      </c>
      <c r="M151" s="42"/>
      <c r="N151" s="42" t="s">
        <v>451</v>
      </c>
      <c r="O151" s="42" t="s">
        <v>208</v>
      </c>
      <c r="P151" s="42" t="s">
        <v>717</v>
      </c>
      <c r="Q151" s="42"/>
      <c r="R151" s="42"/>
      <c r="S151" s="42"/>
      <c r="T151" s="42"/>
    </row>
    <row r="152" spans="1:20" ht="15" customHeight="1">
      <c r="A152" s="48" t="s">
        <v>718</v>
      </c>
      <c r="B152" s="48" t="s">
        <v>719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720</v>
      </c>
      <c r="M152" s="48"/>
      <c r="N152" s="48" t="s">
        <v>451</v>
      </c>
      <c r="O152" s="48" t="s">
        <v>721</v>
      </c>
      <c r="P152" s="48" t="s">
        <v>722</v>
      </c>
      <c r="Q152" s="48"/>
      <c r="R152" s="48"/>
      <c r="S152" s="48"/>
      <c r="T152" s="48"/>
    </row>
    <row r="153" spans="1:20" ht="15" customHeight="1">
      <c r="A153" s="42" t="s">
        <v>723</v>
      </c>
      <c r="B153" s="42" t="s">
        <v>724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725</v>
      </c>
      <c r="M153" s="42"/>
      <c r="N153" s="42" t="s">
        <v>451</v>
      </c>
      <c r="O153" s="42"/>
      <c r="P153" s="42" t="s">
        <v>726</v>
      </c>
      <c r="Q153" s="42"/>
      <c r="R153" s="42"/>
      <c r="S153" s="42"/>
      <c r="T153" s="42"/>
    </row>
    <row r="154" spans="1:20" ht="15" customHeight="1">
      <c r="A154" s="48" t="s">
        <v>727</v>
      </c>
      <c r="B154" s="48" t="s">
        <v>728</v>
      </c>
      <c r="C154" s="48" t="s">
        <v>96</v>
      </c>
      <c r="D154" s="49">
        <v>949</v>
      </c>
      <c r="E154" s="49">
        <v>1450</v>
      </c>
      <c r="F154" s="62">
        <v>1</v>
      </c>
      <c r="G154" s="62">
        <v>2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949</v>
      </c>
      <c r="K154" s="61">
        <f t="shared" si="14"/>
        <v>1898</v>
      </c>
      <c r="L154" s="48" t="s">
        <v>925</v>
      </c>
      <c r="M154" s="48"/>
      <c r="N154" s="48" t="s">
        <v>451</v>
      </c>
      <c r="O154" s="48" t="s">
        <v>926</v>
      </c>
      <c r="P154" s="48"/>
      <c r="Q154" s="48"/>
      <c r="R154" s="48"/>
      <c r="S154" s="48"/>
      <c r="T154" s="48"/>
    </row>
    <row r="155" spans="1:20" ht="15" customHeight="1">
      <c r="A155" s="42" t="s">
        <v>730</v>
      </c>
      <c r="B155" s="42" t="s">
        <v>731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537</v>
      </c>
      <c r="O155" s="42" t="s">
        <v>729</v>
      </c>
      <c r="P155" s="42"/>
      <c r="Q155" s="42"/>
      <c r="R155" s="42"/>
      <c r="S155" s="42"/>
      <c r="T155" s="42"/>
    </row>
    <row r="156" spans="1:20" ht="15" customHeight="1">
      <c r="A156" s="48" t="s">
        <v>732</v>
      </c>
      <c r="B156" s="48" t="s">
        <v>733</v>
      </c>
      <c r="C156" s="48" t="s">
        <v>96</v>
      </c>
      <c r="D156" s="49">
        <v>950</v>
      </c>
      <c r="E156" s="49">
        <v>1550</v>
      </c>
      <c r="F156" s="62">
        <v>1</v>
      </c>
      <c r="G156" s="62">
        <v>3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950</v>
      </c>
      <c r="K156" s="61">
        <f t="shared" si="14"/>
        <v>2850</v>
      </c>
      <c r="L156" s="48" t="s">
        <v>923</v>
      </c>
      <c r="M156" s="48"/>
      <c r="N156" s="48" t="s">
        <v>451</v>
      </c>
      <c r="O156" s="48" t="s">
        <v>729</v>
      </c>
      <c r="P156" s="48"/>
      <c r="Q156" s="48"/>
      <c r="R156" s="48"/>
      <c r="S156" s="48"/>
      <c r="T156" s="48"/>
    </row>
    <row r="157" spans="1:20" ht="15" customHeight="1">
      <c r="A157" s="42" t="s">
        <v>734</v>
      </c>
      <c r="B157" s="42" t="s">
        <v>735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736</v>
      </c>
      <c r="M157" s="42"/>
      <c r="N157" s="42" t="s">
        <v>451</v>
      </c>
      <c r="O157" s="42" t="s">
        <v>645</v>
      </c>
      <c r="P157" s="42"/>
      <c r="Q157" s="42"/>
      <c r="R157" s="42"/>
      <c r="S157" s="42"/>
      <c r="T157" s="42"/>
    </row>
    <row r="158" spans="1:20" ht="15" customHeight="1">
      <c r="A158" s="48" t="s">
        <v>737</v>
      </c>
      <c r="B158" s="48" t="s">
        <v>738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812</v>
      </c>
      <c r="M158" s="48"/>
      <c r="N158" s="48" t="s">
        <v>537</v>
      </c>
      <c r="O158" s="48" t="s">
        <v>813</v>
      </c>
      <c r="P158" s="48"/>
      <c r="Q158" s="48"/>
      <c r="R158" s="48"/>
      <c r="S158" s="48"/>
      <c r="T158" s="48"/>
    </row>
    <row r="159" spans="1:20" ht="15" customHeight="1">
      <c r="A159" s="42" t="s">
        <v>739</v>
      </c>
      <c r="B159" s="42" t="s">
        <v>740</v>
      </c>
      <c r="C159" s="42" t="s">
        <v>96</v>
      </c>
      <c r="D159" s="51">
        <v>839</v>
      </c>
      <c r="E159" s="51">
        <v>1450</v>
      </c>
      <c r="F159" s="60">
        <v>2</v>
      </c>
      <c r="G159" s="60">
        <v>3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1678</v>
      </c>
      <c r="K159" s="59">
        <f t="shared" si="14"/>
        <v>2517</v>
      </c>
      <c r="L159" s="42" t="s">
        <v>921</v>
      </c>
      <c r="M159" s="42"/>
      <c r="N159" s="42" t="s">
        <v>451</v>
      </c>
      <c r="O159" s="42" t="s">
        <v>922</v>
      </c>
      <c r="P159" s="42"/>
      <c r="Q159" s="42"/>
      <c r="R159" s="42"/>
      <c r="S159" s="42"/>
      <c r="T159" s="42"/>
    </row>
    <row r="160" spans="1:20" ht="15" customHeight="1">
      <c r="A160" s="48" t="s">
        <v>741</v>
      </c>
      <c r="B160" s="48" t="s">
        <v>742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743</v>
      </c>
      <c r="B161" s="42" t="s">
        <v>744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745</v>
      </c>
      <c r="B162" s="48" t="s">
        <v>887</v>
      </c>
      <c r="C162" s="48" t="s">
        <v>95</v>
      </c>
      <c r="D162" s="49">
        <v>533</v>
      </c>
      <c r="E162" s="49">
        <v>600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 t="s">
        <v>153</v>
      </c>
      <c r="M162" s="48"/>
      <c r="N162" s="48" t="s">
        <v>366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746</v>
      </c>
      <c r="B163" s="42" t="s">
        <v>888</v>
      </c>
      <c r="C163" s="42" t="s">
        <v>95</v>
      </c>
      <c r="D163" s="51">
        <v>441</v>
      </c>
      <c r="E163" s="51">
        <v>600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537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747</v>
      </c>
      <c r="B164" s="48" t="s">
        <v>748</v>
      </c>
      <c r="C164" s="48" t="s">
        <v>95</v>
      </c>
      <c r="D164" s="49">
        <v>1013</v>
      </c>
      <c r="E164" s="49">
        <v>1499</v>
      </c>
      <c r="F164" s="62">
        <v>3</v>
      </c>
      <c r="G164" s="62">
        <v>2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3039</v>
      </c>
      <c r="K164" s="61">
        <f t="shared" si="17"/>
        <v>2026</v>
      </c>
      <c r="L164" s="48" t="s">
        <v>918</v>
      </c>
      <c r="M164" s="48"/>
      <c r="N164" s="48" t="s">
        <v>451</v>
      </c>
      <c r="O164" s="48"/>
      <c r="P164" s="48" t="s">
        <v>920</v>
      </c>
      <c r="Q164" s="48"/>
      <c r="R164" s="48"/>
      <c r="S164" s="48"/>
      <c r="T164" s="48"/>
    </row>
    <row r="165" spans="1:20" ht="15" customHeight="1">
      <c r="A165" s="42" t="s">
        <v>749</v>
      </c>
      <c r="B165" s="42" t="s">
        <v>750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751</v>
      </c>
      <c r="Q165" s="42"/>
      <c r="R165" s="42"/>
      <c r="S165" s="42"/>
      <c r="T165" s="42"/>
    </row>
    <row r="166" spans="1:20" ht="15" customHeight="1">
      <c r="A166" s="48" t="s">
        <v>752</v>
      </c>
      <c r="B166" s="48" t="s">
        <v>753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537</v>
      </c>
      <c r="O166" s="48"/>
      <c r="P166" s="48" t="s">
        <v>754</v>
      </c>
      <c r="Q166" s="48"/>
      <c r="R166" s="48"/>
      <c r="S166" s="48"/>
      <c r="T166" s="48"/>
    </row>
    <row r="167" spans="1:20" ht="15" customHeight="1">
      <c r="A167" s="42" t="s">
        <v>755</v>
      </c>
      <c r="B167" s="42" t="s">
        <v>756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757</v>
      </c>
      <c r="M167" s="42"/>
      <c r="N167" s="42" t="s">
        <v>451</v>
      </c>
      <c r="O167" s="42"/>
      <c r="P167" s="42" t="s">
        <v>758</v>
      </c>
      <c r="Q167" s="42"/>
      <c r="R167" s="42"/>
      <c r="S167" s="42"/>
      <c r="T167" s="42"/>
    </row>
    <row r="168" spans="1:20" ht="15" customHeight="1">
      <c r="A168" s="48" t="s">
        <v>759</v>
      </c>
      <c r="B168" s="48" t="s">
        <v>760</v>
      </c>
      <c r="C168" s="48" t="s">
        <v>95</v>
      </c>
      <c r="D168" s="49">
        <v>608</v>
      </c>
      <c r="E168" s="49">
        <v>980</v>
      </c>
      <c r="F168" s="62">
        <v>1</v>
      </c>
      <c r="G168" s="62">
        <v>2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608</v>
      </c>
      <c r="K168" s="61">
        <f t="shared" si="17"/>
        <v>1216</v>
      </c>
      <c r="L168" s="48" t="s">
        <v>841</v>
      </c>
      <c r="M168" s="48"/>
      <c r="N168" s="48" t="s">
        <v>451</v>
      </c>
      <c r="O168" s="48"/>
      <c r="P168" s="48" t="s">
        <v>842</v>
      </c>
      <c r="Q168" s="48"/>
      <c r="R168" s="48"/>
      <c r="S168" s="48"/>
      <c r="T168" s="48"/>
    </row>
    <row r="169" spans="1:20" ht="15" customHeight="1">
      <c r="A169" s="42" t="s">
        <v>761</v>
      </c>
      <c r="B169" s="42" t="s">
        <v>762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537</v>
      </c>
      <c r="O169" s="42"/>
      <c r="P169" s="42" t="s">
        <v>763</v>
      </c>
      <c r="Q169" s="42"/>
      <c r="R169" s="42"/>
      <c r="S169" s="42"/>
      <c r="T169" s="42"/>
    </row>
    <row r="170" spans="1:20" ht="30" customHeight="1">
      <c r="A170" s="48" t="s">
        <v>764</v>
      </c>
      <c r="B170" s="48" t="s">
        <v>765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805</v>
      </c>
      <c r="M170" s="48"/>
      <c r="N170" s="48" t="s">
        <v>366</v>
      </c>
      <c r="O170" s="48"/>
      <c r="P170" s="48" t="s">
        <v>766</v>
      </c>
      <c r="Q170" s="48"/>
      <c r="R170" s="48"/>
      <c r="S170" s="48"/>
      <c r="T170" s="48"/>
    </row>
    <row r="171" spans="1:20" ht="32" customHeight="1">
      <c r="A171" s="42" t="s">
        <v>767</v>
      </c>
      <c r="B171" s="48" t="s">
        <v>768</v>
      </c>
      <c r="C171" s="42" t="s">
        <v>95</v>
      </c>
      <c r="D171" s="51">
        <v>892</v>
      </c>
      <c r="E171" s="51">
        <v>1380</v>
      </c>
      <c r="F171" s="60">
        <v>3</v>
      </c>
      <c r="G171" s="60">
        <v>0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2676</v>
      </c>
      <c r="K171" s="59">
        <f t="shared" si="17"/>
        <v>0</v>
      </c>
      <c r="L171" s="42" t="s">
        <v>839</v>
      </c>
      <c r="M171" s="42"/>
      <c r="N171" s="42" t="s">
        <v>366</v>
      </c>
      <c r="O171" s="42"/>
      <c r="P171" s="42"/>
      <c r="Q171" s="42"/>
      <c r="R171" s="42"/>
      <c r="S171" s="42"/>
      <c r="T171" s="42"/>
    </row>
    <row r="172" spans="1:20" ht="15" customHeight="1">
      <c r="A172" s="48" t="s">
        <v>769</v>
      </c>
      <c r="B172" s="48" t="s">
        <v>770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4</v>
      </c>
      <c r="H172" s="61">
        <f t="shared" si="15"/>
        <v>4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4188</v>
      </c>
      <c r="L172" s="48"/>
      <c r="M172" s="48"/>
      <c r="N172" s="48" t="s">
        <v>537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771</v>
      </c>
      <c r="B173" s="42" t="s">
        <v>772</v>
      </c>
      <c r="C173" s="42" t="s">
        <v>95</v>
      </c>
      <c r="D173" s="51">
        <v>803.26</v>
      </c>
      <c r="E173" s="51">
        <v>1250</v>
      </c>
      <c r="F173" s="60">
        <v>1</v>
      </c>
      <c r="G173" s="60">
        <v>1</v>
      </c>
      <c r="H173" s="59">
        <f t="shared" si="15"/>
        <v>2</v>
      </c>
      <c r="I173" s="59">
        <f>IF(D173&lt;&gt;"",D173,IFERROR(E173/(IFERROR(SUM(Sales!C:C),0))*(IFERROR(SUM(Purchases!C:C),0)),0))</f>
        <v>803.26</v>
      </c>
      <c r="J173" s="59">
        <f t="shared" si="16"/>
        <v>803.26</v>
      </c>
      <c r="K173" s="59">
        <f t="shared" si="17"/>
        <v>803.26</v>
      </c>
      <c r="L173" s="42" t="s">
        <v>914</v>
      </c>
      <c r="M173" s="42"/>
      <c r="N173" s="42" t="s">
        <v>451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773</v>
      </c>
      <c r="B174" s="48" t="s">
        <v>774</v>
      </c>
      <c r="C174" s="48" t="s">
        <v>95</v>
      </c>
      <c r="D174" s="49">
        <v>791.7</v>
      </c>
      <c r="E174" s="49">
        <v>1250</v>
      </c>
      <c r="F174" s="62">
        <v>1</v>
      </c>
      <c r="G174" s="62">
        <v>0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791.7</v>
      </c>
      <c r="K174" s="61">
        <f t="shared" si="17"/>
        <v>0</v>
      </c>
      <c r="L174" s="48" t="s">
        <v>893</v>
      </c>
      <c r="M174" s="48"/>
      <c r="N174" s="48" t="s">
        <v>366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775</v>
      </c>
      <c r="B175" s="42" t="s">
        <v>776</v>
      </c>
      <c r="C175" s="42" t="s">
        <v>95</v>
      </c>
      <c r="D175" s="51">
        <v>698.25</v>
      </c>
      <c r="E175" s="51">
        <v>1250</v>
      </c>
      <c r="F175" s="60">
        <v>2</v>
      </c>
      <c r="G175" s="60">
        <v>7</v>
      </c>
      <c r="H175" s="59">
        <f t="shared" si="15"/>
        <v>9</v>
      </c>
      <c r="I175" s="59">
        <f>IF(D175&lt;&gt;"",D175,IFERROR(E175/(IFERROR(SUM(Sales!C:C),0))*(IFERROR(SUM(Purchases!C:C),0)),0))</f>
        <v>698.25</v>
      </c>
      <c r="J175" s="59">
        <f t="shared" si="16"/>
        <v>1396.5</v>
      </c>
      <c r="K175" s="59">
        <f t="shared" si="17"/>
        <v>4887.75</v>
      </c>
      <c r="L175" s="42" t="s">
        <v>911</v>
      </c>
      <c r="M175" s="42"/>
      <c r="N175" s="42" t="s">
        <v>451</v>
      </c>
      <c r="O175" s="42"/>
      <c r="P175" s="42" t="s">
        <v>912</v>
      </c>
      <c r="Q175" s="42"/>
      <c r="R175" s="42"/>
      <c r="S175" s="42"/>
      <c r="T175" s="42"/>
    </row>
    <row r="176" spans="1:20" ht="15">
      <c r="A176" s="48" t="s">
        <v>847</v>
      </c>
      <c r="B176" s="48" t="s">
        <v>869</v>
      </c>
      <c r="C176" s="48" t="s">
        <v>95</v>
      </c>
      <c r="D176" s="49">
        <v>908</v>
      </c>
      <c r="E176" s="49">
        <v>1350</v>
      </c>
      <c r="F176" s="62">
        <v>2</v>
      </c>
      <c r="G176" s="62">
        <v>2</v>
      </c>
      <c r="H176" s="61">
        <f t="shared" ref="H176:H180" si="18">F176+IF(LEN(G176)=0,0,G176)</f>
        <v>4</v>
      </c>
      <c r="I176" s="61">
        <f>IF(D176&lt;&gt;"",D176,IFERROR(E176/(IFERROR(SUM(Sales!C:C),0))*(IFERROR(SUM(Purchases!C:C),0)),0))</f>
        <v>908</v>
      </c>
      <c r="J176" s="61">
        <f t="shared" ref="J176:J180" si="19">F176*I176</f>
        <v>1816</v>
      </c>
      <c r="K176" s="61">
        <f t="shared" ref="K176:K180" si="20">IF(LEN(G176)=0,0,G176)*I176</f>
        <v>1816</v>
      </c>
      <c r="L176" s="48" t="s">
        <v>917</v>
      </c>
      <c r="M176" s="48"/>
      <c r="N176" s="48" t="s">
        <v>537</v>
      </c>
      <c r="O176" s="48"/>
      <c r="P176" s="48" t="s">
        <v>919</v>
      </c>
      <c r="Q176" s="48"/>
      <c r="R176" s="48"/>
      <c r="S176" s="48"/>
      <c r="T176" s="48"/>
    </row>
    <row r="177" spans="1:20" ht="15">
      <c r="A177" s="42" t="s">
        <v>848</v>
      </c>
      <c r="B177" s="42" t="s">
        <v>870</v>
      </c>
      <c r="C177" s="42" t="s">
        <v>95</v>
      </c>
      <c r="D177" s="51">
        <v>906</v>
      </c>
      <c r="E177" s="51">
        <v>1350</v>
      </c>
      <c r="F177" s="60">
        <v>3</v>
      </c>
      <c r="G177" s="60">
        <v>2</v>
      </c>
      <c r="H177" s="59">
        <f t="shared" si="18"/>
        <v>5</v>
      </c>
      <c r="I177" s="59">
        <f>IF(D177&lt;&gt;"",D177,IFERROR(E177/(IFERROR(SUM(Sales!C:C),0))*(IFERROR(SUM(Purchases!C:C),0)),0))</f>
        <v>906</v>
      </c>
      <c r="J177" s="59">
        <f t="shared" si="19"/>
        <v>2718</v>
      </c>
      <c r="K177" s="59">
        <f t="shared" si="20"/>
        <v>1812</v>
      </c>
      <c r="L177" s="42" t="s">
        <v>896</v>
      </c>
      <c r="M177" s="42"/>
      <c r="N177" s="42" t="s">
        <v>451</v>
      </c>
      <c r="O177" s="42"/>
      <c r="P177" s="42" t="s">
        <v>897</v>
      </c>
      <c r="Q177" s="42"/>
      <c r="R177" s="42"/>
      <c r="S177" s="42"/>
      <c r="T177" s="42"/>
    </row>
    <row r="178" spans="1:20" ht="15">
      <c r="A178" s="48" t="s">
        <v>849</v>
      </c>
      <c r="B178" s="48" t="s">
        <v>871</v>
      </c>
      <c r="C178" s="48" t="s">
        <v>95</v>
      </c>
      <c r="D178" s="49">
        <v>938</v>
      </c>
      <c r="E178" s="49">
        <v>1400</v>
      </c>
      <c r="F178" s="62">
        <v>1</v>
      </c>
      <c r="G178" s="62">
        <v>1</v>
      </c>
      <c r="H178" s="61">
        <f t="shared" si="18"/>
        <v>2</v>
      </c>
      <c r="I178" s="61">
        <f>IF(D178&lt;&gt;"",D178,IFERROR(E178/(IFERROR(SUM(Sales!C:C),0))*(IFERROR(SUM(Purchases!C:C),0)),0))</f>
        <v>938</v>
      </c>
      <c r="J178" s="61">
        <f t="shared" si="19"/>
        <v>938</v>
      </c>
      <c r="K178" s="61">
        <f t="shared" si="20"/>
        <v>938</v>
      </c>
      <c r="L178" s="48" t="s">
        <v>899</v>
      </c>
      <c r="M178" s="48"/>
      <c r="N178" s="48" t="s">
        <v>451</v>
      </c>
      <c r="O178" s="48"/>
      <c r="P178" s="48" t="s">
        <v>898</v>
      </c>
      <c r="Q178" s="48"/>
      <c r="R178" s="48"/>
      <c r="S178" s="48"/>
      <c r="T178" s="48"/>
    </row>
    <row r="179" spans="1:20" ht="30">
      <c r="A179" s="42" t="s">
        <v>850</v>
      </c>
      <c r="B179" s="42" t="s">
        <v>872</v>
      </c>
      <c r="C179" s="42" t="s">
        <v>95</v>
      </c>
      <c r="D179" s="51">
        <v>919</v>
      </c>
      <c r="E179" s="51">
        <v>1350</v>
      </c>
      <c r="F179" s="60">
        <v>3</v>
      </c>
      <c r="G179" s="60">
        <v>0</v>
      </c>
      <c r="H179" s="59">
        <f t="shared" si="18"/>
        <v>3</v>
      </c>
      <c r="I179" s="59">
        <f>IF(D179&lt;&gt;"",D179,IFERROR(E179/(IFERROR(SUM(Sales!C:C),0))*(IFERROR(SUM(Purchases!C:C),0)),0))</f>
        <v>919</v>
      </c>
      <c r="J179" s="59">
        <f t="shared" si="19"/>
        <v>2757</v>
      </c>
      <c r="K179" s="59">
        <f t="shared" si="20"/>
        <v>0</v>
      </c>
      <c r="L179" s="42" t="s">
        <v>927</v>
      </c>
      <c r="M179" s="42"/>
      <c r="N179" s="42" t="s">
        <v>366</v>
      </c>
      <c r="O179" s="42"/>
      <c r="P179" s="42" t="s">
        <v>909</v>
      </c>
      <c r="Q179" s="42"/>
      <c r="R179" s="42"/>
      <c r="S179" s="42"/>
      <c r="T179" s="42"/>
    </row>
    <row r="180" spans="1:20" ht="15">
      <c r="A180" s="48" t="s">
        <v>851</v>
      </c>
      <c r="B180" s="48" t="s">
        <v>868</v>
      </c>
      <c r="C180" s="48" t="s">
        <v>95</v>
      </c>
      <c r="D180" s="49">
        <v>919</v>
      </c>
      <c r="E180" s="49">
        <v>1380</v>
      </c>
      <c r="F180" s="62">
        <v>1</v>
      </c>
      <c r="G180" s="62">
        <v>2</v>
      </c>
      <c r="H180" s="61">
        <f t="shared" si="18"/>
        <v>3</v>
      </c>
      <c r="I180" s="61">
        <f>IF(D180&lt;&gt;"",D180,IFERROR(E180/(IFERROR(SUM(Sales!C:C),0))*(IFERROR(SUM(Purchases!C:C),0)),0))</f>
        <v>919</v>
      </c>
      <c r="J180" s="61">
        <f t="shared" si="19"/>
        <v>919</v>
      </c>
      <c r="K180" s="61">
        <f t="shared" si="20"/>
        <v>1838</v>
      </c>
      <c r="L180" s="48" t="s">
        <v>901</v>
      </c>
      <c r="M180" s="48"/>
      <c r="N180" s="48" t="s">
        <v>451</v>
      </c>
      <c r="O180" s="48"/>
      <c r="P180" s="48" t="s">
        <v>902</v>
      </c>
      <c r="Q180" s="48"/>
      <c r="R180" s="48"/>
      <c r="S180" s="48"/>
      <c r="T180" s="48"/>
    </row>
    <row r="181" spans="1:20" ht="15">
      <c r="A181" s="42" t="s">
        <v>852</v>
      </c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 ht="15">
      <c r="A182" s="48" t="s">
        <v>853</v>
      </c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 ht="15">
      <c r="A183" s="42" t="s">
        <v>854</v>
      </c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5">
      <c r="A184" s="48" t="s">
        <v>855</v>
      </c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 ht="15">
      <c r="A185" s="42" t="s">
        <v>856</v>
      </c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5">
      <c r="A186" s="48" t="s">
        <v>857</v>
      </c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 ht="15">
      <c r="A187" s="42" t="s">
        <v>858</v>
      </c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5">
      <c r="A188" s="48" t="s">
        <v>859</v>
      </c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6" t="s">
        <v>777</v>
      </c>
      <c r="B1" s="96"/>
    </row>
    <row r="2" spans="1:8" ht="13.5" customHeight="1">
      <c r="A2" s="8" t="s">
        <v>42</v>
      </c>
      <c r="B2" s="8" t="s">
        <v>778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779</v>
      </c>
      <c r="C7" s="67" t="s">
        <v>780</v>
      </c>
      <c r="D7" s="67" t="s">
        <v>781</v>
      </c>
      <c r="E7" s="67" t="s">
        <v>782</v>
      </c>
      <c r="F7" s="67" t="s">
        <v>783</v>
      </c>
      <c r="G7" s="67" t="s">
        <v>784</v>
      </c>
      <c r="H7" s="67" t="s">
        <v>785</v>
      </c>
    </row>
    <row r="8" spans="1:8" ht="13.5" customHeight="1">
      <c r="A8" s="9" t="s">
        <v>49</v>
      </c>
      <c r="B8" s="9">
        <f>IFERROR(SUMIF(Purchases!$B:$B,$A8,Purchases!$C:$C),0)</f>
        <v>154260</v>
      </c>
      <c r="C8" s="9">
        <f>SUM($B$8:$B$10)/3</f>
        <v>118079</v>
      </c>
      <c r="D8" s="9">
        <f>B8-C8</f>
        <v>36181</v>
      </c>
      <c r="E8" s="9">
        <f>IF(Summary!$B$6&gt;0, Summary!$B$6*VLOOKUP($A8,$A$3:$B$5,2,FALSE()),0)</f>
        <v>0</v>
      </c>
      <c r="F8" s="9">
        <f>D8+E8</f>
        <v>36181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17877.66</v>
      </c>
    </row>
    <row r="9" spans="1:8" ht="13.5" customHeight="1">
      <c r="A9" s="11" t="s">
        <v>50</v>
      </c>
      <c r="B9" s="11">
        <f>IFERROR(SUMIF(Purchases!$B:$B,$A9,Purchases!$C:$C),0)</f>
        <v>167377</v>
      </c>
      <c r="C9" s="11">
        <f>SUM($B$8:$B$10)/3</f>
        <v>118079</v>
      </c>
      <c r="D9" s="11">
        <f>B9-C9</f>
        <v>49298</v>
      </c>
      <c r="E9" s="11">
        <f>IF(Summary!$B$6&gt;0, Summary!$B$6*VLOOKUP($A9,$A$3:$B$5,2,FALSE()),0)</f>
        <v>0</v>
      </c>
      <c r="F9" s="11">
        <f>D9+E9</f>
        <v>49298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7658.6699999999983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118079</v>
      </c>
      <c r="D10" s="9">
        <f>B10-C10</f>
        <v>-85479</v>
      </c>
      <c r="E10" s="9">
        <f>IF(Summary!$B$6&gt;0, Summary!$B$6*VLOOKUP($A10,$A$3:$B$5,2,FALSE()),0)</f>
        <v>0</v>
      </c>
      <c r="F10" s="9">
        <f>D10+E10</f>
        <v>-85479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-25536.33</v>
      </c>
    </row>
    <row r="12" spans="1:8" s="71" customFormat="1" ht="15.75" customHeight="1">
      <c r="A12" s="97" t="s">
        <v>786</v>
      </c>
      <c r="B12" s="97"/>
      <c r="C12" s="97"/>
      <c r="D12" s="97"/>
      <c r="E12" s="97"/>
      <c r="F12" s="97"/>
    </row>
    <row r="13" spans="1:8" s="68" customFormat="1" ht="13.5" customHeight="1">
      <c r="A13" s="67" t="s">
        <v>98</v>
      </c>
      <c r="B13" s="67" t="s">
        <v>787</v>
      </c>
      <c r="C13" s="67" t="s">
        <v>788</v>
      </c>
      <c r="D13" s="67" t="s">
        <v>789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790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790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790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790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790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790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790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790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790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790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791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792</v>
      </c>
    </row>
    <row r="3" spans="1:7" s="68" customFormat="1" ht="13.5" customHeight="1">
      <c r="A3" s="67" t="s">
        <v>42</v>
      </c>
      <c r="B3" s="67" t="s">
        <v>793</v>
      </c>
      <c r="C3" s="67" t="s">
        <v>778</v>
      </c>
      <c r="D3" s="67" t="s">
        <v>794</v>
      </c>
      <c r="E3" s="67" t="s">
        <v>795</v>
      </c>
      <c r="F3" s="67" t="s">
        <v>796</v>
      </c>
      <c r="G3" s="67" t="s">
        <v>797</v>
      </c>
    </row>
    <row r="4" spans="1:7" ht="13.5" customHeight="1">
      <c r="A4" s="9" t="s">
        <v>49</v>
      </c>
      <c r="B4" s="9">
        <f>IFERROR(SUMIFS(Sales!$C:$C,Sales!$E:$E,$A4,Sales!$I:$I,"Completed"),0)</f>
        <v>274469</v>
      </c>
      <c r="C4" s="9">
        <f>VLOOKUP($A4,PartnerShares!$A$3:$B$5,2,FALSE())</f>
        <v>0.33339999999999997</v>
      </c>
      <c r="D4" s="9">
        <f>Summary!$B$4*C4</f>
        <v>109144.49119999999</v>
      </c>
      <c r="E4" s="9">
        <f>B4-D4</f>
        <v>165324.50880000001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28014.482799999998</v>
      </c>
    </row>
    <row r="5" spans="1:7" ht="13.5" customHeight="1">
      <c r="A5" s="11" t="s">
        <v>50</v>
      </c>
      <c r="B5" s="11">
        <f>IFERROR(SUMIFS(Sales!$C:$C,Sales!$E:$E,$A5,Sales!$I:$I,"Completed"),0)</f>
        <v>40369</v>
      </c>
      <c r="C5" s="11">
        <f>VLOOKUP($A5,PartnerShares!$A$3:$B$5,2,FALSE())</f>
        <v>0.3332</v>
      </c>
      <c r="D5" s="11">
        <f>Summary!$B$4*C5</f>
        <v>109079.01759999999</v>
      </c>
      <c r="E5" s="11">
        <f>B5-D5</f>
        <v>-68710.017599999992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2877.0244000000093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109144.49119999999</v>
      </c>
      <c r="E6" s="9">
        <f>B6-D6</f>
        <v>-96614.491199999989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-30891.507199999978</v>
      </c>
    </row>
    <row r="9" spans="1:7" ht="13.5" customHeight="1">
      <c r="A9" s="6" t="s">
        <v>0</v>
      </c>
    </row>
    <row r="10" spans="1:7" ht="13.5" customHeight="1">
      <c r="A10" s="6" t="s">
        <v>798</v>
      </c>
    </row>
    <row r="11" spans="1:7" ht="13.5" customHeight="1">
      <c r="A11" s="6" t="s">
        <v>799</v>
      </c>
    </row>
    <row r="12" spans="1:7" ht="13.5" customHeight="1">
      <c r="A12" s="6" t="s">
        <v>800</v>
      </c>
    </row>
    <row r="13" spans="1:7" ht="13.5" customHeight="1">
      <c r="A13" s="6" t="s">
        <v>801</v>
      </c>
    </row>
    <row r="14" spans="1:7" ht="13.5" customHeight="1">
      <c r="A14" s="6" t="s">
        <v>802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2026-05-18T02:49:41Z</dcterms:modified>
  <dc:language>en-US</dc:language>
</cp:coreProperties>
</file>