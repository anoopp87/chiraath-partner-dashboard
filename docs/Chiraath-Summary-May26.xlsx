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BA0C66F7-6348-4B46-A32F-4277A9C2859D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<sst xmlns="http://schemas.openxmlformats.org/spreadsheetml/2006/main" count="2245" uniqueCount="902">
  <si>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</si>
  <si>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</si>
  <si>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</si>
  <si>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</si>
  <si>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</si>
  <si>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</si>
  <si>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</si>
  <si>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</si>
  <si>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</si>
  <si>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</si>
  <si>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</si>
  <si>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</si>
  <si>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</si>
  <si>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</si>
  <si>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</si>
  <si>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</si>
  <si>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</si>
  <si>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</si>
  <si>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</si>
  <si>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</si>
  <si>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</si>
  <si>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</si>
  <si>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</si>
  <si>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</si>
  <si>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</si>
  <si>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</si>
  <si>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</si>
  <si>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</si>
  <si>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</si>
  <si>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</si>
  <si>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</si>
  <si>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</si>
  <si>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</si>
  <si>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</si>
  <si>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</si>
  <si>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</si>
  <si>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</si>
  <si>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</si>
  <si>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</si>
  <si>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</si>
  <si>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</si>
  <si>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</si>
  <si>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</si>
  <si>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</si>
  <si>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</si>
  <si>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</si>
  <si>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</si>
  <si>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</si>
  <si>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</si>
  <si>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</si>
  <si>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</si>
  <si>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</si>
  <si>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</si>
  <si>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</si>
  <si>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</si>
  <si>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</si>
  <si>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</si>
  <si>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</si>
  <si>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</si>
  <si>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</si>
  <si>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</si>
  <si>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</si>
  <si>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</si>
  <si>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</si>
  <si>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</si>
  <si>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</si>
  <si>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</si>
  <si>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</si>
  <si>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</si>
  <si>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</si>
  <si>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</si>
  <si>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</si>
  <si>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</si>
  <si>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</si>
  <si>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</si>
  <si>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</si>
  <si>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</si>
  <si>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</si>
  <si>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</si>
  <si>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</si>
  <si>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</si>
  <si>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</si>
  <si>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</si>
  <si>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</si>
  <si>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</si>
  <si>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</si>
  <si>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</si>
  <si>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</si>
  <si>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</si>
  <si>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</si>
  <si>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</si>
  <si>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</si>
  <si>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</si>
  <si>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</si>
  <si>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</si>
  <si>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</si>
  <si>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</si>
  <si>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</si>
  <si>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</si>
  <si>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</si>
  <si>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</si>
  <si>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</si>
  <si>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</si>
  <si>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</si>
  <si>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</si>
  <si>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</si>
  <si>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</si>
  <si>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</si>
  <si>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</si>
  <si>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</si>
  <si>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</si>
  <si>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</si>
  <si>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</si>
  <si>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</si>
  <si>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</si>
  <si>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</si>
  <si>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</si>
  <si>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</si>
  <si>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</si>
  <si>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</si>
  <si>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</si>
  <si>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</si>
  <si>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</si>
  <si>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</si>
  <si>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</si>
  <si>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</si>
  <si>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</si>
  <si>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</si>
  <si>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</si>
  <si>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</si>
  <si>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</si>
  <si>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</si>
  <si>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</si>
  <si>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</si>
  <si>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</si>
  <si>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</si>
  <si>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</si>
  <si>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</si>
  <si>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</si>
  <si>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</si>
  <si>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</si>
  <si>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</si>
  <si>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</si>
  <si>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</si>
  <si>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</si>
  <si>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</si>
  <si>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</si>
  <si>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</si>
  <si>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</si>
  <si>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</si>
  <si>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</si>
  <si>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</si>
  <si>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</si>
  <si>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</si>
  <si>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</si>
  <si>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</si>
  <si>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</si>
  <si>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</si>
  <si>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</si>
  <si>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</si>
  <si>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</si>
  <si>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</si>
  <si>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</si>
  <si>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</si>
  <si>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</si>
  <si>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</si>
  <si>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</si>
  <si>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</si>
  <si>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</si>
  <si>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</si>
  <si>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</si>
  <si>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</si>
  <si>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</si>
  <si>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</si>
  <si>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</si>
  <si>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</si>
  <si>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</si>
  <si>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</si>
  <si>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</si>
  <si>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</si>
  <si>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</si>
  <si>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</si>
  <si>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</si>
  <si>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</si>
  <si>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</si>
  <si>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</si>
  <si>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</si>
  <si>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</si>
  <si>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</si>
  <si>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</si>
  <si>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</si>
  <si>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</si>
  <si>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</si>
  <si>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</si>
  <si>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</si>
  <si>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</si>
  <si>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</si>
  <si>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</si>
  <si>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</si>
  <si>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</si>
  <si>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</si>
  <si>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</si>
  <si>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</si>
  <si>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</si>
  <si>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</si>
  <si>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</si>
  <si>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</si>
  <si>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</si>
  <si>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</si>
  <si>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</si>
  <si>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</si>
  <si>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</si>
  <si>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</si>
  <si>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</si>
  <si>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</si>
  <si>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</si>
  <si>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</si>
  <si>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</si>
  <si>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</si>
  <si>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</si>
  <si>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</si>
  <si>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</si>
  <si>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</si>
  <si>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</si>
  <si>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</si>
  <si>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</si>
  <si>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</si>
  <si>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</si>
  <si>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</si>
  <si>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</si>
  <si>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</si>
  <si>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</si>
  <si>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</si>
  <si>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</si>
  <si>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</si>
  <si>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</si>
  <si>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</si>
  <si>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</si>
  <si>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</si>
  <si>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</si>
  <si>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</si>
  <si>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</si>
  <si>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</si>
  <si>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</si>
  <si>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</si>
  <si>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</si>
  <si>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</si>
  <si>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</si>
  <si>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</si>
  <si>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</si>
  <si>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</si>
  <si>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</si>
  <si>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</si>
  <si>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</si>
  <si>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</si>
  <si>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</si>
  <si>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</si>
  <si>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</si>
  <si>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</si>
  <si>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</si>
  <si>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</si>
  <si>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</si>
  <si>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</si>
  <si>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</si>
  <si>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</si>
  <si>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</si>
  <si>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</si>
  <si>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</si>
  <si>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</si>
  <si>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</si>
  <si>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</si>
  <si>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</si>
  <si>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</si>
  <si>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</si>
  <si>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</si>
  <si>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</si>
  <si>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</si>
  <si>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</si>
  <si>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</si>
  <si>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</si>
  <si>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</si>
  <si>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</si>
  <si>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</si>
  <si>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</si>
  <si>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</si>
  <si>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</si>
  <si>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</si>
  <si>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</si>
  <si>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</si>
  <si>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</si>
  <si>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</si>
  <si>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</si>
  <si>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</si>
  <si>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</si>
  <si>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</si>
  <si>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</si>
  <si>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</si>
  <si>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</si>
  <si>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</si>
  <si>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</si>
  <si>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</si>
  <si>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</si>
  <si>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</si>
  <si>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</si>
  <si>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</si>
  <si>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</si>
  <si>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</si>
  <si>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</si>
  <si>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</si>
  <si>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</si>
  <si>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</si>
  <si>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</si>
  <si>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</si>
  <si>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</si>
  <si>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</si>
  <si>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</si>
  <si>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</si>
  <si>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</si>
  <si>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</si>
  <si>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</si>
  <si>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</si>
  <si>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</si>
  <si>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</si>
  <si>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</si>
  <si>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</si>
  <si>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</si>
  <si>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</si>
  <si>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</si>
  <si>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</si>
  <si>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</si>
  <si>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</si>
  <si>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</si>
  <si>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</si>
  <si>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</si>
  <si>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</si>
  <si>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</si>
  <si>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</si>
  <si>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</si>
  <si>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</si>
  <si>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</si>
  <si>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</si>
  <si>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</si>
  <si>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</si>
  <si>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</si>
  <si>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</si>
  <si>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</si>
  <si>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</si>
  <si>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</si>
  <si>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</si>
  <si>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</si>
  <si>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</si>
  <si>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</si>
  <si>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</si>
  <si>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</si>
  <si>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</si>
  <si>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</si>
  <si>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</si>
  <si>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</si>
  <si>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</si>
  <si>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</si>
  <si>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</si>
  <si>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</si>
  <si>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</si>
  <si>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</si>
  <si>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</si>
  <si>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</si>
  <si>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</si>
  <si>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</si>
  <si>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</si>
  <si>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</si>
  <si>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</si>
  <si>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</si>
  <si>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</si>
  <si>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</si>
  <si>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</si>
  <si>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</si>
  <si>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</si>
  <si>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</si>
  <si>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</si>
  <si>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</si>
  <si>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</si>
  <si>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</si>
  <si>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</si>
  <si>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</si>
  <si>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</si>
  <si>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</si>
  <si>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</si>
  <si>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</si>
  <si>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</si>
  <si>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</si>
  <si>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</si>
  <si>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</si>
  <si>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</si>
  <si>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</si>
  <si>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</si>
  <si>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</si>
  <si>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</si>
  <si>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</si>
  <si>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</si>
  <si>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</si>
  <si>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</si>
  <si>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</si>
  <si>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</si>
  <si>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</si>
  <si>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</si>
  <si>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</si>
  <si>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</si>
  <si>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</si>
  <si>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</si>
  <si>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</si>
  <si>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</si>
  <si>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</si>
  <si>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</si>
  <si>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</si>
  <si>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</si>
  <si>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</si>
  <si>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</si>
  <si>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</si>
  <si>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</si>
  <si>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</si>
  <si>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</si>
  <si>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</si>
  <si>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</si>
  <si>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</si>
  <si>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</si>
  <si>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</si>
  <si>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</si>
  <si>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</si>
  <si>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</si>
  <si>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</si>
  <si>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</si>
  <si>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</si>
  <si>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</si>
  <si>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</si>
  <si>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</si>
  <si>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</si>
  <si>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</si>
  <si>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</si>
  <si>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</si>
  <si>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</si>
  <si>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</si>
  <si>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</si>
  <si>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</si>
  <si>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</si>
  <si>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</si>
  <si>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</si>
  <si>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</si>
  <si>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</si>
  <si>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</si>
  <si>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</si>
  <si>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</si>
  <si>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</si>
  <si>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</si>
  <si>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</si>
  <si>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</si>
  <si>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</si>
  <si>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</si>
  <si>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</si>
  <si>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</si>
  <si>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</si>
  <si>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</si>
  <si>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</si>
  <si>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</si>
  <si>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</si>
  <si>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</si>
  <si>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</si>
  <si>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</si>
  <si>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</si>
  <si>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</si>
  <si>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</si>
  <si>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</si>
  <si>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</si>
  <si>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</si>
  <si>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</si>
  <si>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</si>
  <si>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</si>
  <si>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</si>
  <si>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</si>
  <si>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</si>
  <si>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</si>
  <si>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</si>
  <si>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</si>
  <si>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</si>
  <si>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</si>
  <si>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</si>
  <si>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</si>
  <si>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</si>
  <si>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</si>
  <si>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</si>
  <si>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</si>
  <si>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</si>
  <si>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</si>
  <si>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</si>
  <si>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</si>
  <si>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</si>
  <si>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</si>
  <si>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</si>
  <si>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</si>
  <si>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</si>
  <si>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</si>
  <si>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</si>
  <si>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</si>
  <si>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</si>
  <si>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</si>
  <si>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</si>
  <si>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</si>
  <si>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</si>
  <si>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</si>
  <si>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</si>
  <si>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</si>
  <si>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</si>
  <si>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</si>
  <si>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</si>
  <si>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</si>
  <si>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</si>
  <si>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</si>
  <si>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</si>
  <si>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</si>
  <si>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</si>
  <si>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</si>
  <si>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</si>
  <si>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</si>
  <si>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</si>
  <si>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</si>
  <si>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</si>
  <si>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</si>
  <si>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</si>
  <si>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</si>
  <si>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</si>
  <si>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</si>
  <si>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</si>
  <si>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</si>
  <si>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</si>
  <si>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</si>
  <si>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</si>
  <si>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</si>
  <si>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</si>
  <si>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</si>
  <si>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</si>
  <si>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</si>
  <si>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</si>
  <si>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</si>
  <si>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</si>
  <si>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</si>
  <si>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</si>
  <si>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</si>
  <si>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</si>
  <si>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</si>
  <si>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</si>
  <si>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</si>
  <si>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</si>
  <si>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</si>
  <si>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</si>
  <si>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</si>
  <si>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</si>
  <si>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</si>
  <si>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</si>
  <si>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</si>
  <si>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</si>
  <si>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</si>
  <si>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</si>
  <si>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</si>
  <si>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</si>
  <si>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</si>
  <si>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</si>
  <si>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</si>
  <si>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</si>
  <si>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</si>
  <si>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</si>
  <si>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</si>
  <si>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</si>
  <si>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</si>
  <si>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</si>
  <si>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</si>
  <si>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</si>
  <si>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</si>
  <si>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</si>
  <si>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</si>
  <si>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</si>
  <si>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</si>
  <si>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</si>
  <si>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</si>
  <si>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</si>
  <si>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</si>
  <si>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</si>
  <si>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</si>
  <si>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</si>
  <si>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</si>
  <si>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</si>
  <si>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</si>
  <si>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</si>
  <si>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</si>
  <si>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</si>
  <si>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</si>
  <si>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</si>
  <si>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</si>
  <si>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</si>
  <si>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</si>
  <si>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</si>
  <si>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</si>
  <si>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</si>
  <si>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</si>
  <si>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</si>
  <si>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</si>
  <si>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</si>
  <si>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</si>
  <si>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</si>
  <si>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</si>
  <si>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</si>
  <si>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</si>
  <si>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</si>
  <si>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</si>
  <si>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</si>
  <si>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</si>
  <si>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</si>
  <si>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</si>
  <si>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</si>
  <si>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</si>
  <si>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</si>
  <si>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</si>
  <si>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</si>
  <si>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</si>
  <si>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</si>
  <si>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</si>
  <si>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</si>
  <si>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</si>
  <si>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</si>
  <si>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</si>
  <si>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</si>
  <si>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</si>
  <si>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</si>
  <si>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</si>
  <si>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</si>
  <si>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</si>
  <si>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</si>
  <si>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</si>
  <si>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</si>
  <si>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</si>
  <si>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</si>
  <si>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</si>
  <si>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</si>
  <si>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</si>
  <si>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</si>
  <si>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</si>
  <si>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</si>
  <si>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</si>
  <si>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</si>
  <si>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</si>
  <si>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</si>
  <si>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</si>
  <si>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</si>
  <si>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</si>
  <si>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</si>
  <si>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</si>
  <si>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</si>
  <si>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</si>
  <si>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</si>
  <si>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</si>
  <si>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</si>
  <si>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</si>
  <si>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</si>
  <si>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</si>
  <si>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</si>
  <si>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</si>
  <si>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</si>
  <si>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</si>
  <si>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</si>
  <si>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</si>
  <si>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</si>
  <si>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</si>
  <si>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</si>
  <si>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</si>
  <si>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</si>
  <si>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</si>
  <si>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</si>
  <si>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</si>
  <si>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</si>
  <si>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</si>
  <si>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</si>
  <si>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</si>
  <si>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</si>
  <si>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</si>
  <si>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</si>
  <si>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</si>
  <si>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</si>
  <si>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</si>
  <si>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</si>
  <si>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</si>
  <si>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</si>
  <si>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</si>
  <si>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</si>
  <si>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</si>
  <si>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</si>
  <si>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</si>
  <si>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</si>
  <si>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</si>
  <si>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</si>
  <si>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</si>
  <si>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</si>
  <si>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</si>
  <si>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</si>
  <si>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</si>
  <si>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</si>
  <si>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</si>
  <si>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</si>
  <si>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</si>
  <si>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</si>
  <si>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</si>
  <si>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</si>
  <si>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</si>
  <si>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</si>
  <si>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</si>
  <si>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</si>
  <si>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</si>
  <si>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</si>
  <si>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</si>
  <si>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</si>
  <si>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</si>
  <si>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</si>
  <si>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</si>
  <si>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</si>
  <si>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</si>
  <si>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</si>
  <si>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</si>
  <si>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</si>
  <si>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</si>
  <si>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</si>
  <si>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</si>
  <si>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</si>
  <si>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</si>
  <si>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</si>
  <si>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</si>
  <si>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</si>
  <si>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</si>
  <si>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</si>
  <si>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</si>
  <si>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</si>
  <si>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</si>
  <si>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</si>
  <si>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</si>
  <si>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</si>
  <si>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</si>
  <si>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</si>
  <si>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</si>
  <si>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</si>
  <si>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</si>
  <si>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</si>
  <si>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</si>
  <si>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</si>
  <si>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</si>
  <si>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</si>
  <si>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</si>
  <si>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</si>
  <si>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</si>
  <si>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</si>
  <si>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</si>
  <si>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</si>
  <si>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</si>
  <si>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</si>
  <si>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</si>
  <si>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</si>
  <si>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</si>
  <si>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</si>
  <si>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</si>
  <si>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</si>
  <si>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</si>
  <si>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</si>
  <si>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</si>
  <si>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</si>
  <si>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</si>
  <si>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</si>
  <si>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</si>
  <si>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</si>
  <si>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</si>
  <si>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</si>
  <si>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</si>
  <si>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</si>
  <si>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</si>
  <si>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</si>
  <si>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</si>
  <si>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</si>
  <si>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</si>
  <si>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</si>
  <si>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</si>
  <si>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</si>
  <si>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</si>
  <si>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</si>
  <si>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</si>
  <si>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</si>
  <si>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</si>
  <si>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</si>
  <si>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</si>
  <si>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</si>
  <si>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</si>
  <si>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</si>
  <si>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</si>
  <si>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</si>
  <si>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</si>
  <si>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</si>
  <si>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</si>
  <si>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</si>
  <si>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</si>
  <si>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</si>
  <si>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</si>
  <si>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</si>
  <si>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</si>
  <si>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</si>
  <si>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</si>
  <si>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</si>
  <si>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</si>
  <si>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</si>
  <si>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</si>
  <si>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</si>
  <si>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</si>
  <si>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</si>
  <si>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</si>
  <si>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</si>
  <si>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</si>
  <si>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</si>
  <si>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</si>
  <si>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</si>
  <si>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</si>
  <si>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</si>
  <si>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</si>
  <si>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</si>
  <si>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</si>
  <si>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</si>
  <si>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</si>
  <si>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</si>
  <si>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</si>
  <si>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</si>
  <si>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</si>
  <si>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</si>
  <si>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</si>
  <si>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</si>
  <si>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</si>
  <si>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</si>
  <si>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</si>
  <si>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</si>
  <si>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</si>
  <si>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</si>
  <si>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</si>
  <si>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</si>
  <si>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</si>
  <si>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</si>
  <si>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</si>
  <si>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</si>
  <si>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</si>
  <si>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</si>
  <si>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</si>
  <si>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</si>
  <si>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</si>
  <si>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</si>
  <si>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</si>
  <si>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</si>
  <si>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</si>
  <si>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</si>
  <si>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</si>
  <si>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</si>
  <si>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</si>
  <si>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</si>
  <si>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Blue/bottle green - Saranya Hyd, Blue/red - Jothika, Mustard - Vineetha, Bottle Green/Golden Yellow - Swapna (Thrissur)-1200, Black/Golden yellow - Kavya(Kasargod) - 1200</t>
  </si>
  <si>
    <t>Bottle Green/Golden Yellow - 2 
Black/Golden Yellow - 1
Navy Blue/Bottle Green - 2</t>
  </si>
  <si>
    <t>Kavya (Kasargod)</t>
  </si>
  <si>
    <t>Matka Black with Golden Yellow</t>
  </si>
  <si>
    <t>Matka Green/Yellow &amp; Bengal Cotton (Adv:100)</t>
  </si>
  <si>
    <t>Silpa Kannur</t>
  </si>
  <si>
    <t>violet, black, navy blue, maroon</t>
  </si>
  <si>
    <t>CHR-175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</si>
  <si>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</si>
  <si>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</si>
  <si>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</si>
  <si>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</si>
  <si>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</si>
  <si>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</si>
  <si>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</si>
  <si>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</si>
  <si>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</si>
  <si>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</si>
  <si>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</si>
  <si>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</si>
  <si>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</si>
  <si>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Light brown, Pista green</t>
  </si>
  <si>
    <t>black/pink, orange/black, black/parrot green</t>
  </si>
  <si>
    <t>Aji Roy(Trichue)</t>
  </si>
  <si>
    <t>CHR-119 - Black &amp; Mustard</t>
  </si>
  <si>
    <t>Gopika (TVM)</t>
  </si>
  <si>
    <t>CHR-119 - Black</t>
  </si>
  <si>
    <r>
      <rPr>
        <u/>
        <sz val="11"/>
        <color theme="1"/>
        <rFont val="Trebuchet MS"/>
        <family val="2"/>
      </rPr>
      <t>Old batch:</t>
    </r>
    <r>
      <rPr>
        <sz val="11"/>
        <color theme="1"/>
        <rFont val="Trebuchet MS"/>
        <family val="2"/>
        <charset val="1"/>
      </rPr>
      <t xml:space="preserve">  Off white (1) 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(3),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Black(7), White(5), Rani Pink(2)</t>
    </r>
  </si>
  <si>
    <t>Lily Kutty (Kottayam)</t>
  </si>
  <si>
    <t>Sindhu (Pkd)</t>
  </si>
  <si>
    <t>CHR-119 - Green</t>
  </si>
  <si>
    <t>CHR-119 - Maroon</t>
  </si>
  <si>
    <t>royal blue/rani pink, parrot green/red, deep red/bottle green</t>
  </si>
  <si>
    <t>Matka Silk Saree Collection</t>
  </si>
  <si>
    <t>Soft Silk Saree Collection</t>
  </si>
  <si>
    <t>Tussar Silk Collection</t>
  </si>
  <si>
    <t>Tissue Silk Saree Collection</t>
  </si>
  <si>
    <t>Chanderi Silk Saree Collection</t>
  </si>
  <si>
    <t>Aasha (EKM)</t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</si>
  <si>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Dona - Black, Dona - navy Blue, Jayalakshmi - Pink, Jyothimol - Navy Blue, Amrutha - Maroon, Athira - Black, Jini - Maroon</t>
    </r>
    <r>
      <rPr>
        <sz val="11"/>
        <color theme="1"/>
        <rFont val="Trebuchet MS"/>
        <family val="2"/>
      </rPr>
      <t>, Gopika - Black, Aji Roy - Black, Aji Roy - Mustard, Lili Kutty - Maroon, Sindhu - Black, Asha - Green</t>
    </r>
  </si>
  <si>
    <t>Boosting - March &amp; 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</si>
</sst>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158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114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76776.529999999984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56636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-14366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241</c:v>
                </c:pt>
                <c:pt idx="1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350293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290079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303448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-60214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19192.326666666671</v>
      </c>
      <c r="C10" s="9"/>
    </row>
    <row r="11" spans="1:6" ht="13.5" customHeight="1">
      <c r="A11" s="11" t="s">
        <v>50</v>
      </c>
      <c r="B11" s="14">
        <f>PartnerShares!H9</f>
        <v>5029.3366666666698</v>
      </c>
      <c r="C11" s="11"/>
    </row>
    <row r="12" spans="1:6" ht="13.5" customHeight="1">
      <c r="A12" s="9" t="s">
        <v>51</v>
      </c>
      <c r="B12" s="13">
        <f>PartnerShares!H10</f>
        <v>-24221.66333333333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116764.33333333333</v>
      </c>
      <c r="D18" s="10">
        <f>PartnerShares!D8</f>
        <v>37495.666666666672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19192.326666666671</v>
      </c>
      <c r="G18" s="16" t="str">
        <f>IF(ROUND(F18,0)&gt;0,"Receive ₹"&amp;TEXT(ABS(F18),"#,##0"),IF(ROUND(F18,0)&lt;0,"Pay ₹"&amp;TEXT(ABS(F18),"#,##0"),"✓ Settled"))</f>
        <v>Receive ₹19,192</v>
      </c>
    </row>
    <row r="19" spans="1:7" ht="13.5" customHeight="1">
      <c r="A19" s="11" t="str">
        <f>PartnerShares!A9</f>
        <v>Anoop</v>
      </c>
      <c r="B19" s="12">
        <f>PartnerShares!B9</f>
        <v>163433</v>
      </c>
      <c r="C19" s="12">
        <f>PartnerShares!C9</f>
        <v>116764.33333333333</v>
      </c>
      <c r="D19" s="12">
        <f>PartnerShares!D9</f>
        <v>46668.666666666672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5029.3366666666698</v>
      </c>
      <c r="G19" s="17" t="str">
        <f>IF(ROUND(F19,0)&gt;0,"Receive ₹"&amp;TEXT(ABS(F19),"#,##0"),IF(ROUND(F19,0)&lt;0,"Pay ₹"&amp;TEXT(ABS(F19),"#,##0"),"✓ Settled"))</f>
        <v>Receive ₹5,029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116764.33333333333</v>
      </c>
      <c r="D20" s="10">
        <f>PartnerShares!D10</f>
        <v>-84164.333333333328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-24221.66333333333</v>
      </c>
      <c r="G20" s="17" t="str">
        <f>IF(ROUND(F20,0)&gt;0,"Receive ₹"&amp;TEXT(ABS(F20),"#,##0"),IF(ROUND(F20,0)&lt;0,"Pay ₹"&amp;TEXT(ABS(F20),"#,##0"),"✓ Settled"))</f>
        <v>Pay ₹24,222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269130</v>
      </c>
      <c r="C26" s="10">
        <f>'Cash Pool'!D4</f>
        <v>96712.338599999988</v>
      </c>
      <c r="D26" s="10">
        <f>'Cash Pool'!E4</f>
        <v>172417.66140000001</v>
      </c>
      <c r="E26" s="10">
        <f>'Cash Pool'!F4</f>
        <v>-137310.02600000001</v>
      </c>
      <c r="F26" s="13">
        <f>'Cash Pool'!G4</f>
        <v>35107.635399999999</v>
      </c>
      <c r="G26" s="17" t="str">
        <f>IF(ROUND(F26,0)&gt;0,"Pay ₹"&amp;TEXT(ABS(F26),"#,##0"),IF(ROUND(F26,0)&lt;0,"Receive ₹"&amp;TEXT(ABS(F26),"#,##0"),"✓ Settled"))</f>
        <v>Pay ₹35,108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96654.322799999994</v>
      </c>
      <c r="D27" s="12">
        <f>'Cash Pool'!E5</f>
        <v>-88235.322799999994</v>
      </c>
      <c r="E27" s="12">
        <f>'Cash Pool'!F5</f>
        <v>71587.042000000001</v>
      </c>
      <c r="F27" s="14">
        <f>'Cash Pool'!G5</f>
        <v>-16648.280799999993</v>
      </c>
      <c r="G27" s="18" t="str">
        <f>IF(ROUND(F27,0)&gt;0,"Pay ₹"&amp;TEXT(ABS(F27),"#,##0"),IF(ROUND(F27,0)&lt;0,"Receive ₹"&amp;TEXT(ABS(F27),"#,##0"),"✓ Settled"))</f>
        <v>Receive ₹16,648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96712.338599999988</v>
      </c>
      <c r="D28" s="10">
        <f>'Cash Pool'!E6</f>
        <v>-84182.338599999988</v>
      </c>
      <c r="E28" s="10">
        <f>'Cash Pool'!F6</f>
        <v>65722.984000000011</v>
      </c>
      <c r="F28" s="13">
        <f>'Cash Pool'!G6</f>
        <v>-18459.354599999977</v>
      </c>
      <c r="G28" s="16" t="str">
        <f>IF(ROUND(F28,0)&gt;0,"Pay ₹"&amp;TEXT(ABS(F28),"#,##0"),IF(ROUND(F28,0)&lt;0,"Receive ₹"&amp;TEXT(ABS(F28),"#,##0"),"✓ Settled"))</f>
        <v>Receive ₹18,459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46143</v>
      </c>
    </row>
    <row r="5" spans="1:8" ht="15" customHeight="1">
      <c r="A5" s="19" t="s">
        <v>41</v>
      </c>
      <c r="B5" s="21">
        <f>Summary!B3</f>
        <v>350293</v>
      </c>
      <c r="D5" s="19" t="s">
        <v>69</v>
      </c>
      <c r="E5" s="21">
        <f>Summary!B4</f>
        <v>290079</v>
      </c>
    </row>
    <row r="6" spans="1:8" ht="15" customHeight="1">
      <c r="A6" s="19" t="s">
        <v>70</v>
      </c>
      <c r="B6" s="21">
        <f>Summary!B6</f>
        <v>-60214</v>
      </c>
      <c r="D6" s="19" t="s">
        <v>71</v>
      </c>
      <c r="E6" s="21">
        <f>SUMIFS(INVENTORY!K:K, INVENTORY!N:N, "&lt;&gt;Sold Out")</f>
        <v>141112.72999999998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241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183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56636</v>
      </c>
      <c r="D13" s="27">
        <f t="shared" si="0"/>
        <v>-14366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158</v>
      </c>
      <c r="H47" s="30">
        <f>SUMIF(INVENTORY!C:C, F47, INVENTORY!G:G)</f>
        <v>114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76776.529999999984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71" sqref="D7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901</v>
      </c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46" activePane="bottomLeft" state="frozen"/>
      <selection pane="bottomLeft" activeCell="C146" sqref="C146:C180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8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 t="s">
        <v>154</v>
      </c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864</v>
      </c>
      <c r="I179" s="80" t="s">
        <v>140</v>
      </c>
    </row>
    <row r="180" spans="1:9" ht="14">
      <c r="A180" s="75">
        <v>46140</v>
      </c>
      <c r="B180" s="76" t="s">
        <v>866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865</v>
      </c>
      <c r="I180" s="76" t="s">
        <v>334</v>
      </c>
    </row>
    <row r="181" spans="1:9" ht="14">
      <c r="A181" s="79">
        <v>46141</v>
      </c>
      <c r="B181" s="80" t="s">
        <v>884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885</v>
      </c>
      <c r="I181" s="80" t="s">
        <v>140</v>
      </c>
    </row>
    <row r="182" spans="1:9" ht="14">
      <c r="A182" s="75">
        <v>46141</v>
      </c>
      <c r="B182" s="76" t="s">
        <v>886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887</v>
      </c>
      <c r="I182" s="76" t="s">
        <v>140</v>
      </c>
    </row>
    <row r="183" spans="1:9" ht="14">
      <c r="A183" s="79">
        <v>46142</v>
      </c>
      <c r="B183" s="80" t="s">
        <v>889</v>
      </c>
      <c r="C183" s="81">
        <v>690</v>
      </c>
      <c r="D183" s="80" t="s">
        <v>154</v>
      </c>
      <c r="E183" s="80" t="s">
        <v>49</v>
      </c>
      <c r="F183" s="91"/>
      <c r="G183" s="91"/>
      <c r="H183" s="92" t="s">
        <v>892</v>
      </c>
      <c r="I183" s="80" t="s">
        <v>140</v>
      </c>
    </row>
    <row r="184" spans="1:9" ht="14">
      <c r="A184" s="75">
        <v>46142</v>
      </c>
      <c r="B184" s="76" t="s">
        <v>890</v>
      </c>
      <c r="C184" s="77">
        <v>690</v>
      </c>
      <c r="D184" s="76" t="s">
        <v>154</v>
      </c>
      <c r="E184" s="76" t="s">
        <v>49</v>
      </c>
      <c r="F184" s="76"/>
      <c r="G184" s="76"/>
      <c r="H184" s="78" t="s">
        <v>887</v>
      </c>
      <c r="I184" s="76" t="s">
        <v>140</v>
      </c>
    </row>
    <row r="185" spans="1:9" ht="14">
      <c r="A185" s="79">
        <v>46142</v>
      </c>
      <c r="B185" s="80" t="s">
        <v>899</v>
      </c>
      <c r="C185" s="81">
        <v>609</v>
      </c>
      <c r="D185" s="80" t="s">
        <v>154</v>
      </c>
      <c r="E185" s="80" t="s">
        <v>49</v>
      </c>
      <c r="F185" s="91"/>
      <c r="G185" s="91"/>
      <c r="H185" s="92" t="s">
        <v>891</v>
      </c>
      <c r="I185" s="80" t="s">
        <v>140</v>
      </c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5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C1" zoomScaleNormal="100" workbookViewId="0">
      <pane ySplit="1" topLeftCell="A111" activePane="bottomLeft" state="frozen"/>
      <selection pane="bottomLeft" activeCell="L120" sqref="L120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54.1640625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90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13</v>
      </c>
      <c r="G120" s="49">
        <v>36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5446.3933333333289</v>
      </c>
      <c r="K120" s="48">
        <f t="shared" si="11"/>
        <v>15082.319999999987</v>
      </c>
      <c r="L120" s="94" t="s">
        <v>900</v>
      </c>
      <c r="M120" s="48" t="s">
        <v>49</v>
      </c>
      <c r="N120" s="48" t="s">
        <v>451</v>
      </c>
      <c r="O120" s="48"/>
      <c r="P120" s="94" t="s">
        <v>888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861</v>
      </c>
      <c r="M147" s="42"/>
      <c r="N147" s="42" t="s">
        <v>451</v>
      </c>
      <c r="O147" s="42"/>
      <c r="P147" s="42" t="s">
        <v>862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868</v>
      </c>
      <c r="B176" s="48" t="s">
        <v>895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0</v>
      </c>
      <c r="K176" s="61">
        <f t="shared" ref="K176:K180" si="20">IF(LEN(G176)=0,0,G176)*I176</f>
        <v>3632</v>
      </c>
      <c r="L176" s="48"/>
      <c r="M176" s="48"/>
      <c r="N176" s="48" t="s">
        <v>538</v>
      </c>
      <c r="O176" s="48"/>
      <c r="P176" s="48" t="s">
        <v>867</v>
      </c>
      <c r="Q176" s="48"/>
      <c r="R176" s="48"/>
      <c r="S176" s="48"/>
      <c r="T176" s="48"/>
    </row>
    <row r="177" spans="1:20" ht="15">
      <c r="A177" s="42" t="s">
        <v>870</v>
      </c>
      <c r="B177" s="42" t="s">
        <v>896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869</v>
      </c>
      <c r="Q177" s="42"/>
      <c r="R177" s="42"/>
      <c r="S177" s="42"/>
      <c r="T177" s="42"/>
    </row>
    <row r="178" spans="1:20" ht="15">
      <c r="A178" s="48" t="s">
        <v>871</v>
      </c>
      <c r="B178" s="48" t="s">
        <v>897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882</v>
      </c>
      <c r="Q178" s="48"/>
      <c r="R178" s="48"/>
      <c r="S178" s="48"/>
      <c r="T178" s="48"/>
    </row>
    <row r="179" spans="1:20" ht="15">
      <c r="A179" s="42" t="s">
        <v>872</v>
      </c>
      <c r="B179" s="42" t="s">
        <v>898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883</v>
      </c>
      <c r="Q179" s="42"/>
      <c r="R179" s="42"/>
      <c r="S179" s="42"/>
      <c r="T179" s="42"/>
    </row>
    <row r="180" spans="1:20" ht="15">
      <c r="A180" s="48" t="s">
        <v>873</v>
      </c>
      <c r="B180" s="48" t="s">
        <v>894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893</v>
      </c>
      <c r="Q180" s="48"/>
      <c r="R180" s="48"/>
      <c r="S180" s="48"/>
      <c r="T180" s="48"/>
    </row>
    <row r="181" spans="1:20" ht="15">
      <c r="A181" s="42" t="s">
        <v>874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5">
      <c r="A182" s="48" t="s">
        <v>875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876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877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878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879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880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881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787</v>
      </c>
      <c r="B1" s="96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116764.33333333333</v>
      </c>
      <c r="D8" s="9">
        <f>B8-C8</f>
        <v>37495.666666666672</v>
      </c>
      <c r="E8" s="9">
        <f>IF(Summary!$B$6&gt;0, Summary!$B$6*VLOOKUP($A8,$A$3:$B$5,2,FALSE()),0)</f>
        <v>0</v>
      </c>
      <c r="F8" s="9">
        <f>D8+E8</f>
        <v>37495.666666666672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19192.326666666671</v>
      </c>
    </row>
    <row r="9" spans="1:8" ht="13.5" customHeight="1">
      <c r="A9" s="11" t="s">
        <v>50</v>
      </c>
      <c r="B9" s="11">
        <f>IFERROR(SUMIF(Purchases!$B:$B,$A9,Purchases!$C:$C),0)</f>
        <v>163433</v>
      </c>
      <c r="C9" s="11">
        <f>SUM($B$8:$B$10)/3</f>
        <v>116764.33333333333</v>
      </c>
      <c r="D9" s="11">
        <f>B9-C9</f>
        <v>46668.666666666672</v>
      </c>
      <c r="E9" s="11">
        <f>IF(Summary!$B$6&gt;0, Summary!$B$6*VLOOKUP($A9,$A$3:$B$5,2,FALSE()),0)</f>
        <v>0</v>
      </c>
      <c r="F9" s="11">
        <f>D9+E9</f>
        <v>46668.666666666672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5029.3366666666698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116764.33333333333</v>
      </c>
      <c r="D10" s="9">
        <f>B10-C10</f>
        <v>-84164.333333333328</v>
      </c>
      <c r="E10" s="9">
        <f>IF(Summary!$B$6&gt;0, Summary!$B$6*VLOOKUP($A10,$A$3:$B$5,2,FALSE()),0)</f>
        <v>0</v>
      </c>
      <c r="F10" s="9">
        <f>D10+E10</f>
        <v>-84164.333333333328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-24221.66333333333</v>
      </c>
    </row>
    <row r="12" spans="1:8" s="71" customFormat="1" ht="15.75" customHeight="1">
      <c r="A12" s="97" t="s">
        <v>796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269130</v>
      </c>
      <c r="C4" s="9">
        <f>VLOOKUP($A4,PartnerShares!$A$3:$B$5,2,FALSE())</f>
        <v>0.33339999999999997</v>
      </c>
      <c r="D4" s="9">
        <f>Summary!$B$4*C4</f>
        <v>96712.338599999988</v>
      </c>
      <c r="E4" s="9">
        <f>B4-D4</f>
        <v>172417.66140000001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35107.635399999999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96654.322799999994</v>
      </c>
      <c r="E5" s="11">
        <f>B5-D5</f>
        <v>-88235.322799999994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-16648.280799999993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96712.338599999988</v>
      </c>
      <c r="E6" s="9">
        <f>B6-D6</f>
        <v>-84182.338599999988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-18459.354599999977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2026-05-01T20:32:10Z</dcterms:modified>
  <dc:language>en-US</dc:language>
</cp:coreProperties>
</file>