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2DCD8975-8CC4-F64C-B123-64873FC64FFC}"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Sales!$A$1:$I$326</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25" i="6" l="1"/>
  <c r="H233" i="6"/>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<sst xmlns="http://schemas.openxmlformats.org/spreadsheetml/2006/main" count="3446" uniqueCount="1368">
  <si>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</si>
  <si>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</si>
  <si>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</si>
  <si>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</si>
  <si>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</si>
  <si>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</si>
  <si>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</si>
  <si>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</si>
  <si>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</si>
  <si>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</si>
  <si>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</si>
  <si>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</si>
  <si>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</si>
  <si>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</si>
  <si>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</si>
  <si>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</si>
  <si>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</si>
  <si>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</si>
  <si>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</si>
  <si>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</si>
  <si>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</si>
  <si>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</si>
  <si>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</si>
  <si>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</si>
  <si>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</si>
  <si>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</si>
  <si>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</si>
  <si>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</si>
  <si>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</si>
  <si>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</si>
  <si>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</si>
  <si>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</si>
  <si>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</si>
  <si>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</si>
  <si>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</si>
  <si>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</si>
  <si>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</si>
  <si>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</si>
  <si>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</si>
  <si>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</si>
  <si>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</si>
  <si>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</si>
  <si>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</si>
  <si>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</si>
  <si>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</si>
  <si>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</si>
  <si>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</si>
  <si>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</si>
  <si>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</si>
  <si>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</si>
  <si>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</si>
  <si>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</si>
  <si>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</si>
  <si>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</si>
  <si>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</si>
  <si>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</si>
  <si>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</si>
  <si>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</si>
  <si>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</si>
  <si>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</si>
  <si>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</si>
  <si>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</si>
  <si>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</si>
  <si>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</si>
  <si>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</si>
  <si>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</si>
  <si>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</si>
  <si>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</si>
  <si>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</si>
  <si>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</si>
  <si>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</si>
  <si>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</si>
  <si>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</si>
  <si>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</si>
  <si>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</si>
  <si>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</si>
  <si>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</si>
  <si>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</si>
  <si>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</si>
  <si>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</si>
  <si>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</si>
  <si>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</si>
  <si>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</si>
  <si>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</si>
  <si>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</si>
  <si>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</si>
  <si>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</si>
  <si>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</si>
  <si>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</si>
  <si>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</si>
  <si>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</si>
  <si>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</si>
  <si>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</si>
  <si>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</si>
  <si>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</si>
  <si>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</si>
  <si>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</si>
  <si>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</si>
  <si>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</si>
  <si>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</si>
  <si>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</si>
  <si>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</si>
  <si>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</si>
  <si>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</si>
  <si>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</si>
  <si>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</si>
  <si>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</si>
  <si>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</si>
  <si>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</si>
  <si>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</si>
  <si>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</si>
  <si>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</si>
  <si>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</si>
  <si>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</si>
  <si>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</si>
  <si>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</si>
  <si>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</si>
  <si>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</si>
  <si>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</si>
  <si>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</si>
  <si>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</si>
  <si>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</si>
  <si>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</si>
  <si>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</si>
  <si>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</si>
  <si>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</si>
  <si>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</si>
  <si>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</si>
  <si>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</si>
  <si>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</si>
  <si>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</si>
  <si>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</si>
  <si>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</si>
  <si>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</si>
  <si>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</si>
  <si>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</si>
  <si>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</si>
  <si>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</si>
  <si>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</si>
  <si>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</si>
  <si>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</si>
  <si>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</si>
  <si>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</si>
  <si>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</si>
  <si>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</si>
  <si>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</si>
  <si>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</si>
  <si>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</si>
  <si>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</si>
  <si>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</si>
  <si>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</si>
  <si>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</si>
  <si>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</si>
  <si>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</si>
  <si>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</si>
  <si>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</si>
  <si>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</si>
  <si>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</si>
  <si>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</si>
  <si>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</si>
  <si>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</si>
  <si>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</si>
  <si>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</si>
  <si>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</si>
  <si>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</si>
  <si>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</si>
  <si>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</si>
  <si>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</si>
  <si>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</si>
  <si>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</si>
  <si>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</si>
  <si>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</si>
  <si>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</si>
  <si>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</si>
  <si>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</si>
  <si>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</si>
  <si>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</si>
  <si>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</si>
  <si>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</si>
  <si>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</si>
  <si>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</si>
  <si>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</si>
  <si>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</si>
  <si>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</si>
  <si>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</si>
  <si>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</si>
  <si>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</si>
  <si>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</si>
  <si>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</si>
  <si>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</si>
  <si>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</si>
  <si>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</si>
  <si>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</si>
  <si>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</si>
  <si>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</si>
  <si>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</si>
  <si>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</si>
  <si>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</si>
  <si>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</si>
  <si>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</si>
  <si>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</si>
  <si>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</si>
  <si>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</si>
  <si>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</si>
  <si>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</si>
  <si>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</si>
  <si>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</si>
  <si>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</si>
  <si>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</si>
  <si>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</si>
  <si>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</si>
  <si>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</si>
  <si>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</si>
  <si>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</si>
  <si>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</si>
  <si>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</si>
  <si>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</si>
  <si>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</si>
  <si>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</si>
  <si>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</si>
  <si>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</si>
  <si>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</si>
  <si>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</si>
  <si>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</si>
  <si>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</si>
  <si>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</si>
  <si>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</si>
  <si>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</si>
  <si>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</si>
  <si>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</si>
  <si>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</si>
  <si>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</si>
  <si>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</si>
  <si>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</si>
  <si>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</si>
  <si>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</si>
  <si>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</si>
  <si>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</si>
  <si>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</si>
  <si>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</si>
  <si>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</si>
  <si>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</si>
  <si>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</si>
  <si>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</si>
  <si>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</si>
  <si>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</si>
  <si>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</si>
  <si>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</si>
  <si>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</si>
  <si>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</si>
  <si>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</si>
  <si>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</si>
  <si>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</si>
  <si>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</si>
  <si>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</si>
  <si>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</si>
  <si>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</si>
  <si>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</si>
  <si>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</si>
  <si>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</si>
  <si>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</si>
  <si>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</si>
  <si>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</si>
  <si>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</si>
  <si>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</si>
  <si>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</si>
  <si>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</si>
  <si>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</si>
  <si>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</si>
  <si>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</si>
  <si>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</si>
  <si>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</si>
  <si>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</si>
  <si>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</si>
  <si>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</si>
  <si>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</si>
  <si>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</si>
  <si>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</si>
  <si>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</si>
  <si>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</si>
  <si>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</si>
  <si>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</si>
  <si>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</si>
  <si>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</si>
  <si>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</si>
  <si>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</si>
  <si>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</si>
  <si>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</si>
  <si>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</si>
  <si>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</si>
  <si>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</si>
  <si>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</si>
  <si>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</si>
  <si>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</si>
  <si>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</si>
  <si>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</si>
  <si>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</si>
  <si>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</si>
  <si>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</si>
  <si>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</si>
  <si>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</si>
  <si>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</si>
  <si>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</si>
  <si>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</si>
  <si>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</si>
  <si>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</si>
  <si>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</si>
  <si>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</si>
  <si>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</si>
  <si>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</si>
  <si>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</si>
  <si>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</si>
  <si>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</si>
  <si>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</si>
  <si>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</si>
  <si>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</si>
  <si>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</si>
  <si>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</si>
  <si>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</si>
  <si>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</si>
  <si>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</si>
  <si>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</si>
  <si>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</si>
  <si>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</si>
  <si>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</si>
  <si>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</si>
  <si>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</si>
  <si>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</si>
  <si>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</si>
  <si>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</si>
  <si>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</si>
  <si>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</si>
  <si>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</si>
  <si>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</si>
  <si>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</si>
  <si>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</si>
  <si>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</si>
  <si>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</si>
  <si>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</si>
  <si>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</si>
  <si>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</si>
  <si>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</si>
  <si>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</si>
  <si>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</si>
  <si>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</si>
  <si>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</si>
  <si>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</si>
  <si>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</si>
  <si>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</si>
  <si>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</si>
  <si>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</si>
  <si>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</si>
  <si>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</si>
  <si>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</si>
  <si>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</si>
  <si>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</si>
  <si>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</si>
  <si>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</si>
  <si>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</si>
  <si>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</si>
  <si>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</si>
  <si>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</si>
  <si>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</si>
  <si>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</si>
  <si>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</si>
  <si>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</si>
  <si>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</si>
  <si>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</si>
  <si>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</si>
  <si>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</si>
  <si>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</si>
  <si>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</si>
  <si>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</si>
  <si>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</si>
  <si>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</si>
  <si>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</si>
  <si>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</si>
  <si>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</si>
  <si>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</si>
  <si>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</si>
  <si>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</si>
  <si>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</si>
  <si>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</si>
  <si>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</si>
  <si>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</si>
  <si>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</si>
  <si>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</si>
  <si>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</si>
  <si>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</si>
  <si>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</si>
  <si>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</si>
  <si>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</si>
  <si>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</si>
  <si>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</si>
  <si>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</si>
  <si>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</si>
  <si>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</si>
  <si>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</si>
  <si>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</si>
  <si>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</si>
  <si>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</si>
  <si>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</si>
  <si>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</si>
  <si>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</si>
  <si>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</si>
  <si>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</si>
  <si>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</si>
  <si>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</si>
  <si>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</si>
  <si>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</si>
  <si>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</si>
  <si>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</si>
  <si>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</si>
  <si>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</si>
  <si>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</si>
  <si>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</si>
  <si>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</si>
  <si>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</si>
  <si>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</si>
  <si>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</si>
  <si>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</si>
  <si>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</si>
  <si>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</si>
  <si>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</si>
  <si>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</si>
  <si>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</si>
  <si>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</si>
  <si>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</si>
  <si>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</si>
  <si>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</si>
  <si>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</si>
  <si>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</si>
  <si>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</si>
  <si>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</si>
  <si>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</si>
  <si>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</si>
  <si>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</si>
  <si>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</si>
  <si>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</si>
  <si>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</si>
  <si>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</si>
  <si>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</si>
  <si>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</si>
  <si>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</si>
  <si>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</si>
  <si>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</si>
  <si>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</si>
  <si>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</si>
  <si>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</si>
  <si>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</si>
  <si>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</si>
  <si>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</si>
  <si>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</si>
  <si>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</si>
  <si>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</si>
  <si>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</si>
  <si>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</si>
  <si>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</si>
  <si>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</si>
  <si>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</si>
  <si>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</si>
  <si>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</si>
  <si>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</si>
  <si>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</si>
  <si>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</si>
  <si>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</si>
  <si>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</si>
  <si>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</si>
  <si>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</si>
  <si>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</si>
  <si>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</si>
  <si>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</si>
  <si>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</si>
  <si>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</si>
  <si>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</si>
  <si>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</si>
  <si>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</si>
  <si>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</si>
  <si>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</si>
  <si>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</si>
  <si>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</si>
  <si>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</si>
  <si>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</si>
  <si>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</si>
  <si>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</si>
  <si>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</si>
  <si>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</si>
  <si>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</si>
  <si>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</si>
  <si>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</si>
  <si>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</si>
  <si>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</si>
  <si>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</si>
  <si>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</si>
  <si>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</si>
  <si>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</si>
  <si>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</si>
  <si>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</si>
  <si>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</si>
  <si>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</si>
  <si>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</si>
  <si>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</si>
  <si>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</si>
  <si>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</si>
  <si>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</si>
  <si>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</si>
  <si>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</si>
  <si>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</si>
  <si>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</si>
  <si>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</si>
  <si>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</si>
  <si>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</si>
  <si>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</si>
  <si>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</si>
  <si>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</si>
  <si>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</si>
  <si>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</si>
  <si>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</si>
  <si>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</si>
  <si>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</si>
  <si>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</si>
  <si>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</si>
  <si>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</si>
  <si>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</si>
  <si>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</si>
  <si>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</si>
  <si>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</si>
  <si>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</si>
  <si>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</si>
  <si>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</si>
  <si>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</si>
  <si>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</si>
  <si>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</si>
  <si>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</si>
  <si>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</si>
  <si>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</si>
  <si>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</si>
  <si>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</si>
  <si>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</si>
  <si>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</si>
  <si>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</si>
  <si>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</si>
  <si>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</si>
  <si>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</si>
  <si>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</si>
  <si>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</si>
  <si>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</si>
  <si>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</si>
  <si>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</si>
  <si>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</si>
  <si>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</si>
  <si>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</si>
  <si>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</si>
  <si>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</si>
  <si>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</si>
  <si>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</si>
  <si>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</si>
  <si>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</si>
  <si>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</si>
  <si>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</si>
  <si>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</si>
  <si>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</si>
  <si>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</si>
  <si>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</si>
  <si>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</si>
  <si>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</si>
  <si>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</si>
  <si>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</si>
  <si>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</si>
  <si>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</si>
  <si>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</si>
  <si>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</si>
  <si>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</si>
  <si>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</si>
  <si>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</si>
  <si>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</si>
  <si>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</si>
  <si>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</si>
  <si>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</si>
  <si>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</si>
  <si>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</si>
  <si>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</si>
  <si>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</si>
  <si>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</si>
  <si>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</si>
  <si>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</si>
  <si>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</si>
  <si>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</si>
  <si>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</si>
  <si>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</si>
  <si>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</si>
  <si>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</si>
  <si>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</si>
  <si>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</si>
  <si>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</si>
  <si>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</si>
  <si>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</si>
  <si>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</si>
  <si>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</si>
  <si>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</si>
  <si>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</si>
  <si>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</si>
  <si>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</si>
  <si>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</si>
  <si>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</si>
  <si>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</si>
  <si>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</si>
  <si>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</si>
  <si>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</si>
  <si>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</si>
  <si>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</si>
  <si>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</si>
  <si>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</si>
  <si>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</si>
  <si>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</si>
  <si>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</si>
  <si>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</si>
  <si>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</si>
  <si>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</si>
  <si>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</si>
  <si>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</si>
  <si>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</si>
  <si>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</si>
  <si>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</si>
  <si>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</si>
  <si>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</si>
  <si>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</si>
  <si>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</si>
  <si>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</si>
  <si>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</si>
  <si>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</si>
  <si>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</si>
  <si>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</si>
  <si>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</si>
  <si>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</si>
  <si>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</si>
  <si>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</si>
  <si>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</si>
  <si>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</si>
  <si>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</si>
  <si>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</si>
  <si>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</si>
  <si>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</si>
  <si>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</si>
  <si>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</si>
  <si>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</si>
  <si>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</si>
  <si>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</si>
  <si>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</si>
  <si>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</si>
  <si>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</si>
  <si>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</si>
  <si>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</si>
  <si>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</si>
  <si>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</si>
  <si>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</si>
  <si>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</si>
  <si>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</si>
  <si>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</si>
  <si>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</si>
  <si>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</si>
  <si>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</si>
  <si>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</si>
  <si>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</si>
  <si>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</si>
  <si>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</si>
  <si>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</si>
  <si>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</si>
  <si>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</si>
  <si>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</si>
  <si>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</si>
  <si>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</si>
  <si>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</si>
  <si>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</si>
  <si>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</si>
  <si>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</si>
  <si>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</si>
  <si>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</si>
  <si>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</si>
  <si>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</si>
  <si>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</si>
  <si>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</si>
  <si>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</si>
  <si>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</si>
  <si>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</si>
  <si>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</si>
  <si>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</si>
  <si>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</si>
  <si>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</si>
  <si>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</si>
  <si>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</si>
  <si>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</si>
  <si>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</si>
  <si>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</si>
  <si>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</si>
  <si>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</si>
  <si>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</si>
  <si>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</si>
  <si>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</si>
  <si>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</si>
  <si>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</si>
  <si>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</si>
  <si>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</si>
  <si>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</si>
  <si>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</si>
  <si>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</si>
  <si>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</si>
  <si>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</si>
  <si>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</si>
  <si>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</si>
  <si>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</si>
  <si>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</si>
  <si>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</si>
  <si>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</si>
  <si>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</si>
  <si>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</si>
  <si>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</si>
  <si>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</si>
  <si>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</si>
  <si>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</si>
  <si>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</si>
  <si>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</si>
  <si>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</si>
  <si>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</si>
  <si>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</si>
  <si>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</si>
  <si>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</si>
  <si>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</si>
  <si>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</si>
  <si>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</si>
  <si>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</si>
  <si>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</si>
  <si>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</si>
  <si>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</si>
  <si>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</si>
  <si>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</si>
  <si>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</si>
  <si>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</si>
  <si>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</si>
  <si>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</si>
  <si>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</si>
  <si>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</si>
  <si>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</si>
  <si>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</si>
  <si>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</si>
  <si>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</si>
  <si>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</si>
  <si>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</si>
  <si>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</si>
  <si>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</si>
  <si>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</si>
  <si>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</si>
  <si>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</si>
  <si>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</si>
  <si>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</si>
  <si>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</si>
  <si>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</si>
  <si>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</si>
  <si>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</si>
  <si>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</si>
  <si>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</si>
  <si>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</si>
  <si>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</si>
  <si>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</si>
  <si>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</si>
  <si>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</si>
  <si>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</si>
  <si>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</si>
  <si>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</si>
  <si>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</si>
  <si>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</si>
  <si>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</si>
  <si>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</si>
  <si>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</si>
  <si>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</si>
  <si>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</si>
  <si>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</si>
  <si>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</si>
  <si>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</si>
  <si>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</si>
  <si>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</si>
  <si>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</si>
  <si>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</si>
  <si>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</si>
  <si>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</si>
  <si>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</si>
  <si>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</si>
  <si>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</si>
  <si>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</si>
  <si>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</si>
  <si>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</si>
  <si>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</si>
  <si>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</si>
  <si>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</si>
  <si>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</si>
  <si>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</si>
  <si>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</si>
  <si>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</si>
  <si>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</si>
  <si>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</si>
  <si>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</si>
  <si>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</si>
  <si>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</si>
  <si>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</si>
  <si>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</si>
  <si>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</si>
  <si>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</si>
  <si>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</si>
  <si>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</si>
  <si>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</si>
  <si>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</si>
  <si>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</si>
  <si>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</si>
  <si>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</si>
  <si>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</si>
  <si>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</si>
  <si>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</si>
  <si>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</si>
  <si>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</si>
  <si>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</si>
  <si>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</si>
  <si>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</si>
  <si>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</si>
  <si>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</si>
  <si>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</si>
  <si>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</si>
  <si>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</si>
  <si>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</si>
  <si>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</si>
  <si>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</si>
  <si>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</si>
  <si>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</si>
  <si>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</si>
  <si>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</si>
  <si>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</si>
  <si>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</si>
  <si>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</si>
  <si>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</si>
  <si>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</si>
  <si>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</si>
  <si>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</si>
  <si>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</si>
  <si>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</si>
  <si>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</si>
  <si>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</si>
  <si>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</si>
  <si>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</si>
  <si>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</si>
  <si>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</si>
  <si>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</si>
  <si>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</si>
  <si>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</si>
  <si>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</si>
  <si>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</si>
  <si>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</si>
  <si>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</si>
  <si>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</si>
  <si>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</si>
  <si>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</si>
  <si>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</si>
  <si>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</si>
  <si>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</si>
  <si>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</si>
  <si>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</si>
  <si>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</si>
  <si>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</si>
  <si>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</si>
  <si>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</si>
  <si>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</si>
  <si>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</si>
  <si>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</si>
  <si>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</si>
  <si>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</si>
  <si>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</si>
  <si>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</si>
  <si>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</si>
  <si>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</si>
  <si>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</si>
  <si>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</si>
  <si>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</si>
  <si>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</si>
  <si>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</si>
  <si>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</si>
  <si>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</si>
  <si>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</si>
  <si>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</si>
  <si>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</si>
  <si>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</si>
  <si>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</si>
  <si>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</si>
  <si>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</si>
  <si>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</si>
  <si>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</si>
  <si>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</si>
  <si>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</si>
  <si>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</si>
  <si>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</si>
  <si>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</si>
  <si>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</si>
  <si>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</si>
  <si>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</si>
  <si>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</si>
  <si>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</si>
  <si>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</si>
  <si>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</si>
  <si>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</si>
  <si>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</si>
  <si>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</si>
  <si>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</si>
  <si>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</si>
  <si>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</si>
  <si>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</si>
  <si>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</si>
  <si>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</si>
  <si>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</si>
  <si>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</si>
  <si>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</si>
  <si>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</si>
  <si>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</si>
  <si>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</si>
  <si>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</si>
  <si>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</si>
  <si>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</si>
  <si>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</si>
  <si>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</si>
  <si>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</si>
  <si>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</si>
  <si>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</si>
  <si>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</si>
  <si>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</si>
  <si>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</si>
  <si>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</si>
  <si>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</si>
  <si>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</si>
  <si>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</si>
  <si>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</si>
  <si>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</si>
  <si>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</si>
  <si>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</si>
  <si>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</si>
  <si>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</si>
  <si>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</si>
  <si>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</si>
  <si>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</si>
  <si>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</si>
  <si>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</si>
  <si>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</si>
  <si>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</si>
  <si>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</si>
  <si>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</si>
  <si>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</si>
  <si>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</si>
  <si>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</si>
  <si>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</si>
  <si>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</si>
  <si>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</si>
  <si>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</si>
  <si>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</si>
  <si>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</si>
  <si>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</si>
  <si>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</si>
  <si>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</si>
  <si>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</si>
  <si>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</si>
  <si>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</si>
  <si>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</si>
  <si>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</si>
  <si>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</si>
  <si>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</si>
  <si>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</si>
  <si>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</si>
  <si>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</si>
  <si>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</si>
  <si>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</si>
  <si>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</si>
  <si>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</si>
  <si>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</si>
  <si>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</si>
  <si>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</si>
  <si>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</si>
  <si>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</si>
  <si>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</si>
  <si>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</si>
  <si>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</si>
  <si>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</si>
  <si>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</si>
  <si>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</si>
  <si>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</si>
  <si>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</si>
  <si>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</si>
  <si>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</si>
  <si>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</si>
  <si>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</si>
  <si>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</si>
  <si>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</si>
  <si>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</si>
  <si>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</si>
  <si>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</si>
  <si>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</si>
  <si>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</si>
  <si>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</si>
  <si>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</si>
  <si>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</si>
  <si>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</si>
  <si>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</si>
  <si>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</si>
  <si>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</si>
  <si>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</si>
  <si>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</si>
  <si>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</si>
  <si>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</si>
  <si>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CHR-205</t>
  </si>
  <si>
    <t>Matka Saree</t>
  </si>
  <si>
    <t>Golden yellow/bottle green</t>
  </si>
  <si>
    <t>CHR-206</t>
  </si>
  <si>
    <t>Cotton Saree Collection</t>
  </si>
  <si>
    <t>Denny - green temple/brown</t>
  </si>
  <si>
    <t>Grey/black, brown/navy, purple/blue, mustard/blue</t>
  </si>
  <si>
    <t>CHR-207</t>
  </si>
  <si>
    <t>Cotton Saree Collection ( Kabhali Check)</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</si>
  <si>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</si>
  <si>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</si>
  <si>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</si>
  <si>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</si>
  <si>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</si>
  <si>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</si>
  <si>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</si>
  <si>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</si>
  <si>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</si>
  <si>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</si>
  <si>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</si>
  <si>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</si>
  <si>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</si>
  <si>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</si>
  <si>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</si>
  <si>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</si>
  <si>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</si>
  <si>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</si>
  <si>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</si>
  <si>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</si>
  <si>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</si>
  <si>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</si>
  <si>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</si>
  <si>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</si>
  <si>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</si>
  <si>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</si>
  <si>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</si>
  <si>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</si>
  <si>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</si>
  <si>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</si>
  <si>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</si>
  <si>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</si>
  <si>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</si>
  <si>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</si>
  <si>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</si>
  <si>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</si>
  <si>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</si>
  <si>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</si>
  <si>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</si>
  <si>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</si>
  <si>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</si>
  <si>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</si>
  <si>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</si>
  <si>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</si>
  <si>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</si>
  <si>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</si>
  <si>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</si>
  <si>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</si>
  <si>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</si>
  <si>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</si>
  <si>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</si>
  <si>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</si>
  <si>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</si>
  <si>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</si>
  <si>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</si>
  <si>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</si>
  <si>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</si>
  <si>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</si>
  <si>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</si>
  <si>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</si>
  <si>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</si>
  <si>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</si>
  <si>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</si>
  <si>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</si>
  <si>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</si>
  <si>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</si>
  <si>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</si>
  <si>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</si>
  <si>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</si>
  <si>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</si>
  <si>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</si>
  <si>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</si>
  <si>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</si>
  <si>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</si>
  <si>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</si>
  <si>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</si>
  <si>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</si>
  <si>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</si>
  <si>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</si>
  <si>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</si>
  <si>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</si>
  <si>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</si>
  <si>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</si>
  <si>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</si>
  <si>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</si>
  <si>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</si>
  <si>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</si>
  <si>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</si>
  <si>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</si>
  <si>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</si>
  <si>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</si>
  <si>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</si>
  <si>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</si>
  <si>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</si>
  <si>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</si>
  <si>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</si>
  <si>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</si>
  <si>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</si>
  <si>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</si>
  <si>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</si>
  <si>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</si>
  <si>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</si>
  <si>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</si>
  <si>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</si>
  <si>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</si>
  <si>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</si>
  <si>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</si>
  <si>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</si>
  <si>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</si>
  <si>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</si>
  <si>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Chithra- peacok blue, Indu Varier - Green, Susmi - Maroon, Jaimy - Purple/Bottle Green, Latha - Grey</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</si>
  <si>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</si>
  <si>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</si>
  <si>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</si>
  <si>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</si>
  <si>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</si>
  <si>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</si>
  <si>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</si>
  <si>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</si>
  <si>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</si>
  <si>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</si>
  <si>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</si>
  <si>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</si>
  <si>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</si>
  <si>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</si>
  <si>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</si>
  <si>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</si>
  <si>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</si>
  <si>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</si>
  <si>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</si>
  <si>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</si>
  <si>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</si>
  <si>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</si>
  <si>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</si>
  <si>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</si>
  <si>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</si>
  <si>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</si>
  <si>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</si>
  <si>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</si>
  <si>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</si>
  <si>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</si>
  <si>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</si>
  <si>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</si>
  <si>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</si>
  <si>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</si>
  <si>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</si>
  <si>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</si>
  <si>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</si>
  <si>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</si>
  <si>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</si>
  <si>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</si>
  <si>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</si>
  <si>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</si>
  <si>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</si>
  <si>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</si>
  <si>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</si>
  <si>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</si>
  <si>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</si>
  <si>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</si>
  <si>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</si>
  <si>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</si>
  <si>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</si>
  <si>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</si>
  <si>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</si>
  <si>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</si>
  <si>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</si>
  <si>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</si>
  <si>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</si>
  <si>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</si>
  <si>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</si>
  <si>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</si>
  <si>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</si>
  <si>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</si>
  <si>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</si>
  <si>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</si>
  <si>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</si>
  <si>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</si>
  <si>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</si>
  <si>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</si>
  <si>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</si>
  <si>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</si>
  <si>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</si>
  <si>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</si>
  <si>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</si>
  <si>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</si>
  <si>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</si>
  <si>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</si>
  <si>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</si>
  <si>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</si>
  <si>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</si>
  <si>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</si>
  <si>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</si>
  <si>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</si>
  <si>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</si>
  <si>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</si>
  <si>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</si>
  <si>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</si>
  <si>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</si>
  <si>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</si>
  <si>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</si>
  <si>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</si>
  <si>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</si>
  <si>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</si>
  <si>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</si>
  <si>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</si>
  <si>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</si>
  <si>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</si>
  <si>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</si>
  <si>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</si>
  <si>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</si>
  <si>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</si>
  <si>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</si>
  <si>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</si>
  <si>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</si>
  <si>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</si>
  <si>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</si>
  <si>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</si>
  <si>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</si>
  <si>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</si>
  <si>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</si>
  <si>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</si>
  <si>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</si>
  <si>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</si>
  <si>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</si>
  <si>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</si>
  <si>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</si>
  <si>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</si>
  <si>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</si>
  <si>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</si>
  <si>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</si>
  <si>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</si>
  <si>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</si>
  <si>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</si>
  <si>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</si>
  <si>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</si>
  <si>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</si>
  <si>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</si>
  <si>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</si>
  <si>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</si>
  <si>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</si>
  <si>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</si>
  <si>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</si>
  <si>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</si>
  <si>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</si>
  <si>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</si>
  <si>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</si>
  <si>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</si>
  <si>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</si>
  <si>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</si>
  <si>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</si>
  <si>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</si>
  <si>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</si>
  <si>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</si>
  <si>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</si>
  <si>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Nisha Shaju</t>
  </si>
  <si>
    <t>CHR-174 Matka Peacock blue/maroon</t>
  </si>
  <si>
    <t>DTDC parcel charges</t>
  </si>
  <si>
    <t>Ranju Bank Staff (850)</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</si>
  <si>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</si>
  <si>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</si>
  <si>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</si>
  <si>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</si>
  <si>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</si>
  <si>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</si>
  <si>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</si>
  <si>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</si>
  <si>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</si>
  <si>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</si>
  <si>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</si>
  <si>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</si>
  <si>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</si>
  <si>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</si>
  <si>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</si>
  <si>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</si>
  <si>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</si>
  <si>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</si>
  <si>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</si>
  <si>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</si>
  <si>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</si>
  <si>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</si>
  <si>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</si>
  <si>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</si>
  <si>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</si>
  <si>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</si>
  <si>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</si>
  <si>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</si>
  <si>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</si>
  <si>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</si>
  <si>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</si>
  <si>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</si>
  <si>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</si>
  <si>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</si>
  <si>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</si>
  <si>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</si>
  <si>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</si>
  <si>
    <t>Courier charges</t>
  </si>
  <si>
    <t>Chocolate Brown - Albert, Green - Said</t>
  </si>
  <si>
    <t>Violet</t>
  </si>
  <si>
    <t>CHR-165 - Checked Green, CHR-204 - Black/Pink</t>
  </si>
  <si>
    <t>Navya - Black Orange, Saida - Black Pink</t>
  </si>
  <si>
    <t>Violet/bottle green</t>
  </si>
  <si>
    <t>CHR-212 Yellow/Orange</t>
  </si>
  <si>
    <t>CHR-212 - Purple, CHR-235 - Black Red - 1000 advance, 750 pending</t>
  </si>
  <si>
    <t>Dr.Reshna - Yellow/Black, Shylaja - Black/Red</t>
  </si>
  <si>
    <t>Pink with Silver Butas,  Wine/Green</t>
  </si>
  <si>
    <t>Tennish</t>
  </si>
  <si>
    <t>CHR-225 Black Tusshar</t>
  </si>
  <si>
    <t>Tennish - Black Tussar</t>
  </si>
  <si>
    <t>Wine</t>
  </si>
  <si>
    <t>Hima BS</t>
  </si>
  <si>
    <t>120 count mul cotton</t>
  </si>
  <si>
    <t>Hima B S</t>
  </si>
  <si>
    <t>Kuthanpully</t>
  </si>
  <si>
    <t>CHR-249</t>
  </si>
  <si>
    <t>CHR-250</t>
  </si>
  <si>
    <t>Purple with silver zari</t>
  </si>
  <si>
    <t>Peacock blue/Royal blue, Purple/Pink, Lime Green/Wine Purple</t>
  </si>
  <si>
    <t>426363 Churidar Set</t>
  </si>
  <si>
    <t>L, XL, XXL</t>
  </si>
  <si>
    <t>CHR-251</t>
  </si>
  <si>
    <t>425677 Churidar Set</t>
  </si>
  <si>
    <t>M, L, XL, XXL</t>
  </si>
  <si>
    <t>CHR-252</t>
  </si>
  <si>
    <t>417278 Churidar Set</t>
  </si>
  <si>
    <t>CHR-253</t>
  </si>
  <si>
    <t>424938 Churidar Set</t>
  </si>
  <si>
    <t>Soft Silk Saree Collection (Kuthanpully)</t>
  </si>
  <si>
    <t>Semi Silk (Kuthanpully)</t>
  </si>
  <si>
    <t>CHR-182 (Yellow Linen Saree with Lotus, CHR-217 cream/gold with stars and paisley &amp; cream/gold with flowers, CHR-212 Green elephant print, CHR-246 - Kerala Kasavu Tissue Set Mundu - 1600 advance, 2000 - pending</t>
  </si>
  <si>
    <t>CHR-254</t>
  </si>
  <si>
    <t>414124 Banarasi Biege/Violiet</t>
  </si>
  <si>
    <t>Lucy Teacher</t>
  </si>
  <si>
    <t>CHR-254 Chikku Violiet</t>
  </si>
  <si>
    <t>CHR-255</t>
  </si>
  <si>
    <t>402671 Banarasi Green new design</t>
  </si>
  <si>
    <t>Reetha Peethambaran</t>
  </si>
  <si>
    <t>CHR-255 Chikku Green New type</t>
  </si>
  <si>
    <t>Thresiamma</t>
  </si>
  <si>
    <t>CHR-207 - Violet/Mustard</t>
  </si>
  <si>
    <t>Navy/blue, yellow/peacock blue, turquoise/violet</t>
  </si>
  <si>
    <t>Thressiama - violet/mustard</t>
  </si>
  <si>
    <t>purple - Malini, Olive green - Latha, Navy Blue - Thressiamma</t>
  </si>
  <si>
    <t>Light blue/onion peel, brown/dark maroon, black/light green, rani pink, olive green(2)</t>
  </si>
  <si>
    <t>Latha Ammayi</t>
  </si>
  <si>
    <t>Shylaja - Purple, Jisha - Red, Bank staff - Green, Rajna - Yellow/Orange</t>
  </si>
  <si>
    <t>Yellow/Orange(2), Blue, Red</t>
  </si>
  <si>
    <t>CHR-195-Mustard,CHR-163 -Grey Narayanpet, CHR-210 - Narayanpet Maroon</t>
  </si>
  <si>
    <t>Latha Ammayi - Maroon, Blue returned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</si>
</sst>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3">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
      <strike/>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5">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26" fillId="0" borderId="2" xfId="0" applyFont="1" applyBorder="1" applyAlignment="1">
      <alignment horizontal="left" vertical="center" wrapText="1"/>
    </xf>
    <xf numFmtId="0" fontId="26" fillId="0" borderId="2" xfId="0" applyFont="1" applyBorder="1" applyAlignment="1">
      <alignment horizontal="right" vertical="center" wrapText="1"/>
    </xf>
    <xf numFmtId="0" fontId="26" fillId="7" borderId="2" xfId="0" applyFont="1" applyFill="1" applyBorder="1" applyAlignment="1">
      <alignment horizontal="right" vertical="center" wrapText="1"/>
    </xf>
    <xf numFmtId="0" fontId="26" fillId="7" borderId="2" xfId="0" applyFont="1" applyFill="1" applyBorder="1" applyAlignment="1">
      <alignment horizontal="left" vertical="center" wrapText="1"/>
    </xf>
    <xf numFmtId="0" fontId="32"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360</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180</c:v>
                </c:pt>
                <c:pt idx="1">
                  <c:v>65</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69573</c:v>
                </c:pt>
                <c:pt idx="1">
                  <c:v>128214.14666666667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45848</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54393</c:v>
                </c:pt>
                <c:pt idx="5">
                  <c:v>72885</c:v>
                </c:pt>
                <c:pt idx="6">
                  <c:v>65156</c:v>
                </c:pt>
                <c:pt idx="7">
                  <c:v>78068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49944</c:v>
                </c:pt>
                <c:pt idx="5">
                  <c:v>-26158</c:v>
                </c:pt>
                <c:pt idx="6">
                  <c:v>-37044</c:v>
                </c:pt>
                <c:pt idx="7">
                  <c:v>32220</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464</c:v>
                </c:pt>
                <c:pt idx="1">
                  <c:v>266</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649D996-6833-C548-BBDE-C83189B87AE7}">
  <we:reference id="93533c7f-4dc5-468f-aba4-1c008e1a7ac8" version="1.0.0.8" store="EXCatalog" storeType="EXCatalog"/>
  <we:alternateReferences>
    <we:reference id="WA200003101" version="1.0.0.8" store="en-US" storeType="OMEX"/>
  </we:alternateReferences>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H20" sqref="H20"/>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5.6640625" style="6" bestFit="1" customWidth="1"/>
    <col min="8" max="16384" width="8.83203125" style="6"/>
  </cols>
  <sheetData>
    <row r="1" spans="1:6" ht="21" customHeight="1">
      <c r="A1" s="7" t="s">
        <v>40</v>
      </c>
    </row>
    <row r="3" spans="1:6" ht="13.5" customHeight="1">
      <c r="A3" s="8" t="s">
        <v>41</v>
      </c>
      <c r="B3" s="8">
        <f>SUM(Purchases!C:C)</f>
        <v>602195</v>
      </c>
      <c r="E3" s="8" t="s">
        <v>42</v>
      </c>
      <c r="F3" s="8" t="s">
        <v>43</v>
      </c>
    </row>
    <row r="4" spans="1:6" ht="13.5" customHeight="1">
      <c r="A4" s="9" t="s">
        <v>44</v>
      </c>
      <c r="B4" s="10">
        <f>SUMIFS(Sales!C:C, Sales!I:I, "Completed")</f>
        <v>548551</v>
      </c>
      <c r="E4" s="9" t="str">
        <f>PartnerShares!A3</f>
        <v>Rajna</v>
      </c>
      <c r="F4" s="10">
        <f>PartnerShares!B3</f>
        <v>0.33339999999999997</v>
      </c>
    </row>
    <row r="5" spans="1:6" ht="13.5" customHeight="1">
      <c r="A5" s="11" t="s">
        <v>45</v>
      </c>
      <c r="B5" s="12">
        <f>SUM(Sales!C:C)</f>
        <v>571491</v>
      </c>
      <c r="E5" s="11" t="str">
        <f>PartnerShares!A4</f>
        <v>Anoop</v>
      </c>
      <c r="F5" s="12">
        <f>PartnerShares!B4</f>
        <v>0.3332</v>
      </c>
    </row>
    <row r="6" spans="1:6" ht="13.5" customHeight="1">
      <c r="A6" s="9" t="s">
        <v>46</v>
      </c>
      <c r="B6" s="10">
        <f>B4-B3</f>
        <v>-53644</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43905.993333333347</v>
      </c>
      <c r="C10" s="9"/>
    </row>
    <row r="11" spans="1:6" ht="13.5" customHeight="1">
      <c r="A11" s="11" t="s">
        <v>50</v>
      </c>
      <c r="B11" s="14">
        <f>PartnerShares!H9</f>
        <v>64283.003333333341</v>
      </c>
      <c r="C11" s="11"/>
    </row>
    <row r="12" spans="1:6" ht="13.5" customHeight="1">
      <c r="A12" s="9" t="s">
        <v>51</v>
      </c>
      <c r="B12" s="13">
        <f>PartnerShares!H10</f>
        <v>-108188.99666666666</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262941</v>
      </c>
      <c r="C18" s="10">
        <f>PartnerShares!C8</f>
        <v>200731.66666666666</v>
      </c>
      <c r="D18" s="10">
        <f>PartnerShares!D8</f>
        <v>62209.333333333343</v>
      </c>
      <c r="E18" s="10">
        <f>IFERROR(SUMIFS(PartnerShares!$E$14:$E$500,PartnerShares!$D$14:$D$500,$A18,PartnerShares!$B$14:$B$500,"Contribution"),0)-IFERROR(SUMIFS(PartnerShares!$E$14:$E$500,PartnerShares!$C$14:$C$500,$A18,PartnerShares!$B$14:$B$500,"Contribution"),0)</f>
        <v>18303.34</v>
      </c>
      <c r="F18" s="13">
        <f>D18-E18</f>
        <v>43905.993333333347</v>
      </c>
      <c r="G18" s="16" t="str">
        <f>IF(ROUND(F18,0)&gt;0,"Receive ₹"&amp;TEXT(ABS(F18),"#,##0"),IF(ROUND(F18,0)&lt;0,"Pay ₹"&amp;TEXT(ABS(F18),"#,##0"),"✓ Settled"))</f>
        <v>Receive ₹43,906</v>
      </c>
    </row>
    <row r="19" spans="1:7" ht="13.5" customHeight="1">
      <c r="A19" s="11" t="str">
        <f>PartnerShares!A9</f>
        <v>Anoop</v>
      </c>
      <c r="B19" s="12">
        <f>PartnerShares!B9</f>
        <v>306654</v>
      </c>
      <c r="C19" s="12">
        <f>PartnerShares!C9</f>
        <v>200731.66666666666</v>
      </c>
      <c r="D19" s="12">
        <f>PartnerShares!D9</f>
        <v>105922.33333333334</v>
      </c>
      <c r="E19" s="12">
        <f>IFERROR(SUMIFS(PartnerShares!$E$14:$E$500,PartnerShares!$D$14:$D$500,$A19,PartnerShares!$B$14:$B$500,"Contribution"),0)-IFERROR(SUMIFS(PartnerShares!$E$14:$E$500,PartnerShares!$C$14:$C$500,$A19,PartnerShares!$B$14:$B$500,"Contribution"),0)</f>
        <v>41639.33</v>
      </c>
      <c r="F19" s="14">
        <f>D19-E19</f>
        <v>64283.003333333341</v>
      </c>
      <c r="G19" s="17" t="str">
        <f>IF(ROUND(F19,0)&gt;0,"Receive ₹"&amp;TEXT(ABS(F19),"#,##0"),IF(ROUND(F19,0)&lt;0,"Pay ₹"&amp;TEXT(ABS(F19),"#,##0"),"✓ Settled"))</f>
        <v>Receive ₹64,283</v>
      </c>
    </row>
    <row r="20" spans="1:7" ht="13.5" customHeight="1">
      <c r="A20" s="9" t="str">
        <f>PartnerShares!A10</f>
        <v>Rameez</v>
      </c>
      <c r="B20" s="10">
        <f>PartnerShares!B10</f>
        <v>32600</v>
      </c>
      <c r="C20" s="10">
        <f>PartnerShares!C10</f>
        <v>200731.66666666666</v>
      </c>
      <c r="D20" s="10">
        <f>PartnerShares!D10</f>
        <v>-168131.66666666666</v>
      </c>
      <c r="E20" s="10">
        <f>IFERROR(SUMIFS(PartnerShares!$E$14:$E$500,PartnerShares!$D$14:$D$500,$A20,PartnerShares!$B$14:$B$500,"Contribution"),0)-IFERROR(SUMIFS(PartnerShares!$E$14:$E$500,PartnerShares!$C$14:$C$500,$A20,PartnerShares!$B$14:$B$500,"Contribution"),0)</f>
        <v>-59942.67</v>
      </c>
      <c r="F20" s="13">
        <f>D20-E20</f>
        <v>-108188.99666666666</v>
      </c>
      <c r="G20" s="17" t="str">
        <f>IF(ROUND(F20,0)&gt;0,"Receive ₹"&amp;TEXT(ABS(F20),"#,##0"),IF(ROUND(F20,0)&lt;0,"Pay ₹"&amp;TEXT(ABS(F20),"#,##0"),"✓ Settled"))</f>
        <v>Pay ₹108,189</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479698</v>
      </c>
      <c r="C26" s="10">
        <f>'Cash Pool'!D4</f>
        <v>182886.90339999998</v>
      </c>
      <c r="D26" s="10">
        <f>'Cash Pool'!E4</f>
        <v>296811.09660000005</v>
      </c>
      <c r="E26" s="10">
        <f>'Cash Pool'!F4</f>
        <v>-137310.02600000001</v>
      </c>
      <c r="F26" s="13">
        <f>'Cash Pool'!G4</f>
        <v>159501.07060000004</v>
      </c>
      <c r="G26" s="17" t="str">
        <f>IF(ROUND(F26,0)&gt;0,"Pay ₹"&amp;TEXT(ABS(F26),"#,##0"),IF(ROUND(F26,0)&lt;0,"Receive ₹"&amp;TEXT(ABS(F26),"#,##0"),"✓ Settled"))</f>
        <v>Pay ₹159,501</v>
      </c>
    </row>
    <row r="27" spans="1:7" ht="13.5" customHeight="1">
      <c r="A27" s="11" t="str">
        <f>'Cash Pool'!A5</f>
        <v>Anoop</v>
      </c>
      <c r="B27" s="12">
        <f>'Cash Pool'!B5</f>
        <v>55323</v>
      </c>
      <c r="C27" s="12">
        <f>'Cash Pool'!D5</f>
        <v>182777.19320000001</v>
      </c>
      <c r="D27" s="12">
        <f>'Cash Pool'!E5</f>
        <v>-127454.19320000001</v>
      </c>
      <c r="E27" s="12">
        <f>'Cash Pool'!F5</f>
        <v>71587.042000000001</v>
      </c>
      <c r="F27" s="14">
        <f>'Cash Pool'!G5</f>
        <v>-55867.151200000008</v>
      </c>
      <c r="G27" s="18" t="str">
        <f>IF(ROUND(F27,0)&gt;0,"Pay ₹"&amp;TEXT(ABS(F27),"#,##0"),IF(ROUND(F27,0)&lt;0,"Receive ₹"&amp;TEXT(ABS(F27),"#,##0"),"✓ Settled"))</f>
        <v>Receive ₹55,867</v>
      </c>
    </row>
    <row r="28" spans="1:7" ht="13.5" customHeight="1">
      <c r="A28" s="9" t="str">
        <f>'Cash Pool'!A6</f>
        <v>Rameez</v>
      </c>
      <c r="B28" s="10">
        <f>'Cash Pool'!B6</f>
        <v>12530</v>
      </c>
      <c r="C28" s="10">
        <f>'Cash Pool'!D6</f>
        <v>182886.90339999998</v>
      </c>
      <c r="D28" s="10">
        <f>'Cash Pool'!E6</f>
        <v>-170356.90339999998</v>
      </c>
      <c r="E28" s="10">
        <f>'Cash Pool'!F6</f>
        <v>65722.984000000011</v>
      </c>
      <c r="F28" s="13">
        <f>'Cash Pool'!G6</f>
        <v>-104633.91939999997</v>
      </c>
      <c r="G28" s="16" t="str">
        <f>IF(ROUND(F28,0)&gt;0,"Pay ₹"&amp;TEXT(ABS(F28),"#,##0"),IF(ROUND(F28,0)&lt;0,"Receive ₹"&amp;TEXT(ABS(F28),"#,##0"),"✓ Settled"))</f>
        <v>Receive ₹104,634</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92" t="s">
        <v>67</v>
      </c>
      <c r="B1" s="92"/>
      <c r="C1" s="92"/>
      <c r="D1" s="92"/>
      <c r="E1" s="92"/>
      <c r="F1" s="92"/>
      <c r="G1" s="92"/>
      <c r="H1" s="92"/>
    </row>
    <row r="3" spans="1:8" ht="15" customHeight="1">
      <c r="A3" s="19" t="s">
        <v>68</v>
      </c>
      <c r="B3" s="20">
        <f ca="1">TODAY()</f>
        <v>46266</v>
      </c>
    </row>
    <row r="5" spans="1:8" ht="15" customHeight="1">
      <c r="A5" s="19" t="s">
        <v>41</v>
      </c>
      <c r="B5" s="21">
        <f>Summary!B3</f>
        <v>602195</v>
      </c>
      <c r="D5" s="19" t="s">
        <v>69</v>
      </c>
      <c r="E5" s="21">
        <f>Summary!B4</f>
        <v>548551</v>
      </c>
    </row>
    <row r="6" spans="1:8" ht="15" customHeight="1">
      <c r="A6" s="19" t="s">
        <v>70</v>
      </c>
      <c r="B6" s="21">
        <f>Summary!B6</f>
        <v>-53644</v>
      </c>
      <c r="D6" s="19" t="s">
        <v>71</v>
      </c>
      <c r="E6" s="21">
        <f>SUMIFS(INVENTORY!K:K, INVENTORY!N:N, "&lt;&gt;Sold Out")</f>
        <v>189190.34666666665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464</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266</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54393</v>
      </c>
      <c r="D14" s="21">
        <f t="shared" si="0"/>
        <v>49944</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65156</v>
      </c>
      <c r="D16" s="21">
        <f t="shared" si="0"/>
        <v>-37044</v>
      </c>
    </row>
    <row r="17" spans="1:4" ht="15" customHeight="1">
      <c r="A17" s="26" t="s">
        <v>88</v>
      </c>
      <c r="B17" s="27">
        <f>IFERROR(SUMPRODUCT((TEXT(Purchases!$A$2:$A$998,"MMM")=$A17)*(YEAR(Purchases!$A$2:$A$998)=$B$7)*Purchases!$C$2:$C$998),0)</f>
        <v>45848</v>
      </c>
      <c r="C17" s="27">
        <f>IFERROR(SUMPRODUCT((TEXT(Sales!$A$2:$A$993,"MMM")=$A17)*(YEAR(Sales!$A$2:$A$993)=$B$7)*Sales!$C$2:$C$993),0)</f>
        <v>78068</v>
      </c>
      <c r="D17" s="27">
        <f t="shared" si="0"/>
        <v>32220</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360</v>
      </c>
      <c r="H47" s="30">
        <f>SUMIF(INVENTORY!C:C, F47, INVENTORY!G:G)</f>
        <v>180</v>
      </c>
      <c r="J47" s="30" t="s">
        <v>96</v>
      </c>
      <c r="K47" s="31">
        <f t="array" ref="K47">SUMPRODUCT((INVENTORY!$C$2:$C$476=J47)*(INVENTORY!$D$2:$D$476)*(INVENTORY!$G$2:$G$476))</f>
        <v>69573</v>
      </c>
    </row>
    <row r="48" spans="6:11" ht="15" customHeight="1">
      <c r="F48" s="29" t="s">
        <v>96</v>
      </c>
      <c r="G48" s="30">
        <f>SUMIF(INVENTORY!C:C, F48, INVENTORY!F:F)</f>
        <v>99</v>
      </c>
      <c r="H48" s="30">
        <f>SUMIF(INVENTORY!C:C, F48, INVENTORY!G:G)</f>
        <v>65</v>
      </c>
      <c r="J48" s="30" t="s">
        <v>95</v>
      </c>
      <c r="K48" s="31">
        <f t="array" ref="K48">SUMPRODUCT((INVENTORY!$C$2:$C$476=J48)*(INVENTORY!$D$2:$D$476)*(INVENTORY!$G$2:$G$476))</f>
        <v>128214.14666666667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D114" sqref="D114"/>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1093</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1123</v>
      </c>
    </row>
    <row r="97" spans="1:4" ht="15" customHeight="1">
      <c r="A97" s="38">
        <v>46218</v>
      </c>
      <c r="B97" s="39" t="s">
        <v>49</v>
      </c>
      <c r="C97" s="40">
        <v>1375</v>
      </c>
      <c r="D97" s="39" t="s">
        <v>1124</v>
      </c>
    </row>
    <row r="98" spans="1:4" ht="15" customHeight="1">
      <c r="A98" s="35">
        <v>46219</v>
      </c>
      <c r="B98" s="36" t="s">
        <v>49</v>
      </c>
      <c r="C98" s="37">
        <v>189</v>
      </c>
      <c r="D98" s="36" t="s">
        <v>1125</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1276</v>
      </c>
    </row>
    <row r="108" spans="1:4" ht="15" customHeight="1">
      <c r="A108" s="35">
        <v>46246</v>
      </c>
      <c r="B108" s="36" t="s">
        <v>49</v>
      </c>
      <c r="C108" s="37">
        <v>184</v>
      </c>
      <c r="D108" s="36" t="s">
        <v>119</v>
      </c>
    </row>
    <row r="109" spans="1:4" ht="15" customHeight="1">
      <c r="A109" s="38">
        <v>46249</v>
      </c>
      <c r="B109" s="39" t="s">
        <v>49</v>
      </c>
      <c r="C109" s="40">
        <v>320</v>
      </c>
      <c r="D109" s="39" t="s">
        <v>1276</v>
      </c>
    </row>
    <row r="110" spans="1:4" ht="15" customHeight="1">
      <c r="A110" s="35">
        <v>46259</v>
      </c>
      <c r="B110" s="36" t="s">
        <v>50</v>
      </c>
      <c r="C110" s="37">
        <v>3046</v>
      </c>
      <c r="D110" s="36" t="s">
        <v>1332</v>
      </c>
    </row>
    <row r="111" spans="1:4" ht="15" customHeight="1">
      <c r="A111" s="38">
        <v>46262</v>
      </c>
      <c r="B111" s="39" t="s">
        <v>49</v>
      </c>
      <c r="C111" s="40">
        <v>50</v>
      </c>
      <c r="D111" s="39" t="s">
        <v>119</v>
      </c>
    </row>
    <row r="112" spans="1:4" ht="15" customHeight="1">
      <c r="A112" s="35">
        <v>46262</v>
      </c>
      <c r="B112" s="36" t="s">
        <v>50</v>
      </c>
      <c r="C112" s="37">
        <v>31960</v>
      </c>
      <c r="D112" s="36" t="s">
        <v>118</v>
      </c>
    </row>
    <row r="113" spans="1:4" ht="15" customHeight="1">
      <c r="A113" s="38">
        <v>46264</v>
      </c>
      <c r="B113" s="39" t="s">
        <v>50</v>
      </c>
      <c r="C113" s="40">
        <v>331</v>
      </c>
      <c r="D113" s="39" t="s">
        <v>119</v>
      </c>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I328"/>
  <sheetViews>
    <sheetView zoomScale="130" zoomScaleNormal="130" workbookViewId="0">
      <pane ySplit="1" topLeftCell="A6" activePane="bottomLeft" state="frozen"/>
      <selection pane="bottomLeft" activeCell="C281" sqref="C281"/>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hidden="1">
      <c r="A2" s="82">
        <v>45900</v>
      </c>
      <c r="B2" s="44" t="s">
        <v>146</v>
      </c>
      <c r="C2" s="83">
        <v>1250</v>
      </c>
      <c r="D2" s="44" t="s">
        <v>147</v>
      </c>
      <c r="E2" s="44" t="s">
        <v>49</v>
      </c>
      <c r="F2" s="44"/>
      <c r="G2" s="44"/>
      <c r="H2" s="44"/>
      <c r="I2" s="44" t="s">
        <v>148</v>
      </c>
    </row>
    <row r="3" spans="1:9" ht="14" hidden="1">
      <c r="A3" s="84">
        <v>45900</v>
      </c>
      <c r="B3" s="45" t="s">
        <v>149</v>
      </c>
      <c r="C3" s="85">
        <v>1600</v>
      </c>
      <c r="D3" s="45" t="s">
        <v>150</v>
      </c>
      <c r="E3" s="45" t="s">
        <v>49</v>
      </c>
      <c r="F3" s="45"/>
      <c r="G3" s="45"/>
      <c r="H3" s="45"/>
      <c r="I3" s="45" t="s">
        <v>148</v>
      </c>
    </row>
    <row r="4" spans="1:9" ht="14" hidden="1">
      <c r="A4" s="82">
        <v>45900</v>
      </c>
      <c r="B4" s="44" t="s">
        <v>151</v>
      </c>
      <c r="C4" s="83">
        <v>1800</v>
      </c>
      <c r="D4" s="44" t="s">
        <v>150</v>
      </c>
      <c r="E4" s="44" t="s">
        <v>49</v>
      </c>
      <c r="F4" s="44"/>
      <c r="G4" s="44"/>
      <c r="H4" s="44"/>
      <c r="I4" s="44" t="s">
        <v>148</v>
      </c>
    </row>
    <row r="5" spans="1:9" ht="14" hidden="1">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hidden="1">
      <c r="A7" s="84">
        <v>45900</v>
      </c>
      <c r="B7" s="45" t="s">
        <v>154</v>
      </c>
      <c r="C7" s="85">
        <v>750</v>
      </c>
      <c r="D7" s="45" t="s">
        <v>147</v>
      </c>
      <c r="E7" s="45" t="s">
        <v>49</v>
      </c>
      <c r="F7" s="45"/>
      <c r="G7" s="45"/>
      <c r="H7" s="45"/>
      <c r="I7" s="45" t="s">
        <v>148</v>
      </c>
    </row>
    <row r="8" spans="1:9" ht="14" hidden="1">
      <c r="A8" s="82">
        <v>45900</v>
      </c>
      <c r="B8" s="44" t="s">
        <v>155</v>
      </c>
      <c r="C8" s="83">
        <v>3600</v>
      </c>
      <c r="D8" s="44" t="s">
        <v>147</v>
      </c>
      <c r="E8" s="44" t="s">
        <v>49</v>
      </c>
      <c r="F8" s="44"/>
      <c r="G8" s="44"/>
      <c r="H8" s="44"/>
      <c r="I8" s="44" t="s">
        <v>148</v>
      </c>
    </row>
    <row r="9" spans="1:9" ht="14" hidden="1">
      <c r="A9" s="84">
        <v>45901</v>
      </c>
      <c r="B9" s="45" t="s">
        <v>155</v>
      </c>
      <c r="C9" s="85">
        <v>1000</v>
      </c>
      <c r="D9" s="45" t="s">
        <v>147</v>
      </c>
      <c r="E9" s="45" t="s">
        <v>49</v>
      </c>
      <c r="F9" s="45"/>
      <c r="G9" s="45"/>
      <c r="H9" s="45"/>
      <c r="I9" s="45" t="s">
        <v>148</v>
      </c>
    </row>
    <row r="10" spans="1:9" ht="14" hidden="1">
      <c r="A10" s="82">
        <v>45902</v>
      </c>
      <c r="B10" s="44" t="s">
        <v>156</v>
      </c>
      <c r="C10" s="83">
        <v>2000</v>
      </c>
      <c r="D10" s="44" t="s">
        <v>147</v>
      </c>
      <c r="E10" s="44" t="s">
        <v>49</v>
      </c>
      <c r="F10" s="44"/>
      <c r="G10" s="44"/>
      <c r="H10" s="44"/>
      <c r="I10" s="44" t="s">
        <v>148</v>
      </c>
    </row>
    <row r="11" spans="1:9" ht="14" hidden="1">
      <c r="A11" s="84">
        <v>45903</v>
      </c>
      <c r="B11" s="45" t="s">
        <v>157</v>
      </c>
      <c r="C11" s="85">
        <v>3400</v>
      </c>
      <c r="D11" s="45" t="s">
        <v>147</v>
      </c>
      <c r="E11" s="45" t="s">
        <v>49</v>
      </c>
      <c r="F11" s="45"/>
      <c r="G11" s="45"/>
      <c r="H11" s="45"/>
      <c r="I11" s="45" t="s">
        <v>148</v>
      </c>
    </row>
    <row r="12" spans="1:9" ht="14" hidden="1">
      <c r="A12" s="82">
        <v>45904</v>
      </c>
      <c r="B12" s="44" t="s">
        <v>158</v>
      </c>
      <c r="C12" s="83">
        <v>2500</v>
      </c>
      <c r="D12" s="44" t="s">
        <v>159</v>
      </c>
      <c r="E12" s="44" t="s">
        <v>49</v>
      </c>
      <c r="F12" s="44"/>
      <c r="G12" s="44"/>
      <c r="H12" s="44"/>
      <c r="I12" s="44" t="s">
        <v>148</v>
      </c>
    </row>
    <row r="13" spans="1:9" ht="14" hidden="1">
      <c r="A13" s="84">
        <v>45905</v>
      </c>
      <c r="B13" s="45" t="s">
        <v>160</v>
      </c>
      <c r="C13" s="85">
        <v>4000</v>
      </c>
      <c r="D13" s="45" t="s">
        <v>147</v>
      </c>
      <c r="E13" s="45" t="s">
        <v>49</v>
      </c>
      <c r="F13" s="45"/>
      <c r="G13" s="45"/>
      <c r="H13" s="45"/>
      <c r="I13" s="45" t="s">
        <v>148</v>
      </c>
    </row>
    <row r="14" spans="1:9" ht="14" hidden="1">
      <c r="A14" s="82">
        <v>45906</v>
      </c>
      <c r="B14" s="44" t="s">
        <v>161</v>
      </c>
      <c r="C14" s="83">
        <v>8000</v>
      </c>
      <c r="D14" s="44" t="s">
        <v>147</v>
      </c>
      <c r="E14" s="44" t="s">
        <v>49</v>
      </c>
      <c r="F14" s="44"/>
      <c r="G14" s="44"/>
      <c r="H14" s="44"/>
      <c r="I14" s="44" t="s">
        <v>148</v>
      </c>
    </row>
    <row r="15" spans="1:9" ht="14" hidden="1">
      <c r="A15" s="84">
        <v>45907</v>
      </c>
      <c r="B15" s="45" t="s">
        <v>152</v>
      </c>
      <c r="C15" s="85">
        <v>1300</v>
      </c>
      <c r="D15" s="45" t="s">
        <v>162</v>
      </c>
      <c r="E15" s="45" t="s">
        <v>49</v>
      </c>
      <c r="F15" s="45"/>
      <c r="G15" s="45"/>
      <c r="H15" s="45"/>
      <c r="I15" s="45" t="s">
        <v>148</v>
      </c>
    </row>
    <row r="16" spans="1:9" ht="14" hidden="1">
      <c r="A16" s="82">
        <v>45908</v>
      </c>
      <c r="B16" s="44" t="s">
        <v>163</v>
      </c>
      <c r="C16" s="83">
        <v>900</v>
      </c>
      <c r="D16" s="44" t="s">
        <v>150</v>
      </c>
      <c r="E16" s="44" t="s">
        <v>49</v>
      </c>
      <c r="F16" s="44"/>
      <c r="G16" s="44"/>
      <c r="H16" s="44"/>
      <c r="I16" s="44" t="s">
        <v>148</v>
      </c>
    </row>
    <row r="17" spans="1:9" ht="14" hidden="1">
      <c r="A17" s="84">
        <v>45909</v>
      </c>
      <c r="B17" s="45" t="s">
        <v>164</v>
      </c>
      <c r="C17" s="85">
        <v>750</v>
      </c>
      <c r="D17" s="45" t="s">
        <v>159</v>
      </c>
      <c r="E17" s="45" t="s">
        <v>49</v>
      </c>
      <c r="F17" s="45"/>
      <c r="G17" s="45"/>
      <c r="H17" s="45"/>
      <c r="I17" s="45" t="s">
        <v>148</v>
      </c>
    </row>
    <row r="18" spans="1:9" ht="14" hidden="1">
      <c r="A18" s="82">
        <v>45910</v>
      </c>
      <c r="B18" s="44" t="s">
        <v>165</v>
      </c>
      <c r="C18" s="83">
        <v>700</v>
      </c>
      <c r="D18" s="44" t="s">
        <v>159</v>
      </c>
      <c r="E18" s="44" t="s">
        <v>49</v>
      </c>
      <c r="F18" s="44"/>
      <c r="G18" s="44"/>
      <c r="H18" s="44"/>
      <c r="I18" s="44" t="s">
        <v>148</v>
      </c>
    </row>
    <row r="19" spans="1:9" ht="14" hidden="1">
      <c r="A19" s="84">
        <v>45911</v>
      </c>
      <c r="B19" s="45" t="s">
        <v>166</v>
      </c>
      <c r="C19" s="85">
        <v>2900</v>
      </c>
      <c r="D19" s="45" t="s">
        <v>147</v>
      </c>
      <c r="E19" s="45" t="s">
        <v>49</v>
      </c>
      <c r="F19" s="45"/>
      <c r="G19" s="45"/>
      <c r="H19" s="45"/>
      <c r="I19" s="45" t="s">
        <v>148</v>
      </c>
    </row>
    <row r="20" spans="1:9" ht="14" hidden="1">
      <c r="A20" s="82">
        <v>45912</v>
      </c>
      <c r="B20" s="44" t="s">
        <v>167</v>
      </c>
      <c r="C20" s="83">
        <v>2600</v>
      </c>
      <c r="D20" s="44" t="s">
        <v>159</v>
      </c>
      <c r="E20" s="44" t="s">
        <v>49</v>
      </c>
      <c r="F20" s="44"/>
      <c r="G20" s="44"/>
      <c r="H20" s="44"/>
      <c r="I20" s="44" t="s">
        <v>148</v>
      </c>
    </row>
    <row r="21" spans="1:9" ht="14" hidden="1">
      <c r="A21" s="84">
        <v>45913</v>
      </c>
      <c r="B21" s="45" t="s">
        <v>168</v>
      </c>
      <c r="C21" s="85">
        <v>900</v>
      </c>
      <c r="D21" s="45" t="s">
        <v>159</v>
      </c>
      <c r="E21" s="45" t="s">
        <v>49</v>
      </c>
      <c r="F21" s="45"/>
      <c r="G21" s="45"/>
      <c r="H21" s="45"/>
      <c r="I21" s="45" t="s">
        <v>148</v>
      </c>
    </row>
    <row r="22" spans="1:9" ht="14" hidden="1">
      <c r="A22" s="82">
        <v>45914</v>
      </c>
      <c r="B22" s="44" t="s">
        <v>169</v>
      </c>
      <c r="C22" s="83">
        <v>1000</v>
      </c>
      <c r="D22" s="44" t="s">
        <v>147</v>
      </c>
      <c r="E22" s="44" t="s">
        <v>49</v>
      </c>
      <c r="F22" s="44"/>
      <c r="G22" s="44"/>
      <c r="H22" s="44"/>
      <c r="I22" s="44" t="s">
        <v>148</v>
      </c>
    </row>
    <row r="23" spans="1:9" ht="14" hidden="1">
      <c r="A23" s="84">
        <v>45915</v>
      </c>
      <c r="B23" s="45" t="s">
        <v>170</v>
      </c>
      <c r="C23" s="85">
        <v>1800</v>
      </c>
      <c r="D23" s="45" t="s">
        <v>147</v>
      </c>
      <c r="E23" s="45" t="s">
        <v>49</v>
      </c>
      <c r="F23" s="45"/>
      <c r="G23" s="45"/>
      <c r="H23" s="45"/>
      <c r="I23" s="45" t="s">
        <v>148</v>
      </c>
    </row>
    <row r="24" spans="1:9" ht="14" hidden="1">
      <c r="A24" s="82">
        <v>45916</v>
      </c>
      <c r="B24" s="44" t="s">
        <v>171</v>
      </c>
      <c r="C24" s="83">
        <v>1600</v>
      </c>
      <c r="D24" s="44" t="s">
        <v>147</v>
      </c>
      <c r="E24" s="44" t="s">
        <v>49</v>
      </c>
      <c r="F24" s="44"/>
      <c r="G24" s="44"/>
      <c r="H24" s="44"/>
      <c r="I24" s="44" t="s">
        <v>148</v>
      </c>
    </row>
    <row r="25" spans="1:9" ht="14" hidden="1">
      <c r="A25" s="84">
        <v>45917</v>
      </c>
      <c r="B25" s="45" t="s">
        <v>172</v>
      </c>
      <c r="C25" s="85">
        <v>800</v>
      </c>
      <c r="D25" s="45" t="s">
        <v>150</v>
      </c>
      <c r="E25" s="45" t="s">
        <v>49</v>
      </c>
      <c r="F25" s="45"/>
      <c r="G25" s="45"/>
      <c r="H25" s="45"/>
      <c r="I25" s="45" t="s">
        <v>148</v>
      </c>
    </row>
    <row r="26" spans="1:9" ht="14" hidden="1">
      <c r="A26" s="82">
        <v>45917</v>
      </c>
      <c r="B26" s="44" t="s">
        <v>172</v>
      </c>
      <c r="C26" s="83">
        <v>1300</v>
      </c>
      <c r="D26" s="44" t="s">
        <v>150</v>
      </c>
      <c r="E26" s="44" t="s">
        <v>49</v>
      </c>
      <c r="F26" s="44"/>
      <c r="G26" s="44"/>
      <c r="H26" s="44"/>
      <c r="I26" s="44" t="s">
        <v>148</v>
      </c>
    </row>
    <row r="27" spans="1:9" ht="14" hidden="1">
      <c r="A27" s="84">
        <v>45918</v>
      </c>
      <c r="B27" s="45" t="s">
        <v>173</v>
      </c>
      <c r="C27" s="85">
        <v>1500</v>
      </c>
      <c r="D27" s="45" t="s">
        <v>147</v>
      </c>
      <c r="E27" s="45" t="s">
        <v>49</v>
      </c>
      <c r="F27" s="45"/>
      <c r="G27" s="45"/>
      <c r="H27" s="45"/>
      <c r="I27" s="45" t="s">
        <v>148</v>
      </c>
    </row>
    <row r="28" spans="1:9" ht="14" hidden="1">
      <c r="A28" s="82">
        <v>45919</v>
      </c>
      <c r="B28" s="44" t="s">
        <v>174</v>
      </c>
      <c r="C28" s="83">
        <v>1400</v>
      </c>
      <c r="D28" s="44" t="s">
        <v>147</v>
      </c>
      <c r="E28" s="44" t="s">
        <v>49</v>
      </c>
      <c r="F28" s="44"/>
      <c r="G28" s="44"/>
      <c r="H28" s="44"/>
      <c r="I28" s="44" t="s">
        <v>148</v>
      </c>
    </row>
    <row r="29" spans="1:9" ht="14" hidden="1">
      <c r="A29" s="84">
        <v>45920</v>
      </c>
      <c r="B29" s="45" t="s">
        <v>175</v>
      </c>
      <c r="C29" s="85">
        <v>3500</v>
      </c>
      <c r="D29" s="45" t="s">
        <v>147</v>
      </c>
      <c r="E29" s="45" t="s">
        <v>49</v>
      </c>
      <c r="F29" s="45"/>
      <c r="G29" s="45"/>
      <c r="H29" s="45"/>
      <c r="I29" s="45" t="s">
        <v>148</v>
      </c>
    </row>
    <row r="30" spans="1:9" ht="14" hidden="1">
      <c r="A30" s="82">
        <v>45921</v>
      </c>
      <c r="B30" s="44" t="s">
        <v>176</v>
      </c>
      <c r="C30" s="83">
        <v>2400</v>
      </c>
      <c r="D30" s="44" t="s">
        <v>150</v>
      </c>
      <c r="E30" s="44" t="s">
        <v>49</v>
      </c>
      <c r="F30" s="44"/>
      <c r="G30" s="44"/>
      <c r="H30" s="44"/>
      <c r="I30" s="44" t="s">
        <v>148</v>
      </c>
    </row>
    <row r="31" spans="1:9" ht="14" hidden="1">
      <c r="A31" s="84">
        <v>45922</v>
      </c>
      <c r="B31" s="45" t="s">
        <v>177</v>
      </c>
      <c r="C31" s="85">
        <v>1000</v>
      </c>
      <c r="D31" s="45" t="s">
        <v>150</v>
      </c>
      <c r="E31" s="45" t="s">
        <v>49</v>
      </c>
      <c r="F31" s="45"/>
      <c r="G31" s="45"/>
      <c r="H31" s="45"/>
      <c r="I31" s="45" t="s">
        <v>148</v>
      </c>
    </row>
    <row r="32" spans="1:9" ht="14" hidden="1">
      <c r="A32" s="82">
        <v>45924</v>
      </c>
      <c r="B32" s="44" t="s">
        <v>178</v>
      </c>
      <c r="C32" s="83">
        <v>2500</v>
      </c>
      <c r="D32" s="44" t="s">
        <v>162</v>
      </c>
      <c r="E32" s="44" t="s">
        <v>49</v>
      </c>
      <c r="F32" s="44"/>
      <c r="G32" s="44"/>
      <c r="H32" s="44"/>
      <c r="I32" s="44" t="s">
        <v>148</v>
      </c>
    </row>
    <row r="33" spans="1:9" ht="14" hidden="1">
      <c r="A33" s="84">
        <v>45924</v>
      </c>
      <c r="B33" s="45" t="s">
        <v>179</v>
      </c>
      <c r="C33" s="85">
        <v>9250</v>
      </c>
      <c r="D33" s="45" t="s">
        <v>162</v>
      </c>
      <c r="E33" s="45" t="s">
        <v>49</v>
      </c>
      <c r="F33" s="45"/>
      <c r="G33" s="45"/>
      <c r="H33" s="45"/>
      <c r="I33" s="45" t="s">
        <v>148</v>
      </c>
    </row>
    <row r="34" spans="1:9" ht="14" hidden="1">
      <c r="A34" s="82">
        <v>45930</v>
      </c>
      <c r="B34" s="44" t="s">
        <v>169</v>
      </c>
      <c r="C34" s="83">
        <v>3800</v>
      </c>
      <c r="D34" s="44" t="s">
        <v>180</v>
      </c>
      <c r="E34" s="44" t="s">
        <v>51</v>
      </c>
      <c r="F34" s="44"/>
      <c r="G34" s="44"/>
      <c r="H34" s="44"/>
      <c r="I34" s="44" t="s">
        <v>148</v>
      </c>
    </row>
    <row r="35" spans="1:9" ht="14" hidden="1">
      <c r="A35" s="84">
        <v>45933.931944444397</v>
      </c>
      <c r="B35" s="45" t="s">
        <v>181</v>
      </c>
      <c r="C35" s="85">
        <v>800</v>
      </c>
      <c r="D35" s="45" t="s">
        <v>162</v>
      </c>
      <c r="E35" s="45" t="s">
        <v>49</v>
      </c>
      <c r="F35" s="45"/>
      <c r="G35" s="45"/>
      <c r="H35" s="45"/>
      <c r="I35" s="45" t="s">
        <v>148</v>
      </c>
    </row>
    <row r="36" spans="1:9" ht="14" hidden="1">
      <c r="A36" s="82">
        <v>45934.931944386597</v>
      </c>
      <c r="B36" s="44" t="s">
        <v>182</v>
      </c>
      <c r="C36" s="83">
        <v>1600</v>
      </c>
      <c r="D36" s="44" t="s">
        <v>147</v>
      </c>
      <c r="E36" s="44" t="s">
        <v>49</v>
      </c>
      <c r="F36" s="44"/>
      <c r="G36" s="44"/>
      <c r="H36" s="44"/>
      <c r="I36" s="44" t="s">
        <v>148</v>
      </c>
    </row>
    <row r="37" spans="1:9" ht="14" hidden="1">
      <c r="A37" s="84">
        <v>45935.931944386597</v>
      </c>
      <c r="B37" s="45" t="s">
        <v>183</v>
      </c>
      <c r="C37" s="85">
        <v>5900</v>
      </c>
      <c r="D37" s="45" t="s">
        <v>162</v>
      </c>
      <c r="E37" s="45" t="s">
        <v>49</v>
      </c>
      <c r="F37" s="45"/>
      <c r="G37" s="45"/>
      <c r="H37" s="45"/>
      <c r="I37" s="45" t="s">
        <v>148</v>
      </c>
    </row>
    <row r="38" spans="1:9" ht="14" hidden="1">
      <c r="A38" s="82">
        <v>45939.931944444397</v>
      </c>
      <c r="B38" s="44" t="s">
        <v>175</v>
      </c>
      <c r="C38" s="83">
        <v>3000</v>
      </c>
      <c r="D38" s="44" t="s">
        <v>162</v>
      </c>
      <c r="E38" s="44" t="s">
        <v>49</v>
      </c>
      <c r="F38" s="44"/>
      <c r="G38" s="44"/>
      <c r="H38" s="44"/>
      <c r="I38" s="44" t="s">
        <v>148</v>
      </c>
    </row>
    <row r="39" spans="1:9" ht="14" hidden="1">
      <c r="A39" s="84">
        <v>45939.931944444397</v>
      </c>
      <c r="B39" s="45" t="s">
        <v>184</v>
      </c>
      <c r="C39" s="85">
        <v>800</v>
      </c>
      <c r="D39" s="45" t="s">
        <v>162</v>
      </c>
      <c r="E39" s="45" t="s">
        <v>49</v>
      </c>
      <c r="F39" s="45"/>
      <c r="G39" s="45"/>
      <c r="H39" s="45"/>
      <c r="I39" s="45" t="s">
        <v>148</v>
      </c>
    </row>
    <row r="40" spans="1:9" ht="14" hidden="1">
      <c r="A40" s="82">
        <v>45945</v>
      </c>
      <c r="B40" s="44" t="s">
        <v>185</v>
      </c>
      <c r="C40" s="83">
        <v>1560</v>
      </c>
      <c r="D40" s="44" t="s">
        <v>162</v>
      </c>
      <c r="E40" s="44" t="s">
        <v>49</v>
      </c>
      <c r="F40" s="44"/>
      <c r="G40" s="44"/>
      <c r="H40" s="44"/>
      <c r="I40" s="44" t="s">
        <v>148</v>
      </c>
    </row>
    <row r="41" spans="1:9" ht="14" hidden="1">
      <c r="A41" s="84">
        <v>45946</v>
      </c>
      <c r="B41" s="45" t="s">
        <v>186</v>
      </c>
      <c r="C41" s="85">
        <v>1400</v>
      </c>
      <c r="D41" s="45" t="s">
        <v>162</v>
      </c>
      <c r="E41" s="45" t="s">
        <v>49</v>
      </c>
      <c r="F41" s="45"/>
      <c r="G41" s="45"/>
      <c r="H41" s="45"/>
      <c r="I41" s="45" t="s">
        <v>148</v>
      </c>
    </row>
    <row r="42" spans="1:9" ht="14" hidden="1">
      <c r="A42" s="82">
        <v>45946</v>
      </c>
      <c r="B42" s="44" t="s">
        <v>151</v>
      </c>
      <c r="C42" s="83">
        <v>3000</v>
      </c>
      <c r="D42" s="44" t="s">
        <v>162</v>
      </c>
      <c r="E42" s="44" t="s">
        <v>49</v>
      </c>
      <c r="F42" s="44"/>
      <c r="G42" s="44"/>
      <c r="H42" s="44"/>
      <c r="I42" s="44" t="s">
        <v>148</v>
      </c>
    </row>
    <row r="43" spans="1:9" ht="14" hidden="1">
      <c r="A43" s="84">
        <v>45947</v>
      </c>
      <c r="B43" s="45" t="s">
        <v>187</v>
      </c>
      <c r="C43" s="85">
        <v>1799</v>
      </c>
      <c r="D43" s="45" t="s">
        <v>162</v>
      </c>
      <c r="E43" s="45" t="s">
        <v>49</v>
      </c>
      <c r="F43" s="45"/>
      <c r="G43" s="45"/>
      <c r="H43" s="45"/>
      <c r="I43" s="45" t="s">
        <v>148</v>
      </c>
    </row>
    <row r="44" spans="1:9" ht="14" hidden="1">
      <c r="A44" s="82">
        <v>45948</v>
      </c>
      <c r="B44" s="44" t="s">
        <v>158</v>
      </c>
      <c r="C44" s="83">
        <v>1400</v>
      </c>
      <c r="D44" s="44" t="s">
        <v>162</v>
      </c>
      <c r="E44" s="44" t="s">
        <v>49</v>
      </c>
      <c r="F44" s="44"/>
      <c r="G44" s="44"/>
      <c r="H44" s="44"/>
      <c r="I44" s="44" t="s">
        <v>148</v>
      </c>
    </row>
    <row r="45" spans="1:9" ht="14" hidden="1">
      <c r="A45" s="84">
        <v>45949</v>
      </c>
      <c r="B45" s="45" t="s">
        <v>188</v>
      </c>
      <c r="C45" s="85">
        <v>1400</v>
      </c>
      <c r="D45" s="45" t="s">
        <v>162</v>
      </c>
      <c r="E45" s="45" t="s">
        <v>49</v>
      </c>
      <c r="F45" s="45"/>
      <c r="G45" s="45"/>
      <c r="H45" s="45"/>
      <c r="I45" s="45" t="s">
        <v>148</v>
      </c>
    </row>
    <row r="46" spans="1:9" ht="14" hidden="1">
      <c r="A46" s="82">
        <v>45950</v>
      </c>
      <c r="B46" s="44" t="s">
        <v>189</v>
      </c>
      <c r="C46" s="83">
        <v>600</v>
      </c>
      <c r="D46" s="44" t="s">
        <v>162</v>
      </c>
      <c r="E46" s="44" t="s">
        <v>49</v>
      </c>
      <c r="F46" s="44"/>
      <c r="G46" s="44"/>
      <c r="H46" s="44"/>
      <c r="I46" s="44" t="s">
        <v>148</v>
      </c>
    </row>
    <row r="47" spans="1:9" ht="14" hidden="1">
      <c r="A47" s="84">
        <v>45951</v>
      </c>
      <c r="B47" s="45" t="s">
        <v>190</v>
      </c>
      <c r="C47" s="85">
        <v>1000</v>
      </c>
      <c r="D47" s="45" t="s">
        <v>162</v>
      </c>
      <c r="E47" s="45" t="s">
        <v>49</v>
      </c>
      <c r="F47" s="45"/>
      <c r="G47" s="45"/>
      <c r="H47" s="45"/>
      <c r="I47" s="45" t="s">
        <v>148</v>
      </c>
    </row>
    <row r="48" spans="1:9" ht="14" hidden="1">
      <c r="A48" s="82">
        <v>45964</v>
      </c>
      <c r="B48" s="44" t="s">
        <v>189</v>
      </c>
      <c r="C48" s="83">
        <v>1500</v>
      </c>
      <c r="D48" s="44" t="s">
        <v>147</v>
      </c>
      <c r="E48" s="44" t="s">
        <v>49</v>
      </c>
      <c r="F48" s="44"/>
      <c r="G48" s="44"/>
      <c r="H48" s="44"/>
      <c r="I48" s="44" t="s">
        <v>148</v>
      </c>
    </row>
    <row r="49" spans="1:9" ht="14" hidden="1">
      <c r="A49" s="84">
        <v>45963</v>
      </c>
      <c r="B49" s="45" t="s">
        <v>189</v>
      </c>
      <c r="C49" s="85">
        <v>1600</v>
      </c>
      <c r="D49" s="45" t="s">
        <v>162</v>
      </c>
      <c r="E49" s="45" t="s">
        <v>49</v>
      </c>
      <c r="F49" s="45"/>
      <c r="G49" s="45"/>
      <c r="H49" s="45"/>
      <c r="I49" s="45" t="s">
        <v>148</v>
      </c>
    </row>
    <row r="50" spans="1:9" ht="14" hidden="1">
      <c r="A50" s="82">
        <v>45982</v>
      </c>
      <c r="B50" s="44" t="s">
        <v>191</v>
      </c>
      <c r="C50" s="83">
        <v>1600</v>
      </c>
      <c r="D50" s="44" t="s">
        <v>162</v>
      </c>
      <c r="E50" s="44" t="s">
        <v>49</v>
      </c>
      <c r="F50" s="44"/>
      <c r="G50" s="44"/>
      <c r="H50" s="44"/>
      <c r="I50" s="44" t="s">
        <v>148</v>
      </c>
    </row>
    <row r="51" spans="1:9" ht="14" hidden="1">
      <c r="A51" s="84">
        <v>45983</v>
      </c>
      <c r="B51" s="45" t="s">
        <v>192</v>
      </c>
      <c r="C51" s="85">
        <v>1400</v>
      </c>
      <c r="D51" s="45" t="s">
        <v>162</v>
      </c>
      <c r="E51" s="45" t="s">
        <v>49</v>
      </c>
      <c r="F51" s="45"/>
      <c r="G51" s="45"/>
      <c r="H51" s="45"/>
      <c r="I51" s="45" t="s">
        <v>148</v>
      </c>
    </row>
    <row r="52" spans="1:9" ht="14" hidden="1">
      <c r="A52" s="82">
        <v>45984</v>
      </c>
      <c r="B52" s="44" t="s">
        <v>193</v>
      </c>
      <c r="C52" s="83">
        <v>1600</v>
      </c>
      <c r="D52" s="44" t="s">
        <v>162</v>
      </c>
      <c r="E52" s="44" t="s">
        <v>49</v>
      </c>
      <c r="F52" s="44"/>
      <c r="G52" s="44"/>
      <c r="H52" s="44"/>
      <c r="I52" s="44" t="s">
        <v>148</v>
      </c>
    </row>
    <row r="53" spans="1:9" ht="14" hidden="1">
      <c r="A53" s="84">
        <v>45985</v>
      </c>
      <c r="B53" s="45" t="s">
        <v>191</v>
      </c>
      <c r="C53" s="85">
        <v>1600</v>
      </c>
      <c r="D53" s="45" t="s">
        <v>162</v>
      </c>
      <c r="E53" s="45" t="s">
        <v>49</v>
      </c>
      <c r="F53" s="46"/>
      <c r="G53" s="46"/>
      <c r="H53" s="46"/>
      <c r="I53" s="45" t="s">
        <v>148</v>
      </c>
    </row>
    <row r="54" spans="1:9" ht="13.5" hidden="1" customHeight="1">
      <c r="A54" s="82">
        <v>45986</v>
      </c>
      <c r="B54" s="44" t="s">
        <v>194</v>
      </c>
      <c r="C54" s="83">
        <v>4900</v>
      </c>
      <c r="D54" s="44" t="s">
        <v>162</v>
      </c>
      <c r="E54" s="44" t="s">
        <v>49</v>
      </c>
      <c r="F54" s="44"/>
      <c r="G54" s="44"/>
      <c r="H54" s="44" t="s">
        <v>195</v>
      </c>
      <c r="I54" s="44" t="s">
        <v>148</v>
      </c>
    </row>
    <row r="55" spans="1:9" ht="15.75" hidden="1" customHeight="1">
      <c r="A55" s="84">
        <v>45992</v>
      </c>
      <c r="B55" s="45" t="s">
        <v>196</v>
      </c>
      <c r="C55" s="85">
        <v>4500</v>
      </c>
      <c r="D55" s="45" t="s">
        <v>162</v>
      </c>
      <c r="E55" s="45" t="s">
        <v>49</v>
      </c>
      <c r="F55" s="46"/>
      <c r="G55" s="46"/>
      <c r="H55" s="46" t="s">
        <v>195</v>
      </c>
      <c r="I55" s="45" t="s">
        <v>148</v>
      </c>
    </row>
    <row r="56" spans="1:9" ht="13.5" hidden="1" customHeight="1">
      <c r="A56" s="82">
        <v>45992</v>
      </c>
      <c r="B56" s="44" t="s">
        <v>197</v>
      </c>
      <c r="C56" s="83">
        <v>1600</v>
      </c>
      <c r="D56" s="44" t="s">
        <v>162</v>
      </c>
      <c r="E56" s="44" t="s">
        <v>49</v>
      </c>
      <c r="F56" s="44"/>
      <c r="G56" s="44"/>
      <c r="H56" s="44" t="s">
        <v>198</v>
      </c>
      <c r="I56" s="44" t="s">
        <v>148</v>
      </c>
    </row>
    <row r="57" spans="1:9" ht="15.75" hidden="1" customHeight="1">
      <c r="A57" s="84">
        <v>45996</v>
      </c>
      <c r="B57" s="45" t="s">
        <v>199</v>
      </c>
      <c r="C57" s="85">
        <v>1500</v>
      </c>
      <c r="D57" s="45" t="s">
        <v>162</v>
      </c>
      <c r="E57" s="45" t="s">
        <v>49</v>
      </c>
      <c r="F57" s="46"/>
      <c r="G57" s="46"/>
      <c r="H57" s="46" t="s">
        <v>200</v>
      </c>
      <c r="I57" s="45" t="s">
        <v>148</v>
      </c>
    </row>
    <row r="58" spans="1:9" ht="42" hidden="1" customHeight="1">
      <c r="A58" s="82">
        <v>45996</v>
      </c>
      <c r="B58" s="44" t="s">
        <v>201</v>
      </c>
      <c r="C58" s="83">
        <v>7500</v>
      </c>
      <c r="D58" s="44" t="s">
        <v>162</v>
      </c>
      <c r="E58" s="44" t="s">
        <v>49</v>
      </c>
      <c r="F58" s="44"/>
      <c r="G58" s="44"/>
      <c r="H58" s="44" t="s">
        <v>202</v>
      </c>
      <c r="I58" s="44" t="s">
        <v>148</v>
      </c>
    </row>
    <row r="59" spans="1:9" ht="15.75" hidden="1" customHeight="1">
      <c r="A59" s="84">
        <v>45996</v>
      </c>
      <c r="B59" s="45" t="s">
        <v>173</v>
      </c>
      <c r="C59" s="85">
        <v>1400</v>
      </c>
      <c r="D59" s="45" t="s">
        <v>150</v>
      </c>
      <c r="E59" s="45" t="s">
        <v>49</v>
      </c>
      <c r="F59" s="46"/>
      <c r="G59" s="46"/>
      <c r="H59" s="46" t="s">
        <v>203</v>
      </c>
      <c r="I59" s="45" t="s">
        <v>148</v>
      </c>
    </row>
    <row r="60" spans="1:9" ht="13.5" hidden="1" customHeight="1">
      <c r="A60" s="82">
        <v>46007</v>
      </c>
      <c r="B60" s="44" t="s">
        <v>204</v>
      </c>
      <c r="C60" s="83">
        <v>699</v>
      </c>
      <c r="D60" s="44" t="s">
        <v>205</v>
      </c>
      <c r="E60" s="44" t="s">
        <v>49</v>
      </c>
      <c r="F60" s="44"/>
      <c r="G60" s="44"/>
      <c r="H60" s="44" t="s">
        <v>206</v>
      </c>
      <c r="I60" s="44" t="s">
        <v>148</v>
      </c>
    </row>
    <row r="61" spans="1:9" ht="15.75" hidden="1" customHeight="1">
      <c r="A61" s="84">
        <v>46008</v>
      </c>
      <c r="B61" s="45" t="s">
        <v>151</v>
      </c>
      <c r="C61" s="85">
        <v>1400</v>
      </c>
      <c r="D61" s="45" t="s">
        <v>180</v>
      </c>
      <c r="E61" s="45" t="s">
        <v>49</v>
      </c>
      <c r="F61" s="46" t="s">
        <v>207</v>
      </c>
      <c r="G61" s="46"/>
      <c r="H61" s="46" t="s">
        <v>208</v>
      </c>
      <c r="I61" s="45" t="s">
        <v>148</v>
      </c>
    </row>
    <row r="62" spans="1:9" ht="13.5" hidden="1" customHeight="1">
      <c r="A62" s="82">
        <v>46008</v>
      </c>
      <c r="B62" s="44" t="s">
        <v>209</v>
      </c>
      <c r="C62" s="83">
        <v>1380</v>
      </c>
      <c r="D62" s="44" t="s">
        <v>162</v>
      </c>
      <c r="E62" s="44" t="s">
        <v>49</v>
      </c>
      <c r="F62" s="44"/>
      <c r="G62" s="44"/>
      <c r="H62" s="44" t="s">
        <v>210</v>
      </c>
      <c r="I62" s="44" t="s">
        <v>148</v>
      </c>
    </row>
    <row r="63" spans="1:9" ht="15.75" hidden="1" customHeight="1">
      <c r="A63" s="84">
        <v>46008</v>
      </c>
      <c r="B63" s="45" t="s">
        <v>191</v>
      </c>
      <c r="C63" s="85">
        <v>1380</v>
      </c>
      <c r="D63" s="45" t="s">
        <v>162</v>
      </c>
      <c r="E63" s="45" t="s">
        <v>49</v>
      </c>
      <c r="F63" s="46"/>
      <c r="G63" s="46"/>
      <c r="H63" s="46" t="s">
        <v>211</v>
      </c>
      <c r="I63" s="45" t="s">
        <v>148</v>
      </c>
    </row>
    <row r="64" spans="1:9" ht="15.75" hidden="1" customHeight="1">
      <c r="A64" s="84">
        <v>46008</v>
      </c>
      <c r="B64" s="45" t="s">
        <v>173</v>
      </c>
      <c r="C64" s="85">
        <v>700</v>
      </c>
      <c r="D64" s="45" t="s">
        <v>162</v>
      </c>
      <c r="E64" s="45" t="s">
        <v>49</v>
      </c>
      <c r="F64" s="46"/>
      <c r="G64" s="46"/>
      <c r="H64" s="46" t="s">
        <v>212</v>
      </c>
      <c r="I64" s="45" t="s">
        <v>148</v>
      </c>
    </row>
    <row r="65" spans="1:9" ht="13.5" hidden="1" customHeight="1">
      <c r="A65" s="82">
        <v>46009</v>
      </c>
      <c r="B65" s="44" t="s">
        <v>177</v>
      </c>
      <c r="C65" s="83">
        <v>2100</v>
      </c>
      <c r="D65" s="44" t="s">
        <v>150</v>
      </c>
      <c r="E65" s="44" t="s">
        <v>49</v>
      </c>
      <c r="F65" s="44"/>
      <c r="G65" s="44"/>
      <c r="H65" s="44" t="s">
        <v>213</v>
      </c>
      <c r="I65" s="44" t="s">
        <v>148</v>
      </c>
    </row>
    <row r="66" spans="1:9" ht="15.75" hidden="1" customHeight="1">
      <c r="A66" s="84">
        <v>46010</v>
      </c>
      <c r="B66" s="45" t="s">
        <v>214</v>
      </c>
      <c r="C66" s="85">
        <v>1380</v>
      </c>
      <c r="D66" s="45" t="s">
        <v>180</v>
      </c>
      <c r="E66" s="45" t="s">
        <v>49</v>
      </c>
      <c r="F66" s="46"/>
      <c r="G66" s="46"/>
      <c r="H66" s="46" t="s">
        <v>211</v>
      </c>
      <c r="I66" s="45" t="s">
        <v>148</v>
      </c>
    </row>
    <row r="67" spans="1:9" ht="13.5" hidden="1" customHeight="1">
      <c r="A67" s="82">
        <v>46010</v>
      </c>
      <c r="B67" s="44" t="s">
        <v>215</v>
      </c>
      <c r="C67" s="83">
        <v>1000</v>
      </c>
      <c r="D67" s="44" t="s">
        <v>162</v>
      </c>
      <c r="E67" s="44" t="s">
        <v>49</v>
      </c>
      <c r="F67" s="44" t="s">
        <v>216</v>
      </c>
      <c r="G67" s="44"/>
      <c r="H67" s="44" t="s">
        <v>217</v>
      </c>
      <c r="I67" s="44" t="s">
        <v>148</v>
      </c>
    </row>
    <row r="68" spans="1:9" ht="31.5" hidden="1" customHeight="1">
      <c r="A68" s="84">
        <v>46011</v>
      </c>
      <c r="B68" s="45" t="s">
        <v>218</v>
      </c>
      <c r="C68" s="85">
        <v>3900</v>
      </c>
      <c r="D68" s="45" t="s">
        <v>162</v>
      </c>
      <c r="E68" s="45" t="s">
        <v>49</v>
      </c>
      <c r="F68" s="46"/>
      <c r="G68" s="46"/>
      <c r="H68" s="46" t="s">
        <v>219</v>
      </c>
      <c r="I68" s="45" t="s">
        <v>148</v>
      </c>
    </row>
    <row r="69" spans="1:9" ht="13.5" hidden="1" customHeight="1">
      <c r="A69" s="82">
        <v>46011</v>
      </c>
      <c r="B69" s="44" t="s">
        <v>220</v>
      </c>
      <c r="C69" s="83">
        <v>1400</v>
      </c>
      <c r="D69" s="44" t="s">
        <v>162</v>
      </c>
      <c r="E69" s="44" t="s">
        <v>49</v>
      </c>
      <c r="F69" s="44"/>
      <c r="G69" s="44"/>
      <c r="H69" s="44" t="s">
        <v>221</v>
      </c>
      <c r="I69" s="44" t="s">
        <v>148</v>
      </c>
    </row>
    <row r="70" spans="1:9" ht="13.5" hidden="1" customHeight="1">
      <c r="A70" s="82">
        <v>46011</v>
      </c>
      <c r="B70" s="44" t="s">
        <v>50</v>
      </c>
      <c r="C70" s="83">
        <v>1400</v>
      </c>
      <c r="D70" s="44" t="s">
        <v>150</v>
      </c>
      <c r="E70" s="44" t="s">
        <v>50</v>
      </c>
      <c r="F70" s="44"/>
      <c r="G70" s="44"/>
      <c r="H70" s="44" t="s">
        <v>222</v>
      </c>
      <c r="I70" s="44" t="s">
        <v>148</v>
      </c>
    </row>
    <row r="71" spans="1:9" ht="15.75" hidden="1" customHeight="1">
      <c r="A71" s="84">
        <v>46011</v>
      </c>
      <c r="B71" s="45" t="s">
        <v>199</v>
      </c>
      <c r="C71" s="85">
        <v>1400</v>
      </c>
      <c r="D71" s="45" t="s">
        <v>150</v>
      </c>
      <c r="E71" s="45" t="s">
        <v>49</v>
      </c>
      <c r="F71" s="46"/>
      <c r="G71" s="46"/>
      <c r="H71" s="46" t="s">
        <v>223</v>
      </c>
      <c r="I71" s="45" t="s">
        <v>148</v>
      </c>
    </row>
    <row r="72" spans="1:9" ht="27.75" hidden="1" customHeight="1">
      <c r="A72" s="82">
        <v>46011</v>
      </c>
      <c r="B72" s="44" t="s">
        <v>224</v>
      </c>
      <c r="C72" s="83">
        <v>3700</v>
      </c>
      <c r="D72" s="44" t="s">
        <v>162</v>
      </c>
      <c r="E72" s="44" t="s">
        <v>49</v>
      </c>
      <c r="F72" s="44"/>
      <c r="G72" s="44"/>
      <c r="H72" s="44" t="s">
        <v>225</v>
      </c>
      <c r="I72" s="44" t="s">
        <v>148</v>
      </c>
    </row>
    <row r="73" spans="1:9" ht="31.5" hidden="1" customHeight="1">
      <c r="A73" s="84">
        <v>46011</v>
      </c>
      <c r="B73" s="45" t="s">
        <v>226</v>
      </c>
      <c r="C73" s="85">
        <v>4529</v>
      </c>
      <c r="D73" s="45" t="s">
        <v>150</v>
      </c>
      <c r="E73" s="45" t="s">
        <v>50</v>
      </c>
      <c r="F73" s="46"/>
      <c r="G73" s="46"/>
      <c r="H73" s="46" t="s">
        <v>227</v>
      </c>
      <c r="I73" s="45" t="s">
        <v>148</v>
      </c>
    </row>
    <row r="74" spans="1:9" ht="13.5" hidden="1" customHeight="1">
      <c r="A74" s="82">
        <v>46013</v>
      </c>
      <c r="B74" s="44" t="s">
        <v>228</v>
      </c>
      <c r="C74" s="83">
        <v>580</v>
      </c>
      <c r="D74" s="44" t="s">
        <v>162</v>
      </c>
      <c r="E74" s="44" t="s">
        <v>49</v>
      </c>
      <c r="F74" s="44" t="s">
        <v>229</v>
      </c>
      <c r="G74" s="44"/>
      <c r="H74" s="44" t="s">
        <v>230</v>
      </c>
      <c r="I74" s="44" t="s">
        <v>148</v>
      </c>
    </row>
    <row r="75" spans="1:9" ht="15.75" hidden="1" customHeight="1">
      <c r="A75" s="84">
        <v>46013</v>
      </c>
      <c r="B75" s="45" t="s">
        <v>231</v>
      </c>
      <c r="C75" s="85">
        <v>1380</v>
      </c>
      <c r="D75" s="45" t="s">
        <v>162</v>
      </c>
      <c r="E75" s="45" t="s">
        <v>49</v>
      </c>
      <c r="F75" s="46"/>
      <c r="G75" s="46"/>
      <c r="H75" s="46" t="s">
        <v>203</v>
      </c>
      <c r="I75" s="45" t="s">
        <v>148</v>
      </c>
    </row>
    <row r="76" spans="1:9" ht="15.75" hidden="1" customHeight="1">
      <c r="A76" s="84">
        <v>46017</v>
      </c>
      <c r="B76" s="45" t="s">
        <v>232</v>
      </c>
      <c r="C76" s="85">
        <v>1380</v>
      </c>
      <c r="D76" s="45" t="s">
        <v>162</v>
      </c>
      <c r="E76" s="45" t="s">
        <v>49</v>
      </c>
      <c r="F76" s="46"/>
      <c r="G76" s="46"/>
      <c r="H76" s="46" t="s">
        <v>233</v>
      </c>
      <c r="I76" s="45" t="s">
        <v>148</v>
      </c>
    </row>
    <row r="77" spans="1:9" ht="13.5" hidden="1" customHeight="1">
      <c r="A77" s="82">
        <v>46017</v>
      </c>
      <c r="B77" s="44" t="s">
        <v>234</v>
      </c>
      <c r="C77" s="83">
        <v>1380</v>
      </c>
      <c r="D77" s="44" t="s">
        <v>162</v>
      </c>
      <c r="E77" s="44" t="s">
        <v>49</v>
      </c>
      <c r="F77" s="44"/>
      <c r="G77" s="44"/>
      <c r="H77" s="44" t="s">
        <v>235</v>
      </c>
      <c r="I77" s="44" t="s">
        <v>148</v>
      </c>
    </row>
    <row r="78" spans="1:9" ht="15.75" hidden="1" customHeight="1">
      <c r="A78" s="84">
        <v>46017</v>
      </c>
      <c r="B78" s="45" t="s">
        <v>189</v>
      </c>
      <c r="C78" s="85">
        <v>690</v>
      </c>
      <c r="D78" s="45" t="s">
        <v>150</v>
      </c>
      <c r="E78" s="45" t="s">
        <v>49</v>
      </c>
      <c r="F78" s="46"/>
      <c r="G78" s="46"/>
      <c r="H78" s="46" t="s">
        <v>236</v>
      </c>
      <c r="I78" s="45" t="s">
        <v>148</v>
      </c>
    </row>
    <row r="79" spans="1:9" ht="13.5" hidden="1" customHeight="1">
      <c r="A79" s="82">
        <v>46017</v>
      </c>
      <c r="B79" s="44" t="s">
        <v>189</v>
      </c>
      <c r="C79" s="83">
        <v>690</v>
      </c>
      <c r="D79" s="44" t="s">
        <v>150</v>
      </c>
      <c r="E79" s="44" t="s">
        <v>50</v>
      </c>
      <c r="F79" s="44"/>
      <c r="G79" s="44"/>
      <c r="H79" s="44" t="s">
        <v>236</v>
      </c>
      <c r="I79" s="44" t="s">
        <v>148</v>
      </c>
    </row>
    <row r="80" spans="1:9" ht="15.75" hidden="1" customHeight="1">
      <c r="A80" s="84">
        <v>46020</v>
      </c>
      <c r="B80" s="45" t="s">
        <v>161</v>
      </c>
      <c r="C80" s="85">
        <v>3200</v>
      </c>
      <c r="D80" s="45" t="s">
        <v>162</v>
      </c>
      <c r="E80" s="45" t="s">
        <v>49</v>
      </c>
      <c r="F80" s="46"/>
      <c r="G80" s="46"/>
      <c r="H80" s="46" t="s">
        <v>237</v>
      </c>
      <c r="I80" s="45" t="s">
        <v>148</v>
      </c>
    </row>
    <row r="81" spans="1:9" ht="13.5" hidden="1" customHeight="1">
      <c r="A81" s="82">
        <v>46024</v>
      </c>
      <c r="B81" s="44" t="s">
        <v>238</v>
      </c>
      <c r="C81" s="83">
        <v>2750</v>
      </c>
      <c r="D81" s="44" t="s">
        <v>162</v>
      </c>
      <c r="E81" s="44" t="s">
        <v>49</v>
      </c>
      <c r="F81" s="44"/>
      <c r="G81" s="44"/>
      <c r="H81" s="44" t="s">
        <v>239</v>
      </c>
      <c r="I81" s="44" t="s">
        <v>148</v>
      </c>
    </row>
    <row r="82" spans="1:9" ht="15.75" hidden="1" customHeight="1">
      <c r="A82" s="84">
        <v>46024</v>
      </c>
      <c r="B82" s="45" t="s">
        <v>240</v>
      </c>
      <c r="C82" s="85">
        <v>1400</v>
      </c>
      <c r="D82" s="45" t="s">
        <v>162</v>
      </c>
      <c r="E82" s="45" t="s">
        <v>49</v>
      </c>
      <c r="F82" s="46"/>
      <c r="G82" s="46"/>
      <c r="H82" s="46" t="s">
        <v>241</v>
      </c>
      <c r="I82" s="45" t="s">
        <v>148</v>
      </c>
    </row>
    <row r="83" spans="1:9" ht="13.5" hidden="1" customHeight="1">
      <c r="A83" s="82">
        <v>46024</v>
      </c>
      <c r="B83" s="44" t="s">
        <v>242</v>
      </c>
      <c r="C83" s="83">
        <v>1600</v>
      </c>
      <c r="D83" s="44" t="s">
        <v>162</v>
      </c>
      <c r="E83" s="44" t="s">
        <v>49</v>
      </c>
      <c r="F83" s="44"/>
      <c r="G83" s="44"/>
      <c r="H83" s="44" t="s">
        <v>243</v>
      </c>
      <c r="I83" s="44" t="s">
        <v>148</v>
      </c>
    </row>
    <row r="84" spans="1:9" ht="15.75" hidden="1" customHeight="1">
      <c r="A84" s="84">
        <v>46024</v>
      </c>
      <c r="B84" s="45" t="s">
        <v>51</v>
      </c>
      <c r="C84" s="85">
        <v>1200</v>
      </c>
      <c r="D84" s="45" t="s">
        <v>162</v>
      </c>
      <c r="E84" s="45" t="s">
        <v>51</v>
      </c>
      <c r="F84" s="46"/>
      <c r="G84" s="46"/>
      <c r="H84" s="46" t="s">
        <v>244</v>
      </c>
      <c r="I84" s="45" t="s">
        <v>148</v>
      </c>
    </row>
    <row r="85" spans="1:9" ht="13.5" hidden="1" customHeight="1">
      <c r="A85" s="82">
        <v>46027</v>
      </c>
      <c r="B85" s="44" t="s">
        <v>245</v>
      </c>
      <c r="C85" s="83">
        <v>1250</v>
      </c>
      <c r="D85" s="44" t="s">
        <v>162</v>
      </c>
      <c r="E85" s="44" t="s">
        <v>49</v>
      </c>
      <c r="F85" s="44"/>
      <c r="G85" s="44"/>
      <c r="H85" s="44" t="s">
        <v>246</v>
      </c>
      <c r="I85" s="44" t="s">
        <v>148</v>
      </c>
    </row>
    <row r="86" spans="1:9" ht="13.5" hidden="1" customHeight="1">
      <c r="A86" s="82">
        <v>46028</v>
      </c>
      <c r="B86" s="44" t="s">
        <v>247</v>
      </c>
      <c r="C86" s="83">
        <v>1380</v>
      </c>
      <c r="D86" s="44" t="s">
        <v>162</v>
      </c>
      <c r="E86" s="44" t="s">
        <v>49</v>
      </c>
      <c r="F86" s="44"/>
      <c r="G86" s="44"/>
      <c r="H86" s="44" t="s">
        <v>248</v>
      </c>
      <c r="I86" s="44" t="s">
        <v>148</v>
      </c>
    </row>
    <row r="87" spans="1:9" ht="15.75" hidden="1" customHeight="1">
      <c r="A87" s="84">
        <v>46029</v>
      </c>
      <c r="B87" s="45" t="s">
        <v>249</v>
      </c>
      <c r="C87" s="85">
        <v>1380</v>
      </c>
      <c r="D87" s="45" t="s">
        <v>162</v>
      </c>
      <c r="E87" s="45" t="s">
        <v>49</v>
      </c>
      <c r="F87" s="46"/>
      <c r="G87" s="46"/>
      <c r="H87" s="46" t="s">
        <v>235</v>
      </c>
      <c r="I87" s="45" t="s">
        <v>148</v>
      </c>
    </row>
    <row r="88" spans="1:9" ht="13.5" hidden="1" customHeight="1">
      <c r="A88" s="82">
        <v>46032</v>
      </c>
      <c r="B88" s="44" t="s">
        <v>250</v>
      </c>
      <c r="C88" s="83">
        <v>1100</v>
      </c>
      <c r="D88" s="44" t="s">
        <v>162</v>
      </c>
      <c r="E88" s="44" t="s">
        <v>49</v>
      </c>
      <c r="F88" s="44"/>
      <c r="G88" s="44"/>
      <c r="H88" s="44" t="s">
        <v>251</v>
      </c>
      <c r="I88" s="44" t="s">
        <v>148</v>
      </c>
    </row>
    <row r="89" spans="1:9" ht="15.75" hidden="1" customHeight="1">
      <c r="A89" s="84">
        <v>46033</v>
      </c>
      <c r="B89" s="45" t="s">
        <v>252</v>
      </c>
      <c r="C89" s="85">
        <v>1380</v>
      </c>
      <c r="D89" s="45" t="s">
        <v>162</v>
      </c>
      <c r="E89" s="45" t="s">
        <v>49</v>
      </c>
      <c r="F89" s="46"/>
      <c r="G89" s="46"/>
      <c r="H89" s="46" t="s">
        <v>203</v>
      </c>
      <c r="I89" s="45" t="s">
        <v>148</v>
      </c>
    </row>
    <row r="90" spans="1:9" ht="13.5" hidden="1" customHeight="1">
      <c r="A90" s="82">
        <v>46033</v>
      </c>
      <c r="B90" s="44" t="s">
        <v>253</v>
      </c>
      <c r="C90" s="83">
        <v>1100</v>
      </c>
      <c r="D90" s="44" t="s">
        <v>162</v>
      </c>
      <c r="E90" s="44" t="s">
        <v>49</v>
      </c>
      <c r="F90" s="44"/>
      <c r="G90" s="44"/>
      <c r="H90" s="44" t="s">
        <v>251</v>
      </c>
      <c r="I90" s="44" t="s">
        <v>148</v>
      </c>
    </row>
    <row r="91" spans="1:9" ht="15.75" hidden="1" customHeight="1">
      <c r="A91" s="84">
        <v>46034</v>
      </c>
      <c r="B91" s="45" t="s">
        <v>254</v>
      </c>
      <c r="C91" s="85">
        <v>1100</v>
      </c>
      <c r="D91" s="45" t="s">
        <v>162</v>
      </c>
      <c r="E91" s="45" t="s">
        <v>49</v>
      </c>
      <c r="F91" s="46"/>
      <c r="G91" s="46"/>
      <c r="H91" s="46" t="s">
        <v>251</v>
      </c>
      <c r="I91" s="45" t="s">
        <v>148</v>
      </c>
    </row>
    <row r="92" spans="1:9" ht="27.75" hidden="1" customHeight="1">
      <c r="A92" s="82">
        <v>46034</v>
      </c>
      <c r="B92" s="44" t="s">
        <v>255</v>
      </c>
      <c r="C92" s="83">
        <v>3000</v>
      </c>
      <c r="D92" s="44" t="s">
        <v>150</v>
      </c>
      <c r="E92" s="44" t="s">
        <v>51</v>
      </c>
      <c r="F92" s="44"/>
      <c r="G92" s="44"/>
      <c r="H92" s="44" t="s">
        <v>256</v>
      </c>
      <c r="I92" s="44" t="s">
        <v>148</v>
      </c>
    </row>
    <row r="93" spans="1:9" ht="15.75" hidden="1" customHeight="1">
      <c r="A93" s="84">
        <v>46035</v>
      </c>
      <c r="B93" s="45" t="s">
        <v>257</v>
      </c>
      <c r="C93" s="85">
        <v>1450</v>
      </c>
      <c r="D93" s="45" t="s">
        <v>147</v>
      </c>
      <c r="E93" s="45" t="s">
        <v>49</v>
      </c>
      <c r="F93" s="46"/>
      <c r="G93" s="46"/>
      <c r="H93" s="46" t="s">
        <v>258</v>
      </c>
      <c r="I93" s="45" t="s">
        <v>148</v>
      </c>
    </row>
    <row r="94" spans="1:9" ht="13.5" hidden="1" customHeight="1">
      <c r="A94" s="82">
        <v>46036</v>
      </c>
      <c r="B94" s="44" t="s">
        <v>259</v>
      </c>
      <c r="C94" s="83">
        <v>1599</v>
      </c>
      <c r="D94" s="44" t="s">
        <v>162</v>
      </c>
      <c r="E94" s="44" t="s">
        <v>49</v>
      </c>
      <c r="F94" s="44"/>
      <c r="G94" s="44"/>
      <c r="H94" s="44" t="s">
        <v>260</v>
      </c>
      <c r="I94" s="44" t="s">
        <v>148</v>
      </c>
    </row>
    <row r="95" spans="1:9" ht="15.75" hidden="1" customHeight="1">
      <c r="A95" s="84">
        <v>46038</v>
      </c>
      <c r="B95" s="45" t="s">
        <v>261</v>
      </c>
      <c r="C95" s="85">
        <v>1100</v>
      </c>
      <c r="D95" s="45" t="s">
        <v>162</v>
      </c>
      <c r="E95" s="45" t="s">
        <v>49</v>
      </c>
      <c r="F95" s="46"/>
      <c r="G95" s="46"/>
      <c r="H95" s="46" t="s">
        <v>251</v>
      </c>
      <c r="I95" s="45" t="s">
        <v>148</v>
      </c>
    </row>
    <row r="96" spans="1:9" ht="13.5" hidden="1" customHeight="1">
      <c r="A96" s="82">
        <v>46038</v>
      </c>
      <c r="B96" s="44" t="s">
        <v>262</v>
      </c>
      <c r="C96" s="83">
        <v>1650</v>
      </c>
      <c r="D96" s="44" t="s">
        <v>162</v>
      </c>
      <c r="E96" s="44" t="s">
        <v>51</v>
      </c>
      <c r="F96" s="44"/>
      <c r="G96" s="44"/>
      <c r="H96" s="44" t="s">
        <v>263</v>
      </c>
      <c r="I96" s="44" t="s">
        <v>148</v>
      </c>
    </row>
    <row r="97" spans="1:9" ht="15.75" hidden="1" customHeight="1">
      <c r="A97" s="84">
        <v>46039</v>
      </c>
      <c r="B97" s="45" t="s">
        <v>264</v>
      </c>
      <c r="C97" s="85">
        <v>2300</v>
      </c>
      <c r="D97" s="45" t="s">
        <v>150</v>
      </c>
      <c r="E97" s="45" t="s">
        <v>51</v>
      </c>
      <c r="F97" s="46"/>
      <c r="G97" s="46"/>
      <c r="H97" s="46" t="s">
        <v>265</v>
      </c>
      <c r="I97" s="45" t="s">
        <v>148</v>
      </c>
    </row>
    <row r="98" spans="1:9" ht="13.5" hidden="1" customHeight="1">
      <c r="A98" s="82">
        <v>46040</v>
      </c>
      <c r="B98" s="44" t="s">
        <v>266</v>
      </c>
      <c r="C98" s="83">
        <v>1399</v>
      </c>
      <c r="D98" s="44" t="s">
        <v>162</v>
      </c>
      <c r="E98" s="44" t="s">
        <v>49</v>
      </c>
      <c r="F98" s="44"/>
      <c r="G98" s="44"/>
      <c r="H98" s="44" t="s">
        <v>267</v>
      </c>
      <c r="I98" s="44" t="s">
        <v>148</v>
      </c>
    </row>
    <row r="99" spans="1:9" ht="15.75" hidden="1" customHeight="1">
      <c r="A99" s="84">
        <v>46041</v>
      </c>
      <c r="B99" s="45" t="s">
        <v>268</v>
      </c>
      <c r="C99" s="85">
        <v>1100</v>
      </c>
      <c r="D99" s="45" t="s">
        <v>162</v>
      </c>
      <c r="E99" s="45" t="s">
        <v>49</v>
      </c>
      <c r="F99" s="46"/>
      <c r="G99" s="46"/>
      <c r="H99" s="46" t="s">
        <v>251</v>
      </c>
      <c r="I99" s="45" t="s">
        <v>148</v>
      </c>
    </row>
    <row r="100" spans="1:9" ht="13.5" hidden="1" customHeight="1">
      <c r="A100" s="82">
        <v>46042</v>
      </c>
      <c r="B100" s="44" t="s">
        <v>269</v>
      </c>
      <c r="C100" s="83">
        <v>1250</v>
      </c>
      <c r="D100" s="44" t="s">
        <v>162</v>
      </c>
      <c r="E100" s="44" t="s">
        <v>49</v>
      </c>
      <c r="F100" s="44"/>
      <c r="G100" s="44"/>
      <c r="H100" s="44" t="s">
        <v>270</v>
      </c>
      <c r="I100" s="44" t="s">
        <v>148</v>
      </c>
    </row>
    <row r="101" spans="1:9" ht="15.75" hidden="1" customHeight="1">
      <c r="A101" s="84">
        <v>46043</v>
      </c>
      <c r="B101" s="45" t="s">
        <v>271</v>
      </c>
      <c r="C101" s="85">
        <v>1380</v>
      </c>
      <c r="D101" s="45" t="s">
        <v>162</v>
      </c>
      <c r="E101" s="45" t="s">
        <v>49</v>
      </c>
      <c r="F101" s="46"/>
      <c r="G101" s="46"/>
      <c r="H101" s="46" t="s">
        <v>272</v>
      </c>
      <c r="I101" s="45" t="s">
        <v>148</v>
      </c>
    </row>
    <row r="102" spans="1:9" ht="13.5" hidden="1" customHeight="1">
      <c r="A102" s="82">
        <v>46046</v>
      </c>
      <c r="B102" s="44" t="s">
        <v>273</v>
      </c>
      <c r="C102" s="83">
        <v>950</v>
      </c>
      <c r="D102" s="44" t="s">
        <v>162</v>
      </c>
      <c r="E102" s="44" t="s">
        <v>49</v>
      </c>
      <c r="F102" s="44"/>
      <c r="G102" s="44"/>
      <c r="H102" s="44" t="s">
        <v>274</v>
      </c>
      <c r="I102" s="44" t="s">
        <v>148</v>
      </c>
    </row>
    <row r="103" spans="1:9" ht="13.5" hidden="1" customHeight="1">
      <c r="A103" s="84">
        <v>46048</v>
      </c>
      <c r="B103" s="45" t="s">
        <v>275</v>
      </c>
      <c r="C103" s="85">
        <v>1380</v>
      </c>
      <c r="D103" s="45" t="s">
        <v>162</v>
      </c>
      <c r="E103" s="45" t="s">
        <v>49</v>
      </c>
      <c r="F103" s="46"/>
      <c r="G103" s="46"/>
      <c r="H103" s="44" t="s">
        <v>248</v>
      </c>
      <c r="I103" s="45" t="s">
        <v>148</v>
      </c>
    </row>
    <row r="104" spans="1:9" ht="13.5" hidden="1" customHeight="1">
      <c r="A104" s="82">
        <v>46048</v>
      </c>
      <c r="B104" s="44" t="s">
        <v>276</v>
      </c>
      <c r="C104" s="83">
        <v>2700</v>
      </c>
      <c r="D104" s="44" t="s">
        <v>162</v>
      </c>
      <c r="E104" s="44" t="s">
        <v>49</v>
      </c>
      <c r="F104" s="44"/>
      <c r="G104" s="44"/>
      <c r="H104" s="44" t="s">
        <v>277</v>
      </c>
      <c r="I104" s="44" t="s">
        <v>148</v>
      </c>
    </row>
    <row r="105" spans="1:9" ht="15.75" hidden="1" customHeight="1">
      <c r="A105" s="84">
        <v>46049</v>
      </c>
      <c r="B105" s="45" t="s">
        <v>278</v>
      </c>
      <c r="C105" s="85">
        <v>1380</v>
      </c>
      <c r="D105" s="45" t="s">
        <v>162</v>
      </c>
      <c r="E105" s="45" t="s">
        <v>49</v>
      </c>
      <c r="F105" s="46"/>
      <c r="G105" s="46"/>
      <c r="H105" s="46" t="s">
        <v>235</v>
      </c>
      <c r="I105" s="45" t="s">
        <v>148</v>
      </c>
    </row>
    <row r="106" spans="1:9" ht="13.5" hidden="1" customHeight="1">
      <c r="A106" s="82">
        <v>46049</v>
      </c>
      <c r="B106" s="44" t="s">
        <v>279</v>
      </c>
      <c r="C106" s="83">
        <v>1380</v>
      </c>
      <c r="D106" s="44" t="s">
        <v>162</v>
      </c>
      <c r="E106" s="44" t="s">
        <v>49</v>
      </c>
      <c r="F106" s="44"/>
      <c r="G106" s="44"/>
      <c r="H106" s="44" t="s">
        <v>280</v>
      </c>
      <c r="I106" s="44" t="s">
        <v>148</v>
      </c>
    </row>
    <row r="107" spans="1:9" ht="15.75" hidden="1" customHeight="1">
      <c r="A107" s="84">
        <v>46049</v>
      </c>
      <c r="B107" s="45" t="s">
        <v>281</v>
      </c>
      <c r="C107" s="85">
        <v>1200</v>
      </c>
      <c r="D107" s="45" t="s">
        <v>162</v>
      </c>
      <c r="E107" s="45" t="s">
        <v>49</v>
      </c>
      <c r="F107" s="46"/>
      <c r="G107" s="46"/>
      <c r="H107" s="46" t="s">
        <v>282</v>
      </c>
      <c r="I107" s="45" t="s">
        <v>148</v>
      </c>
    </row>
    <row r="108" spans="1:9" ht="13.5" hidden="1" customHeight="1">
      <c r="A108" s="82">
        <v>46050</v>
      </c>
      <c r="B108" s="44" t="s">
        <v>283</v>
      </c>
      <c r="C108" s="83">
        <v>1250</v>
      </c>
      <c r="D108" s="44" t="s">
        <v>162</v>
      </c>
      <c r="E108" s="44" t="s">
        <v>49</v>
      </c>
      <c r="F108" s="44"/>
      <c r="G108" s="44"/>
      <c r="H108" s="44" t="s">
        <v>284</v>
      </c>
      <c r="I108" s="44" t="s">
        <v>148</v>
      </c>
    </row>
    <row r="109" spans="1:9" ht="15.75" hidden="1" customHeight="1">
      <c r="A109" s="84">
        <v>46051</v>
      </c>
      <c r="B109" s="45" t="s">
        <v>285</v>
      </c>
      <c r="C109" s="85">
        <v>1380</v>
      </c>
      <c r="D109" s="45" t="s">
        <v>162</v>
      </c>
      <c r="E109" s="45" t="s">
        <v>49</v>
      </c>
      <c r="F109" s="46"/>
      <c r="G109" s="46"/>
      <c r="H109" s="46" t="s">
        <v>248</v>
      </c>
      <c r="I109" s="45" t="s">
        <v>148</v>
      </c>
    </row>
    <row r="110" spans="1:9" ht="13.5" hidden="1" customHeight="1">
      <c r="A110" s="82">
        <v>46051</v>
      </c>
      <c r="B110" s="44" t="s">
        <v>286</v>
      </c>
      <c r="C110" s="83">
        <v>1380</v>
      </c>
      <c r="D110" s="44" t="s">
        <v>162</v>
      </c>
      <c r="E110" s="44" t="s">
        <v>49</v>
      </c>
      <c r="F110" s="44"/>
      <c r="G110" s="44"/>
      <c r="H110" s="44" t="s">
        <v>248</v>
      </c>
      <c r="I110" s="44" t="s">
        <v>148</v>
      </c>
    </row>
    <row r="111" spans="1:9" ht="15.75" hidden="1" customHeight="1">
      <c r="A111" s="84">
        <v>46051</v>
      </c>
      <c r="B111" s="45" t="s">
        <v>264</v>
      </c>
      <c r="C111" s="85">
        <v>580</v>
      </c>
      <c r="D111" s="45" t="s">
        <v>287</v>
      </c>
      <c r="E111" s="45" t="s">
        <v>51</v>
      </c>
      <c r="F111" s="46"/>
      <c r="G111" s="46"/>
      <c r="H111" s="46" t="s">
        <v>288</v>
      </c>
      <c r="I111" s="45" t="s">
        <v>148</v>
      </c>
    </row>
    <row r="112" spans="1:9" ht="27.75" hidden="1" customHeight="1">
      <c r="A112" s="82">
        <v>46054</v>
      </c>
      <c r="B112" s="44" t="s">
        <v>289</v>
      </c>
      <c r="C112" s="83">
        <v>1800</v>
      </c>
      <c r="D112" s="44" t="s">
        <v>162</v>
      </c>
      <c r="E112" s="44" t="s">
        <v>49</v>
      </c>
      <c r="F112" s="44"/>
      <c r="G112" s="44"/>
      <c r="H112" s="44" t="s">
        <v>290</v>
      </c>
      <c r="I112" s="44" t="s">
        <v>148</v>
      </c>
    </row>
    <row r="113" spans="1:9" ht="15.75" hidden="1" customHeight="1">
      <c r="A113" s="84">
        <v>46054</v>
      </c>
      <c r="B113" s="45" t="s">
        <v>291</v>
      </c>
      <c r="C113" s="85">
        <v>1550</v>
      </c>
      <c r="D113" s="45" t="s">
        <v>162</v>
      </c>
      <c r="E113" s="45" t="s">
        <v>49</v>
      </c>
      <c r="F113" s="46"/>
      <c r="G113" s="46"/>
      <c r="H113" s="46" t="s">
        <v>260</v>
      </c>
      <c r="I113" s="45" t="s">
        <v>148</v>
      </c>
    </row>
    <row r="114" spans="1:9" ht="13.5" hidden="1" customHeight="1">
      <c r="A114" s="82">
        <v>46055</v>
      </c>
      <c r="B114" s="44" t="s">
        <v>157</v>
      </c>
      <c r="C114" s="83">
        <v>1380</v>
      </c>
      <c r="D114" s="44" t="s">
        <v>162</v>
      </c>
      <c r="E114" s="44" t="s">
        <v>49</v>
      </c>
      <c r="F114" s="44"/>
      <c r="G114" s="44"/>
      <c r="H114" s="44" t="s">
        <v>235</v>
      </c>
      <c r="I114" s="44" t="s">
        <v>148</v>
      </c>
    </row>
    <row r="115" spans="1:9" ht="15.75" hidden="1" customHeight="1">
      <c r="A115" s="84">
        <v>46055</v>
      </c>
      <c r="B115" s="45" t="s">
        <v>170</v>
      </c>
      <c r="C115" s="85">
        <v>1380</v>
      </c>
      <c r="D115" s="45" t="s">
        <v>162</v>
      </c>
      <c r="E115" s="45" t="s">
        <v>49</v>
      </c>
      <c r="F115" s="46"/>
      <c r="G115" s="46"/>
      <c r="H115" s="46" t="s">
        <v>292</v>
      </c>
      <c r="I115" s="45" t="s">
        <v>148</v>
      </c>
    </row>
    <row r="116" spans="1:9" ht="13.5" hidden="1" customHeight="1">
      <c r="A116" s="82">
        <v>46060</v>
      </c>
      <c r="B116" s="44" t="s">
        <v>293</v>
      </c>
      <c r="C116" s="83">
        <v>1050</v>
      </c>
      <c r="D116" s="44" t="s">
        <v>162</v>
      </c>
      <c r="E116" s="44" t="s">
        <v>49</v>
      </c>
      <c r="F116" s="44"/>
      <c r="G116" s="44"/>
      <c r="H116" s="44" t="s">
        <v>294</v>
      </c>
      <c r="I116" s="44" t="s">
        <v>148</v>
      </c>
    </row>
    <row r="117" spans="1:9" ht="15.75" hidden="1" customHeight="1">
      <c r="A117" s="84">
        <v>46062</v>
      </c>
      <c r="B117" s="45" t="s">
        <v>295</v>
      </c>
      <c r="C117" s="85">
        <v>1000</v>
      </c>
      <c r="D117" s="45" t="s">
        <v>162</v>
      </c>
      <c r="E117" s="45" t="s">
        <v>49</v>
      </c>
      <c r="F117" s="46"/>
      <c r="G117" s="46"/>
      <c r="H117" s="46" t="s">
        <v>296</v>
      </c>
      <c r="I117" s="45" t="s">
        <v>148</v>
      </c>
    </row>
    <row r="118" spans="1:9" ht="13.5" hidden="1" customHeight="1">
      <c r="A118" s="82">
        <v>46065</v>
      </c>
      <c r="B118" s="44" t="s">
        <v>297</v>
      </c>
      <c r="C118" s="83">
        <v>799</v>
      </c>
      <c r="D118" s="44" t="s">
        <v>162</v>
      </c>
      <c r="E118" s="44" t="s">
        <v>49</v>
      </c>
      <c r="F118" s="44"/>
      <c r="G118" s="44"/>
      <c r="H118" s="44" t="s">
        <v>298</v>
      </c>
      <c r="I118" s="44" t="s">
        <v>148</v>
      </c>
    </row>
    <row r="119" spans="1:9" ht="15.75" hidden="1" customHeight="1">
      <c r="A119" s="84">
        <v>46055</v>
      </c>
      <c r="B119" s="45" t="s">
        <v>299</v>
      </c>
      <c r="C119" s="85">
        <v>500</v>
      </c>
      <c r="D119" s="45" t="s">
        <v>162</v>
      </c>
      <c r="E119" s="45" t="s">
        <v>49</v>
      </c>
      <c r="F119" s="46"/>
      <c r="G119" s="46"/>
      <c r="H119" s="46" t="s">
        <v>109</v>
      </c>
      <c r="I119" s="45" t="s">
        <v>148</v>
      </c>
    </row>
    <row r="120" spans="1:9" ht="27.75" hidden="1" customHeight="1">
      <c r="A120" s="82">
        <v>46070</v>
      </c>
      <c r="B120" s="44" t="s">
        <v>300</v>
      </c>
      <c r="C120" s="83">
        <v>1450</v>
      </c>
      <c r="D120" s="44" t="s">
        <v>301</v>
      </c>
      <c r="E120" s="44" t="s">
        <v>49</v>
      </c>
      <c r="F120" s="44"/>
      <c r="G120" s="44"/>
      <c r="H120" s="44" t="s">
        <v>302</v>
      </c>
      <c r="I120" s="44" t="s">
        <v>148</v>
      </c>
    </row>
    <row r="121" spans="1:9" ht="15.75" hidden="1" customHeight="1">
      <c r="A121" s="84">
        <v>46073</v>
      </c>
      <c r="B121" s="45" t="s">
        <v>183</v>
      </c>
      <c r="C121" s="85">
        <v>1200</v>
      </c>
      <c r="D121" s="45" t="s">
        <v>162</v>
      </c>
      <c r="E121" s="45" t="s">
        <v>49</v>
      </c>
      <c r="F121" s="46"/>
      <c r="G121" s="46"/>
      <c r="H121" s="46" t="s">
        <v>303</v>
      </c>
      <c r="I121" s="45" t="s">
        <v>148</v>
      </c>
    </row>
    <row r="122" spans="1:9" ht="13.5" hidden="1" customHeight="1">
      <c r="A122" s="82">
        <v>46074</v>
      </c>
      <c r="B122" s="44" t="s">
        <v>304</v>
      </c>
      <c r="C122" s="83">
        <v>1200</v>
      </c>
      <c r="D122" s="44" t="s">
        <v>162</v>
      </c>
      <c r="E122" s="44" t="s">
        <v>49</v>
      </c>
      <c r="F122" s="44"/>
      <c r="G122" s="44"/>
      <c r="H122" s="44" t="s">
        <v>305</v>
      </c>
      <c r="I122" s="44" t="s">
        <v>148</v>
      </c>
    </row>
    <row r="123" spans="1:9" ht="15.75" hidden="1" customHeight="1">
      <c r="A123" s="84">
        <v>46075</v>
      </c>
      <c r="B123" s="45" t="s">
        <v>306</v>
      </c>
      <c r="C123" s="85">
        <v>1380</v>
      </c>
      <c r="D123" s="45" t="s">
        <v>162</v>
      </c>
      <c r="E123" s="45" t="s">
        <v>49</v>
      </c>
      <c r="F123" s="46"/>
      <c r="G123" s="46"/>
      <c r="H123" s="46" t="s">
        <v>203</v>
      </c>
      <c r="I123" s="45" t="s">
        <v>148</v>
      </c>
    </row>
    <row r="124" spans="1:9" ht="13.5" hidden="1"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hidden="1" customHeight="1">
      <c r="A126" s="82">
        <v>46079</v>
      </c>
      <c r="B126" s="44" t="s">
        <v>310</v>
      </c>
      <c r="C126" s="83">
        <v>500</v>
      </c>
      <c r="D126" s="44" t="s">
        <v>162</v>
      </c>
      <c r="E126" s="44" t="s">
        <v>49</v>
      </c>
      <c r="F126" s="44"/>
      <c r="G126" s="44"/>
      <c r="H126" s="44" t="s">
        <v>311</v>
      </c>
      <c r="I126" s="44" t="s">
        <v>148</v>
      </c>
    </row>
    <row r="127" spans="1:9" ht="13.5" hidden="1" customHeight="1">
      <c r="A127" s="84">
        <v>46090</v>
      </c>
      <c r="B127" s="45" t="s">
        <v>312</v>
      </c>
      <c r="C127" s="85">
        <v>850</v>
      </c>
      <c r="D127" s="45" t="s">
        <v>162</v>
      </c>
      <c r="E127" s="45" t="s">
        <v>49</v>
      </c>
      <c r="F127" s="46"/>
      <c r="G127" s="46"/>
      <c r="H127" s="45" t="s">
        <v>313</v>
      </c>
      <c r="I127" s="45" t="s">
        <v>148</v>
      </c>
    </row>
    <row r="128" spans="1:9" ht="13.5" hidden="1" customHeight="1">
      <c r="A128" s="82">
        <v>46090</v>
      </c>
      <c r="B128" s="44" t="s">
        <v>314</v>
      </c>
      <c r="C128" s="83">
        <v>1100</v>
      </c>
      <c r="D128" s="44" t="s">
        <v>162</v>
      </c>
      <c r="E128" s="44" t="s">
        <v>49</v>
      </c>
      <c r="F128" s="44"/>
      <c r="G128" s="44"/>
      <c r="H128" s="44" t="s">
        <v>315</v>
      </c>
      <c r="I128" s="44" t="s">
        <v>148</v>
      </c>
    </row>
    <row r="129" spans="1:9" ht="13.5" hidden="1" customHeight="1">
      <c r="A129" s="82">
        <v>46090</v>
      </c>
      <c r="B129" s="44" t="s">
        <v>316</v>
      </c>
      <c r="C129" s="83">
        <v>800</v>
      </c>
      <c r="D129" s="44" t="s">
        <v>162</v>
      </c>
      <c r="E129" s="44" t="s">
        <v>49</v>
      </c>
      <c r="F129" s="44"/>
      <c r="G129" s="44"/>
      <c r="H129" s="44" t="s">
        <v>317</v>
      </c>
      <c r="I129" s="44" t="s">
        <v>148</v>
      </c>
    </row>
    <row r="130" spans="1:9" ht="15.75" hidden="1" customHeight="1">
      <c r="A130" s="84">
        <v>46091</v>
      </c>
      <c r="B130" s="45" t="s">
        <v>318</v>
      </c>
      <c r="C130" s="85">
        <v>1099</v>
      </c>
      <c r="D130" s="45" t="s">
        <v>162</v>
      </c>
      <c r="E130" s="45" t="s">
        <v>49</v>
      </c>
      <c r="F130" s="46"/>
      <c r="G130" s="46"/>
      <c r="H130" s="46" t="s">
        <v>319</v>
      </c>
      <c r="I130" s="45" t="s">
        <v>148</v>
      </c>
    </row>
    <row r="131" spans="1:9" ht="13.5" hidden="1" customHeight="1">
      <c r="A131" s="82">
        <v>46092</v>
      </c>
      <c r="B131" s="44" t="s">
        <v>307</v>
      </c>
      <c r="C131" s="83">
        <v>1200</v>
      </c>
      <c r="D131" s="44" t="s">
        <v>162</v>
      </c>
      <c r="E131" s="44" t="s">
        <v>49</v>
      </c>
      <c r="F131" s="44"/>
      <c r="G131" s="44"/>
      <c r="H131" s="44" t="s">
        <v>320</v>
      </c>
      <c r="I131" s="44" t="s">
        <v>148</v>
      </c>
    </row>
    <row r="132" spans="1:9" ht="15.75" hidden="1" customHeight="1">
      <c r="A132" s="84">
        <v>46092</v>
      </c>
      <c r="B132" s="45" t="s">
        <v>321</v>
      </c>
      <c r="C132" s="85">
        <v>1099</v>
      </c>
      <c r="D132" s="45" t="s">
        <v>162</v>
      </c>
      <c r="E132" s="45" t="s">
        <v>49</v>
      </c>
      <c r="F132" s="46"/>
      <c r="G132" s="46"/>
      <c r="H132" s="46" t="s">
        <v>322</v>
      </c>
      <c r="I132" s="45" t="s">
        <v>148</v>
      </c>
    </row>
    <row r="133" spans="1:9" ht="27.75" hidden="1" customHeight="1">
      <c r="A133" s="82">
        <v>46093</v>
      </c>
      <c r="B133" s="44" t="s">
        <v>215</v>
      </c>
      <c r="C133" s="83">
        <v>550</v>
      </c>
      <c r="D133" s="44" t="s">
        <v>162</v>
      </c>
      <c r="E133" s="44" t="s">
        <v>49</v>
      </c>
      <c r="F133" s="44"/>
      <c r="G133" s="44"/>
      <c r="H133" s="44" t="s">
        <v>323</v>
      </c>
      <c r="I133" s="44" t="s">
        <v>148</v>
      </c>
    </row>
    <row r="134" spans="1:9" ht="15.75" hidden="1" customHeight="1">
      <c r="A134" s="84">
        <v>46093</v>
      </c>
      <c r="B134" s="45" t="s">
        <v>201</v>
      </c>
      <c r="C134" s="85">
        <v>650</v>
      </c>
      <c r="D134" s="45" t="s">
        <v>162</v>
      </c>
      <c r="E134" s="45" t="s">
        <v>49</v>
      </c>
      <c r="F134" s="46"/>
      <c r="G134" s="46"/>
      <c r="H134" s="46" t="s">
        <v>324</v>
      </c>
      <c r="I134" s="45" t="s">
        <v>148</v>
      </c>
    </row>
    <row r="135" spans="1:9" ht="13.5" hidden="1" customHeight="1">
      <c r="A135" s="82">
        <v>46097</v>
      </c>
      <c r="B135" s="44" t="s">
        <v>325</v>
      </c>
      <c r="C135" s="83">
        <v>1550</v>
      </c>
      <c r="D135" s="44" t="s">
        <v>162</v>
      </c>
      <c r="E135" s="44" t="s">
        <v>49</v>
      </c>
      <c r="F135" s="44"/>
      <c r="G135" s="44"/>
      <c r="H135" s="44" t="s">
        <v>326</v>
      </c>
      <c r="I135" s="44" t="s">
        <v>148</v>
      </c>
    </row>
    <row r="136" spans="1:9" ht="15.75" hidden="1" customHeight="1">
      <c r="A136" s="84">
        <v>46097</v>
      </c>
      <c r="B136" s="45" t="s">
        <v>327</v>
      </c>
      <c r="C136" s="85">
        <v>850</v>
      </c>
      <c r="D136" s="45" t="s">
        <v>162</v>
      </c>
      <c r="E136" s="45" t="s">
        <v>49</v>
      </c>
      <c r="F136" s="46"/>
      <c r="G136" s="46"/>
      <c r="H136" s="46" t="s">
        <v>328</v>
      </c>
      <c r="I136" s="45" t="s">
        <v>148</v>
      </c>
    </row>
    <row r="137" spans="1:9" ht="13.5" hidden="1" customHeight="1">
      <c r="A137" s="82">
        <v>46100</v>
      </c>
      <c r="B137" s="44" t="s">
        <v>329</v>
      </c>
      <c r="C137" s="83">
        <v>1200</v>
      </c>
      <c r="D137" s="44" t="s">
        <v>162</v>
      </c>
      <c r="E137" s="44" t="s">
        <v>49</v>
      </c>
      <c r="F137" s="44"/>
      <c r="G137" s="44"/>
      <c r="H137" s="44" t="s">
        <v>114</v>
      </c>
      <c r="I137" s="44" t="s">
        <v>148</v>
      </c>
    </row>
    <row r="138" spans="1:9" ht="15.75" hidden="1" customHeight="1">
      <c r="A138" s="84">
        <v>46104</v>
      </c>
      <c r="B138" s="45" t="s">
        <v>226</v>
      </c>
      <c r="C138" s="85">
        <v>1800</v>
      </c>
      <c r="D138" s="45" t="s">
        <v>150</v>
      </c>
      <c r="E138" s="45" t="s">
        <v>50</v>
      </c>
      <c r="F138" s="46"/>
      <c r="G138" s="46"/>
      <c r="H138" s="46" t="s">
        <v>330</v>
      </c>
      <c r="I138" s="45" t="s">
        <v>148</v>
      </c>
    </row>
    <row r="139" spans="1:9" ht="27.75" hidden="1" customHeight="1">
      <c r="A139" s="82">
        <v>46105</v>
      </c>
      <c r="B139" s="44" t="s">
        <v>146</v>
      </c>
      <c r="C139" s="83">
        <v>3500</v>
      </c>
      <c r="D139" s="44" t="s">
        <v>162</v>
      </c>
      <c r="E139" s="44" t="s">
        <v>49</v>
      </c>
      <c r="F139" s="44"/>
      <c r="G139" s="44"/>
      <c r="H139" s="44" t="s">
        <v>331</v>
      </c>
      <c r="I139" s="44" t="s">
        <v>148</v>
      </c>
    </row>
    <row r="140" spans="1:9" ht="31.5" hidden="1" customHeight="1">
      <c r="A140" s="84">
        <v>46113</v>
      </c>
      <c r="B140" s="45" t="s">
        <v>332</v>
      </c>
      <c r="C140" s="85">
        <v>3000</v>
      </c>
      <c r="D140" s="45" t="s">
        <v>150</v>
      </c>
      <c r="E140" s="45" t="s">
        <v>49</v>
      </c>
      <c r="F140" s="46"/>
      <c r="G140" s="46"/>
      <c r="H140" s="46" t="s">
        <v>333</v>
      </c>
      <c r="I140" s="45" t="s">
        <v>148</v>
      </c>
    </row>
    <row r="141" spans="1:9" ht="13.5" hidden="1" customHeight="1">
      <c r="A141" s="82">
        <v>46118</v>
      </c>
      <c r="B141" s="44" t="s">
        <v>146</v>
      </c>
      <c r="C141" s="83">
        <v>1450</v>
      </c>
      <c r="D141" s="44" t="s">
        <v>162</v>
      </c>
      <c r="E141" s="44" t="s">
        <v>49</v>
      </c>
      <c r="F141" s="44"/>
      <c r="G141" s="44"/>
      <c r="H141" s="44" t="s">
        <v>334</v>
      </c>
      <c r="I141" s="44" t="s">
        <v>148</v>
      </c>
    </row>
    <row r="142" spans="1:9" ht="15.75" hidden="1" customHeight="1">
      <c r="A142" s="84">
        <v>46119</v>
      </c>
      <c r="B142" s="45" t="s">
        <v>335</v>
      </c>
      <c r="C142" s="85">
        <v>1200</v>
      </c>
      <c r="D142" s="45" t="s">
        <v>162</v>
      </c>
      <c r="E142" s="45" t="s">
        <v>49</v>
      </c>
      <c r="F142" s="46"/>
      <c r="G142" s="46"/>
      <c r="H142" s="46" t="s">
        <v>336</v>
      </c>
      <c r="I142" s="45" t="s">
        <v>148</v>
      </c>
    </row>
    <row r="143" spans="1:9" ht="13.5" hidden="1" customHeight="1">
      <c r="A143" s="82">
        <v>46120</v>
      </c>
      <c r="B143" s="44" t="s">
        <v>337</v>
      </c>
      <c r="C143" s="83">
        <v>1200</v>
      </c>
      <c r="D143" s="44" t="s">
        <v>162</v>
      </c>
      <c r="E143" s="44" t="s">
        <v>49</v>
      </c>
      <c r="F143" s="44"/>
      <c r="G143" s="44"/>
      <c r="H143" s="44" t="s">
        <v>338</v>
      </c>
      <c r="I143" s="44" t="s">
        <v>148</v>
      </c>
    </row>
    <row r="144" spans="1:9" ht="15.75" hidden="1" customHeight="1">
      <c r="A144" s="84">
        <v>46120</v>
      </c>
      <c r="B144" s="45" t="s">
        <v>339</v>
      </c>
      <c r="C144" s="85">
        <v>1500</v>
      </c>
      <c r="D144" s="45" t="s">
        <v>162</v>
      </c>
      <c r="E144" s="45" t="s">
        <v>49</v>
      </c>
      <c r="F144" s="46"/>
      <c r="G144" s="46"/>
      <c r="H144" s="46" t="s">
        <v>340</v>
      </c>
      <c r="I144" s="45" t="s">
        <v>148</v>
      </c>
    </row>
    <row r="145" spans="1:9" ht="13.5" hidden="1" customHeight="1">
      <c r="A145" s="82">
        <v>46120</v>
      </c>
      <c r="B145" s="44" t="s">
        <v>49</v>
      </c>
      <c r="C145" s="83">
        <v>730</v>
      </c>
      <c r="D145" s="44" t="s">
        <v>150</v>
      </c>
      <c r="E145" s="44" t="s">
        <v>49</v>
      </c>
      <c r="F145" s="44"/>
      <c r="G145" s="44"/>
      <c r="H145" s="44" t="s">
        <v>341</v>
      </c>
      <c r="I145" s="44" t="s">
        <v>148</v>
      </c>
    </row>
    <row r="146" spans="1:9" ht="31.5" hidden="1" customHeight="1">
      <c r="A146" s="84">
        <v>46122</v>
      </c>
      <c r="B146" s="45" t="s">
        <v>307</v>
      </c>
      <c r="C146" s="85">
        <v>950</v>
      </c>
      <c r="D146" s="45" t="s">
        <v>162</v>
      </c>
      <c r="E146" s="45" t="s">
        <v>49</v>
      </c>
      <c r="F146" s="46"/>
      <c r="G146" s="46"/>
      <c r="H146" s="46" t="s">
        <v>342</v>
      </c>
      <c r="I146" s="45" t="s">
        <v>148</v>
      </c>
    </row>
    <row r="147" spans="1:9" ht="13.5" hidden="1" customHeight="1">
      <c r="A147" s="82">
        <v>46122</v>
      </c>
      <c r="B147" s="44" t="s">
        <v>343</v>
      </c>
      <c r="C147" s="83">
        <v>650</v>
      </c>
      <c r="D147" s="44" t="s">
        <v>162</v>
      </c>
      <c r="E147" s="44" t="s">
        <v>49</v>
      </c>
      <c r="F147" s="44"/>
      <c r="G147" s="44"/>
      <c r="H147" s="44" t="s">
        <v>344</v>
      </c>
      <c r="I147" s="44" t="s">
        <v>148</v>
      </c>
    </row>
    <row r="148" spans="1:9" ht="15.75" hidden="1"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hidden="1" customHeight="1">
      <c r="A150" s="84">
        <v>46125</v>
      </c>
      <c r="B150" s="45" t="s">
        <v>218</v>
      </c>
      <c r="C150" s="85">
        <v>1100</v>
      </c>
      <c r="D150" s="45" t="s">
        <v>162</v>
      </c>
      <c r="E150" s="45" t="s">
        <v>49</v>
      </c>
      <c r="F150" s="46"/>
      <c r="G150" s="46"/>
      <c r="H150" s="46" t="s">
        <v>348</v>
      </c>
      <c r="I150" s="45" t="s">
        <v>148</v>
      </c>
    </row>
    <row r="151" spans="1:9" ht="13.5" hidden="1" customHeight="1">
      <c r="A151" s="82">
        <v>46125</v>
      </c>
      <c r="B151" s="44" t="s">
        <v>349</v>
      </c>
      <c r="C151" s="83">
        <v>1200</v>
      </c>
      <c r="D151" s="44" t="s">
        <v>162</v>
      </c>
      <c r="E151" s="44" t="s">
        <v>49</v>
      </c>
      <c r="F151" s="44"/>
      <c r="G151" s="44"/>
      <c r="H151" s="44" t="s">
        <v>350</v>
      </c>
      <c r="I151" s="44" t="s">
        <v>148</v>
      </c>
    </row>
    <row r="152" spans="1:9" ht="15.75" hidden="1" customHeight="1">
      <c r="A152" s="84">
        <v>46125</v>
      </c>
      <c r="B152" s="45" t="s">
        <v>173</v>
      </c>
      <c r="C152" s="85">
        <v>980</v>
      </c>
      <c r="D152" s="45" t="s">
        <v>162</v>
      </c>
      <c r="E152" s="45" t="s">
        <v>49</v>
      </c>
      <c r="F152" s="46"/>
      <c r="G152" s="46"/>
      <c r="H152" s="46" t="s">
        <v>341</v>
      </c>
      <c r="I152" s="45" t="s">
        <v>148</v>
      </c>
    </row>
    <row r="153" spans="1:9" ht="13.5" hidden="1" customHeight="1">
      <c r="A153" s="82">
        <v>46125</v>
      </c>
      <c r="B153" s="44" t="s">
        <v>186</v>
      </c>
      <c r="C153" s="83">
        <v>980</v>
      </c>
      <c r="D153" s="44" t="s">
        <v>162</v>
      </c>
      <c r="E153" s="44" t="s">
        <v>49</v>
      </c>
      <c r="F153" s="44"/>
      <c r="G153" s="44"/>
      <c r="H153" s="44" t="s">
        <v>341</v>
      </c>
      <c r="I153" s="44" t="s">
        <v>148</v>
      </c>
    </row>
    <row r="154" spans="1:9" ht="15.75" hidden="1" customHeight="1">
      <c r="A154" s="84">
        <v>46126</v>
      </c>
      <c r="B154" s="45" t="s">
        <v>199</v>
      </c>
      <c r="C154" s="85">
        <v>2000</v>
      </c>
      <c r="D154" s="45" t="s">
        <v>150</v>
      </c>
      <c r="E154" s="45" t="s">
        <v>49</v>
      </c>
      <c r="F154" s="46"/>
      <c r="G154" s="46"/>
      <c r="H154" s="46" t="s">
        <v>351</v>
      </c>
      <c r="I154" s="45" t="s">
        <v>148</v>
      </c>
    </row>
    <row r="155" spans="1:9" ht="13.5" hidden="1" customHeight="1">
      <c r="A155" s="82">
        <v>46127</v>
      </c>
      <c r="B155" s="44" t="s">
        <v>352</v>
      </c>
      <c r="C155" s="83">
        <v>1299</v>
      </c>
      <c r="D155" s="44" t="s">
        <v>162</v>
      </c>
      <c r="E155" s="44" t="s">
        <v>49</v>
      </c>
      <c r="F155" s="44"/>
      <c r="G155" s="44"/>
      <c r="H155" s="44" t="s">
        <v>353</v>
      </c>
      <c r="I155" s="44" t="s">
        <v>148</v>
      </c>
    </row>
    <row r="156" spans="1:9" ht="15.75" hidden="1" customHeight="1">
      <c r="A156" s="84">
        <v>46129</v>
      </c>
      <c r="B156" s="45" t="s">
        <v>354</v>
      </c>
      <c r="C156" s="85">
        <v>980</v>
      </c>
      <c r="D156" s="45" t="s">
        <v>162</v>
      </c>
      <c r="E156" s="45" t="s">
        <v>49</v>
      </c>
      <c r="F156" s="46"/>
      <c r="G156" s="46"/>
      <c r="H156" s="46" t="s">
        <v>341</v>
      </c>
      <c r="I156" s="45" t="s">
        <v>148</v>
      </c>
    </row>
    <row r="157" spans="1:9" ht="13.5" hidden="1" customHeight="1">
      <c r="A157" s="82">
        <v>46129</v>
      </c>
      <c r="B157" s="44" t="s">
        <v>355</v>
      </c>
      <c r="C157" s="83">
        <v>980</v>
      </c>
      <c r="D157" s="44" t="s">
        <v>162</v>
      </c>
      <c r="E157" s="44" t="s">
        <v>49</v>
      </c>
      <c r="F157" s="44"/>
      <c r="G157" s="44"/>
      <c r="H157" s="44" t="s">
        <v>341</v>
      </c>
      <c r="I157" s="44" t="s">
        <v>148</v>
      </c>
    </row>
    <row r="158" spans="1:9" ht="15.75" hidden="1" customHeight="1">
      <c r="A158" s="84">
        <v>46129</v>
      </c>
      <c r="B158" s="45" t="s">
        <v>187</v>
      </c>
      <c r="C158" s="85">
        <v>980</v>
      </c>
      <c r="D158" s="45" t="s">
        <v>301</v>
      </c>
      <c r="E158" s="45" t="s">
        <v>49</v>
      </c>
      <c r="F158" s="46"/>
      <c r="G158" s="46"/>
      <c r="H158" s="46" t="s">
        <v>341</v>
      </c>
      <c r="I158" s="45" t="s">
        <v>148</v>
      </c>
    </row>
    <row r="159" spans="1:9" ht="13.5" hidden="1" customHeight="1">
      <c r="A159" s="82">
        <v>46130</v>
      </c>
      <c r="B159" s="44" t="s">
        <v>357</v>
      </c>
      <c r="C159" s="83">
        <v>1280</v>
      </c>
      <c r="D159" s="44" t="s">
        <v>162</v>
      </c>
      <c r="E159" s="44" t="s">
        <v>49</v>
      </c>
      <c r="F159" s="44"/>
      <c r="G159" s="44"/>
      <c r="H159" s="44" t="s">
        <v>358</v>
      </c>
      <c r="I159" s="44" t="s">
        <v>148</v>
      </c>
    </row>
    <row r="160" spans="1:9" ht="15.75" hidden="1" customHeight="1">
      <c r="A160" s="84">
        <v>46131</v>
      </c>
      <c r="B160" s="45" t="s">
        <v>359</v>
      </c>
      <c r="C160" s="85">
        <v>1000</v>
      </c>
      <c r="D160" s="45" t="s">
        <v>162</v>
      </c>
      <c r="E160" s="45" t="s">
        <v>49</v>
      </c>
      <c r="F160" s="46"/>
      <c r="G160" s="46"/>
      <c r="H160" s="46" t="s">
        <v>360</v>
      </c>
      <c r="I160" s="45" t="s">
        <v>148</v>
      </c>
    </row>
    <row r="161" spans="1:9" ht="13.5" hidden="1" customHeight="1">
      <c r="A161" s="82">
        <v>46132</v>
      </c>
      <c r="B161" s="44" t="s">
        <v>361</v>
      </c>
      <c r="C161" s="83">
        <v>1100</v>
      </c>
      <c r="D161" s="44" t="s">
        <v>162</v>
      </c>
      <c r="E161" s="44" t="s">
        <v>49</v>
      </c>
      <c r="F161" s="44"/>
      <c r="G161" s="44"/>
      <c r="H161" s="44" t="s">
        <v>362</v>
      </c>
      <c r="I161" s="44" t="s">
        <v>148</v>
      </c>
    </row>
    <row r="162" spans="1:9" ht="42" hidden="1" customHeight="1">
      <c r="A162" s="84">
        <v>46132</v>
      </c>
      <c r="B162" s="45" t="s">
        <v>161</v>
      </c>
      <c r="C162" s="85">
        <v>5880</v>
      </c>
      <c r="D162" s="45" t="s">
        <v>162</v>
      </c>
      <c r="E162" s="45" t="s">
        <v>49</v>
      </c>
      <c r="F162" s="46"/>
      <c r="G162" s="46"/>
      <c r="H162" s="46" t="s">
        <v>363</v>
      </c>
      <c r="I162" s="45" t="s">
        <v>148</v>
      </c>
    </row>
    <row r="163" spans="1:9" ht="13.5" hidden="1" customHeight="1">
      <c r="A163" s="82">
        <v>46133</v>
      </c>
      <c r="B163" s="44" t="s">
        <v>364</v>
      </c>
      <c r="C163" s="83">
        <v>1350</v>
      </c>
      <c r="D163" s="44" t="s">
        <v>162</v>
      </c>
      <c r="E163" s="44" t="s">
        <v>49</v>
      </c>
      <c r="F163" s="44"/>
      <c r="G163" s="44"/>
      <c r="H163" s="44" t="s">
        <v>365</v>
      </c>
      <c r="I163" s="44" t="s">
        <v>148</v>
      </c>
    </row>
    <row r="164" spans="1:9" ht="13.5" hidden="1" customHeight="1">
      <c r="A164" s="84">
        <v>46133</v>
      </c>
      <c r="B164" s="45" t="s">
        <v>215</v>
      </c>
      <c r="C164" s="85">
        <v>1000</v>
      </c>
      <c r="D164" s="45" t="s">
        <v>162</v>
      </c>
      <c r="E164" s="45" t="s">
        <v>49</v>
      </c>
      <c r="F164" s="46"/>
      <c r="G164" s="46"/>
      <c r="H164" s="46" t="s">
        <v>366</v>
      </c>
      <c r="I164" s="45" t="s">
        <v>148</v>
      </c>
    </row>
    <row r="165" spans="1:9" ht="13.5" hidden="1" customHeight="1">
      <c r="A165" s="82">
        <v>46133</v>
      </c>
      <c r="B165" s="44" t="s">
        <v>164</v>
      </c>
      <c r="C165" s="83">
        <v>1200</v>
      </c>
      <c r="D165" s="44" t="s">
        <v>162</v>
      </c>
      <c r="E165" s="44" t="s">
        <v>49</v>
      </c>
      <c r="F165" s="44"/>
      <c r="G165" s="44"/>
      <c r="H165" s="44" t="s">
        <v>367</v>
      </c>
      <c r="I165" s="44" t="s">
        <v>148</v>
      </c>
    </row>
    <row r="166" spans="1:9" ht="13.5" hidden="1" customHeight="1">
      <c r="A166" s="84">
        <v>46134</v>
      </c>
      <c r="B166" s="45" t="s">
        <v>368</v>
      </c>
      <c r="C166" s="85">
        <v>1280</v>
      </c>
      <c r="D166" s="45" t="s">
        <v>162</v>
      </c>
      <c r="E166" s="45" t="s">
        <v>49</v>
      </c>
      <c r="F166" s="46"/>
      <c r="G166" s="46"/>
      <c r="H166" s="46" t="s">
        <v>369</v>
      </c>
      <c r="I166" s="45" t="s">
        <v>148</v>
      </c>
    </row>
    <row r="167" spans="1:9" ht="13.5" hidden="1" customHeight="1">
      <c r="A167" s="82">
        <v>46134</v>
      </c>
      <c r="B167" s="44" t="s">
        <v>191</v>
      </c>
      <c r="C167" s="83">
        <v>1100</v>
      </c>
      <c r="D167" s="44" t="s">
        <v>162</v>
      </c>
      <c r="E167" s="44" t="s">
        <v>49</v>
      </c>
      <c r="F167" s="44"/>
      <c r="G167" s="44"/>
      <c r="H167" s="44" t="s">
        <v>370</v>
      </c>
      <c r="I167" s="44" t="s">
        <v>148</v>
      </c>
    </row>
    <row r="168" spans="1:9" ht="13.5" hidden="1" customHeight="1">
      <c r="A168" s="82">
        <v>46134</v>
      </c>
      <c r="B168" s="44" t="s">
        <v>355</v>
      </c>
      <c r="C168" s="83">
        <v>950</v>
      </c>
      <c r="D168" s="44" t="s">
        <v>162</v>
      </c>
      <c r="E168" s="44" t="s">
        <v>49</v>
      </c>
      <c r="F168" s="44"/>
      <c r="G168" s="44"/>
      <c r="H168" s="44" t="s">
        <v>371</v>
      </c>
      <c r="I168" s="44" t="s">
        <v>148</v>
      </c>
    </row>
    <row r="169" spans="1:9" ht="13.5" hidden="1" customHeight="1">
      <c r="A169" s="84">
        <v>46134</v>
      </c>
      <c r="B169" s="45" t="s">
        <v>177</v>
      </c>
      <c r="C169" s="85">
        <v>650</v>
      </c>
      <c r="D169" s="45" t="s">
        <v>162</v>
      </c>
      <c r="E169" s="45" t="s">
        <v>49</v>
      </c>
      <c r="F169" s="46"/>
      <c r="G169" s="46"/>
      <c r="H169" s="46" t="s">
        <v>372</v>
      </c>
      <c r="I169" s="45" t="s">
        <v>148</v>
      </c>
    </row>
    <row r="170" spans="1:9" ht="13.5" hidden="1" customHeight="1">
      <c r="A170" s="82">
        <v>46134</v>
      </c>
      <c r="B170" s="44" t="s">
        <v>373</v>
      </c>
      <c r="C170" s="83">
        <v>650</v>
      </c>
      <c r="D170" s="44" t="s">
        <v>162</v>
      </c>
      <c r="E170" s="44" t="s">
        <v>49</v>
      </c>
      <c r="F170" s="44"/>
      <c r="G170" s="44"/>
      <c r="H170" s="44" t="s">
        <v>374</v>
      </c>
      <c r="I170" s="44" t="s">
        <v>148</v>
      </c>
    </row>
    <row r="171" spans="1:9" ht="13.5" hidden="1" customHeight="1">
      <c r="A171" s="84">
        <v>46136</v>
      </c>
      <c r="B171" s="45" t="s">
        <v>214</v>
      </c>
      <c r="C171" s="85">
        <v>680</v>
      </c>
      <c r="D171" s="45" t="s">
        <v>162</v>
      </c>
      <c r="E171" s="45" t="s">
        <v>49</v>
      </c>
      <c r="F171" s="46"/>
      <c r="G171" s="46"/>
      <c r="H171" s="46" t="s">
        <v>372</v>
      </c>
      <c r="I171" s="45" t="s">
        <v>148</v>
      </c>
    </row>
    <row r="172" spans="1:9" ht="13.5" hidden="1" customHeight="1">
      <c r="A172" s="82">
        <v>46138</v>
      </c>
      <c r="B172" s="44" t="s">
        <v>375</v>
      </c>
      <c r="C172" s="83">
        <v>690</v>
      </c>
      <c r="D172" s="44" t="s">
        <v>162</v>
      </c>
      <c r="E172" s="44" t="s">
        <v>49</v>
      </c>
      <c r="F172" s="44"/>
      <c r="G172" s="44"/>
      <c r="H172" s="44" t="s">
        <v>376</v>
      </c>
      <c r="I172" s="44" t="s">
        <v>148</v>
      </c>
    </row>
    <row r="173" spans="1:9" ht="13.5" hidden="1" customHeight="1">
      <c r="A173" s="84">
        <v>46138</v>
      </c>
      <c r="B173" s="45" t="s">
        <v>377</v>
      </c>
      <c r="C173" s="85">
        <v>1099</v>
      </c>
      <c r="D173" s="45" t="s">
        <v>162</v>
      </c>
      <c r="E173" s="45" t="s">
        <v>49</v>
      </c>
      <c r="F173" s="46"/>
      <c r="G173" s="46"/>
      <c r="H173" s="46" t="s">
        <v>378</v>
      </c>
      <c r="I173" s="45" t="s">
        <v>148</v>
      </c>
    </row>
    <row r="174" spans="1:9" ht="13.5" hidden="1" customHeight="1">
      <c r="A174" s="82">
        <v>46139</v>
      </c>
      <c r="B174" s="44" t="s">
        <v>379</v>
      </c>
      <c r="C174" s="83">
        <v>690</v>
      </c>
      <c r="D174" s="44" t="s">
        <v>162</v>
      </c>
      <c r="E174" s="44" t="s">
        <v>49</v>
      </c>
      <c r="F174" s="44"/>
      <c r="G174" s="44"/>
      <c r="H174" s="44" t="s">
        <v>380</v>
      </c>
      <c r="I174" s="44" t="s">
        <v>148</v>
      </c>
    </row>
    <row r="175" spans="1:9" ht="13.5" hidden="1" customHeight="1">
      <c r="A175" s="84">
        <v>46139</v>
      </c>
      <c r="B175" s="45" t="s">
        <v>381</v>
      </c>
      <c r="C175" s="85">
        <v>690</v>
      </c>
      <c r="D175" s="45" t="s">
        <v>162</v>
      </c>
      <c r="E175" s="45" t="s">
        <v>49</v>
      </c>
      <c r="F175" s="46"/>
      <c r="G175" s="46"/>
      <c r="H175" s="46" t="s">
        <v>376</v>
      </c>
      <c r="I175" s="45" t="s">
        <v>148</v>
      </c>
    </row>
    <row r="176" spans="1:9" ht="13.5" hidden="1" customHeight="1">
      <c r="A176" s="82">
        <v>46139</v>
      </c>
      <c r="B176" s="44" t="s">
        <v>382</v>
      </c>
      <c r="C176" s="83">
        <v>690</v>
      </c>
      <c r="D176" s="44" t="s">
        <v>162</v>
      </c>
      <c r="E176" s="44" t="s">
        <v>49</v>
      </c>
      <c r="F176" s="44"/>
      <c r="G176" s="44"/>
      <c r="H176" s="44" t="s">
        <v>383</v>
      </c>
      <c r="I176" s="44" t="s">
        <v>148</v>
      </c>
    </row>
    <row r="177" spans="1:9" ht="13.5" hidden="1" customHeight="1">
      <c r="A177" s="84">
        <v>46140</v>
      </c>
      <c r="B177" s="45" t="s">
        <v>384</v>
      </c>
      <c r="C177" s="85">
        <v>1380</v>
      </c>
      <c r="D177" s="45" t="s">
        <v>162</v>
      </c>
      <c r="E177" s="45" t="s">
        <v>49</v>
      </c>
      <c r="F177" s="46"/>
      <c r="G177" s="46"/>
      <c r="H177" s="46" t="s">
        <v>385</v>
      </c>
      <c r="I177" s="45" t="s">
        <v>148</v>
      </c>
    </row>
    <row r="178" spans="1:9" ht="13.5" hidden="1" customHeight="1">
      <c r="A178" s="82">
        <v>46140</v>
      </c>
      <c r="B178" s="44" t="s">
        <v>186</v>
      </c>
      <c r="C178" s="83">
        <v>1480</v>
      </c>
      <c r="D178" s="44" t="s">
        <v>162</v>
      </c>
      <c r="E178" s="44" t="s">
        <v>49</v>
      </c>
      <c r="F178" s="44"/>
      <c r="G178" s="44"/>
      <c r="H178" s="44" t="s">
        <v>386</v>
      </c>
      <c r="I178" s="44" t="s">
        <v>148</v>
      </c>
    </row>
    <row r="179" spans="1:9" ht="13.5" hidden="1" customHeight="1">
      <c r="A179" s="84">
        <v>46140</v>
      </c>
      <c r="B179" s="45" t="s">
        <v>387</v>
      </c>
      <c r="C179" s="85">
        <v>1200</v>
      </c>
      <c r="D179" s="45" t="s">
        <v>162</v>
      </c>
      <c r="E179" s="45" t="s">
        <v>49</v>
      </c>
      <c r="F179" s="46"/>
      <c r="G179" s="46"/>
      <c r="H179" s="46" t="s">
        <v>388</v>
      </c>
      <c r="I179" s="45" t="s">
        <v>148</v>
      </c>
    </row>
    <row r="180" spans="1:9" ht="13.5" hidden="1" customHeight="1">
      <c r="A180" s="82">
        <v>46140</v>
      </c>
      <c r="B180" s="44" t="s">
        <v>389</v>
      </c>
      <c r="C180" s="83">
        <v>1200</v>
      </c>
      <c r="D180" s="44" t="s">
        <v>162</v>
      </c>
      <c r="E180" s="44" t="s">
        <v>49</v>
      </c>
      <c r="F180" s="44"/>
      <c r="G180" s="44"/>
      <c r="H180" s="44" t="s">
        <v>390</v>
      </c>
      <c r="I180" s="44" t="s">
        <v>148</v>
      </c>
    </row>
    <row r="181" spans="1:9" ht="13.5" hidden="1" customHeight="1">
      <c r="A181" s="84">
        <v>46141</v>
      </c>
      <c r="B181" s="45" t="s">
        <v>391</v>
      </c>
      <c r="C181" s="85">
        <v>1380</v>
      </c>
      <c r="D181" s="45" t="s">
        <v>162</v>
      </c>
      <c r="E181" s="45" t="s">
        <v>49</v>
      </c>
      <c r="F181" s="46"/>
      <c r="G181" s="46"/>
      <c r="H181" s="46" t="s">
        <v>392</v>
      </c>
      <c r="I181" s="45" t="s">
        <v>148</v>
      </c>
    </row>
    <row r="182" spans="1:9" ht="13.5" hidden="1" customHeight="1">
      <c r="A182" s="82">
        <v>46141</v>
      </c>
      <c r="B182" s="44" t="s">
        <v>393</v>
      </c>
      <c r="C182" s="83">
        <v>690</v>
      </c>
      <c r="D182" s="44" t="s">
        <v>162</v>
      </c>
      <c r="E182" s="44" t="s">
        <v>49</v>
      </c>
      <c r="F182" s="44"/>
      <c r="G182" s="44"/>
      <c r="H182" s="44" t="s">
        <v>383</v>
      </c>
      <c r="I182" s="44" t="s">
        <v>148</v>
      </c>
    </row>
    <row r="183" spans="1:9" ht="13.5" hidden="1" customHeight="1">
      <c r="A183" s="84">
        <v>46142</v>
      </c>
      <c r="B183" s="45" t="s">
        <v>394</v>
      </c>
      <c r="C183" s="85">
        <v>690</v>
      </c>
      <c r="D183" s="45" t="s">
        <v>162</v>
      </c>
      <c r="E183" s="45" t="s">
        <v>49</v>
      </c>
      <c r="F183" s="46"/>
      <c r="G183" s="46"/>
      <c r="H183" s="46" t="s">
        <v>395</v>
      </c>
      <c r="I183" s="45" t="s">
        <v>148</v>
      </c>
    </row>
    <row r="184" spans="1:9" ht="13.5" hidden="1" customHeight="1">
      <c r="A184" s="82">
        <v>46142</v>
      </c>
      <c r="B184" s="44" t="s">
        <v>396</v>
      </c>
      <c r="C184" s="83">
        <v>690</v>
      </c>
      <c r="D184" s="44" t="s">
        <v>162</v>
      </c>
      <c r="E184" s="44" t="s">
        <v>49</v>
      </c>
      <c r="F184" s="44"/>
      <c r="G184" s="44"/>
      <c r="H184" s="44" t="s">
        <v>383</v>
      </c>
      <c r="I184" s="44" t="s">
        <v>148</v>
      </c>
    </row>
    <row r="185" spans="1:9" ht="13.5" hidden="1" customHeight="1">
      <c r="A185" s="84">
        <v>46142</v>
      </c>
      <c r="B185" s="45" t="s">
        <v>397</v>
      </c>
      <c r="C185" s="85">
        <v>609</v>
      </c>
      <c r="D185" s="45" t="s">
        <v>162</v>
      </c>
      <c r="E185" s="45" t="s">
        <v>49</v>
      </c>
      <c r="F185" s="46"/>
      <c r="G185" s="46"/>
      <c r="H185" s="46" t="s">
        <v>398</v>
      </c>
      <c r="I185" s="45" t="s">
        <v>148</v>
      </c>
    </row>
    <row r="186" spans="1:9" ht="13.5" hidden="1"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hidden="1" customHeight="1">
      <c r="A188" s="84">
        <v>46145</v>
      </c>
      <c r="B188" s="45" t="s">
        <v>403</v>
      </c>
      <c r="C188" s="85">
        <v>1200</v>
      </c>
      <c r="D188" s="45" t="s">
        <v>162</v>
      </c>
      <c r="E188" s="45" t="s">
        <v>49</v>
      </c>
      <c r="F188" s="46"/>
      <c r="G188" s="46"/>
      <c r="H188" s="46" t="s">
        <v>404</v>
      </c>
      <c r="I188" s="45" t="s">
        <v>148</v>
      </c>
    </row>
    <row r="189" spans="1:9" ht="13.5" hidden="1" customHeight="1">
      <c r="A189" s="82">
        <v>46145</v>
      </c>
      <c r="B189" s="44" t="s">
        <v>405</v>
      </c>
      <c r="C189" s="83">
        <v>1200</v>
      </c>
      <c r="D189" s="44" t="s">
        <v>162</v>
      </c>
      <c r="E189" s="44" t="s">
        <v>49</v>
      </c>
      <c r="F189" s="44"/>
      <c r="G189" s="44"/>
      <c r="H189" s="44" t="s">
        <v>406</v>
      </c>
      <c r="I189" s="44" t="s">
        <v>148</v>
      </c>
    </row>
    <row r="190" spans="1:9" ht="13.5" hidden="1" customHeight="1">
      <c r="A190" s="84">
        <v>46145</v>
      </c>
      <c r="B190" s="45" t="s">
        <v>161</v>
      </c>
      <c r="C190" s="85">
        <v>600</v>
      </c>
      <c r="D190" s="45" t="s">
        <v>162</v>
      </c>
      <c r="E190" s="45" t="s">
        <v>49</v>
      </c>
      <c r="F190" s="46"/>
      <c r="G190" s="46"/>
      <c r="H190" s="46" t="s">
        <v>407</v>
      </c>
      <c r="I190" s="45" t="s">
        <v>148</v>
      </c>
    </row>
    <row r="191" spans="1:9" ht="42" hidden="1" customHeight="1">
      <c r="A191" s="82">
        <v>46151</v>
      </c>
      <c r="B191" s="44" t="s">
        <v>408</v>
      </c>
      <c r="C191" s="83">
        <v>5600</v>
      </c>
      <c r="D191" s="44" t="s">
        <v>150</v>
      </c>
      <c r="E191" s="44" t="s">
        <v>50</v>
      </c>
      <c r="F191" s="44"/>
      <c r="G191" s="44"/>
      <c r="H191" s="44" t="s">
        <v>409</v>
      </c>
      <c r="I191" s="44" t="s">
        <v>148</v>
      </c>
    </row>
    <row r="192" spans="1:9" ht="27.75" hidden="1" customHeight="1">
      <c r="A192" s="84">
        <v>46152</v>
      </c>
      <c r="B192" s="45" t="s">
        <v>410</v>
      </c>
      <c r="C192" s="85">
        <v>5600</v>
      </c>
      <c r="D192" s="45" t="s">
        <v>150</v>
      </c>
      <c r="E192" s="45" t="s">
        <v>50</v>
      </c>
      <c r="F192" s="46"/>
      <c r="G192" s="46"/>
      <c r="H192" s="46" t="s">
        <v>411</v>
      </c>
      <c r="I192" s="45" t="s">
        <v>148</v>
      </c>
    </row>
    <row r="193" spans="1:9" ht="42" hidden="1" customHeight="1">
      <c r="A193" s="82">
        <v>46152</v>
      </c>
      <c r="B193" s="44" t="s">
        <v>412</v>
      </c>
      <c r="C193" s="83">
        <v>5600</v>
      </c>
      <c r="D193" s="44" t="s">
        <v>150</v>
      </c>
      <c r="E193" s="44" t="s">
        <v>50</v>
      </c>
      <c r="F193" s="44"/>
      <c r="G193" s="44"/>
      <c r="H193" s="44" t="s">
        <v>413</v>
      </c>
      <c r="I193" s="44" t="s">
        <v>148</v>
      </c>
    </row>
    <row r="194" spans="1:9" ht="27.75" hidden="1" customHeight="1">
      <c r="A194" s="84">
        <v>46151</v>
      </c>
      <c r="B194" s="45" t="s">
        <v>414</v>
      </c>
      <c r="C194" s="85">
        <v>3100</v>
      </c>
      <c r="D194" s="45" t="s">
        <v>162</v>
      </c>
      <c r="E194" s="45" t="s">
        <v>49</v>
      </c>
      <c r="F194" s="46"/>
      <c r="G194" s="46"/>
      <c r="H194" s="46" t="s">
        <v>415</v>
      </c>
      <c r="I194" s="45" t="s">
        <v>148</v>
      </c>
    </row>
    <row r="195" spans="1:9" ht="42" hidden="1" customHeight="1">
      <c r="A195" s="82">
        <v>46155</v>
      </c>
      <c r="B195" s="44" t="s">
        <v>416</v>
      </c>
      <c r="C195" s="83">
        <v>5400</v>
      </c>
      <c r="D195" s="44" t="s">
        <v>150</v>
      </c>
      <c r="E195" s="44" t="s">
        <v>50</v>
      </c>
      <c r="F195" s="44"/>
      <c r="G195" s="44"/>
      <c r="H195" s="44" t="s">
        <v>417</v>
      </c>
      <c r="I195" s="44" t="s">
        <v>148</v>
      </c>
    </row>
    <row r="196" spans="1:9" ht="42" hidden="1" customHeight="1">
      <c r="A196" s="84">
        <v>46155</v>
      </c>
      <c r="B196" s="45" t="s">
        <v>418</v>
      </c>
      <c r="C196" s="85">
        <v>5750</v>
      </c>
      <c r="D196" s="45" t="s">
        <v>150</v>
      </c>
      <c r="E196" s="45" t="s">
        <v>50</v>
      </c>
      <c r="F196" s="46"/>
      <c r="G196" s="46"/>
      <c r="H196" s="46" t="s">
        <v>419</v>
      </c>
      <c r="I196" s="45" t="s">
        <v>148</v>
      </c>
    </row>
    <row r="197" spans="1:9" ht="42" hidden="1" customHeight="1">
      <c r="A197" s="82">
        <v>46155</v>
      </c>
      <c r="B197" s="44" t="s">
        <v>183</v>
      </c>
      <c r="C197" s="83">
        <v>4000</v>
      </c>
      <c r="D197" s="44" t="s">
        <v>150</v>
      </c>
      <c r="E197" s="44" t="s">
        <v>50</v>
      </c>
      <c r="F197" s="44"/>
      <c r="G197" s="44"/>
      <c r="H197" s="44" t="s">
        <v>420</v>
      </c>
      <c r="I197" s="44" t="s">
        <v>148</v>
      </c>
    </row>
    <row r="198" spans="1:9" ht="42" hidden="1" customHeight="1">
      <c r="A198" s="84">
        <v>46168</v>
      </c>
      <c r="B198" s="45" t="s">
        <v>421</v>
      </c>
      <c r="C198" s="85">
        <v>5200</v>
      </c>
      <c r="D198" s="45" t="s">
        <v>150</v>
      </c>
      <c r="E198" s="45" t="s">
        <v>50</v>
      </c>
      <c r="F198" s="46"/>
      <c r="G198" s="46"/>
      <c r="H198" s="46" t="s">
        <v>422</v>
      </c>
      <c r="I198" s="45" t="s">
        <v>148</v>
      </c>
    </row>
    <row r="199" spans="1:9" ht="13.5" hidden="1" customHeight="1">
      <c r="A199" s="82">
        <v>46172</v>
      </c>
      <c r="B199" s="44" t="s">
        <v>423</v>
      </c>
      <c r="C199" s="83">
        <v>1425</v>
      </c>
      <c r="D199" s="44" t="s">
        <v>150</v>
      </c>
      <c r="E199" s="44" t="s">
        <v>50</v>
      </c>
      <c r="F199" s="44"/>
      <c r="G199" s="44"/>
      <c r="H199" s="44" t="s">
        <v>424</v>
      </c>
      <c r="I199" s="44" t="s">
        <v>148</v>
      </c>
    </row>
    <row r="200" spans="1:9" ht="27.75" hidden="1" customHeight="1">
      <c r="A200" s="84">
        <v>46173</v>
      </c>
      <c r="B200" s="45" t="s">
        <v>425</v>
      </c>
      <c r="C200" s="85">
        <v>2850</v>
      </c>
      <c r="D200" s="45" t="s">
        <v>150</v>
      </c>
      <c r="E200" s="45" t="s">
        <v>50</v>
      </c>
      <c r="F200" s="46"/>
      <c r="G200" s="46"/>
      <c r="H200" s="46" t="s">
        <v>426</v>
      </c>
      <c r="I200" s="45" t="s">
        <v>148</v>
      </c>
    </row>
    <row r="201" spans="1:9" ht="27.75" hidden="1" customHeight="1">
      <c r="A201" s="82">
        <v>46173</v>
      </c>
      <c r="B201" s="44" t="s">
        <v>427</v>
      </c>
      <c r="C201" s="83">
        <v>3850</v>
      </c>
      <c r="D201" s="44" t="s">
        <v>150</v>
      </c>
      <c r="E201" s="44" t="s">
        <v>50</v>
      </c>
      <c r="F201" s="44"/>
      <c r="G201" s="44"/>
      <c r="H201" s="44" t="s">
        <v>428</v>
      </c>
      <c r="I201" s="44" t="s">
        <v>148</v>
      </c>
    </row>
    <row r="202" spans="1:9" ht="13.5" hidden="1" customHeight="1">
      <c r="A202" s="84">
        <v>46173</v>
      </c>
      <c r="B202" s="45" t="s">
        <v>429</v>
      </c>
      <c r="C202" s="85">
        <v>930</v>
      </c>
      <c r="D202" s="45" t="s">
        <v>150</v>
      </c>
      <c r="E202" s="45" t="s">
        <v>50</v>
      </c>
      <c r="F202" s="46"/>
      <c r="G202" s="46"/>
      <c r="H202" s="46" t="s">
        <v>430</v>
      </c>
      <c r="I202" s="45" t="s">
        <v>148</v>
      </c>
    </row>
    <row r="203" spans="1:9" ht="13.5" hidden="1" customHeight="1">
      <c r="A203" s="82">
        <v>46173</v>
      </c>
      <c r="B203" s="44" t="s">
        <v>431</v>
      </c>
      <c r="C203" s="83">
        <v>699</v>
      </c>
      <c r="D203" s="44" t="s">
        <v>150</v>
      </c>
      <c r="E203" s="44" t="s">
        <v>50</v>
      </c>
      <c r="F203" s="44"/>
      <c r="G203" s="44"/>
      <c r="H203" s="44" t="s">
        <v>432</v>
      </c>
      <c r="I203" s="44" t="s">
        <v>148</v>
      </c>
    </row>
    <row r="204" spans="1:9" ht="13.5" hidden="1" customHeight="1">
      <c r="A204" s="84">
        <v>46175</v>
      </c>
      <c r="B204" s="45" t="s">
        <v>433</v>
      </c>
      <c r="C204" s="85">
        <v>699</v>
      </c>
      <c r="D204" s="45" t="s">
        <v>162</v>
      </c>
      <c r="E204" s="45" t="s">
        <v>49</v>
      </c>
      <c r="F204" s="46"/>
      <c r="G204" s="46"/>
      <c r="H204" s="46" t="s">
        <v>432</v>
      </c>
      <c r="I204" s="45" t="s">
        <v>148</v>
      </c>
    </row>
    <row r="205" spans="1:9" ht="13.5" hidden="1" customHeight="1">
      <c r="A205" s="82">
        <v>46175</v>
      </c>
      <c r="B205" s="44" t="s">
        <v>434</v>
      </c>
      <c r="C205" s="83">
        <v>700</v>
      </c>
      <c r="D205" s="44" t="s">
        <v>162</v>
      </c>
      <c r="E205" s="44" t="s">
        <v>49</v>
      </c>
      <c r="F205" s="44"/>
      <c r="G205" s="44"/>
      <c r="H205" s="44" t="s">
        <v>435</v>
      </c>
      <c r="I205" s="44" t="s">
        <v>148</v>
      </c>
    </row>
    <row r="206" spans="1:9" ht="13.5" hidden="1" customHeight="1">
      <c r="A206" s="84">
        <v>46175</v>
      </c>
      <c r="B206" s="45" t="s">
        <v>436</v>
      </c>
      <c r="C206" s="85">
        <v>1350</v>
      </c>
      <c r="D206" s="45" t="s">
        <v>162</v>
      </c>
      <c r="E206" s="45" t="s">
        <v>49</v>
      </c>
      <c r="F206" s="46"/>
      <c r="G206" s="46"/>
      <c r="H206" s="44" t="s">
        <v>437</v>
      </c>
      <c r="I206" s="45" t="s">
        <v>148</v>
      </c>
    </row>
    <row r="207" spans="1:9" ht="13.5" hidden="1" customHeight="1">
      <c r="A207" s="82">
        <v>46175</v>
      </c>
      <c r="B207" s="44" t="s">
        <v>438</v>
      </c>
      <c r="C207" s="83">
        <v>699</v>
      </c>
      <c r="D207" s="44" t="s">
        <v>162</v>
      </c>
      <c r="E207" s="44" t="s">
        <v>49</v>
      </c>
      <c r="F207" s="44"/>
      <c r="G207" s="44"/>
      <c r="H207" s="44" t="s">
        <v>439</v>
      </c>
      <c r="I207" s="44" t="s">
        <v>148</v>
      </c>
    </row>
    <row r="208" spans="1:9" ht="13.5" hidden="1" customHeight="1">
      <c r="A208" s="84">
        <v>46175</v>
      </c>
      <c r="B208" s="45" t="s">
        <v>440</v>
      </c>
      <c r="C208" s="85">
        <v>699</v>
      </c>
      <c r="D208" s="45" t="s">
        <v>162</v>
      </c>
      <c r="E208" s="45" t="s">
        <v>49</v>
      </c>
      <c r="F208" s="46"/>
      <c r="G208" s="46"/>
      <c r="H208" s="46" t="s">
        <v>441</v>
      </c>
      <c r="I208" s="45" t="s">
        <v>148</v>
      </c>
    </row>
    <row r="209" spans="1:9" ht="13.5" hidden="1" customHeight="1">
      <c r="A209" s="82">
        <v>46176</v>
      </c>
      <c r="B209" s="44" t="s">
        <v>442</v>
      </c>
      <c r="C209" s="83">
        <v>699</v>
      </c>
      <c r="D209" s="44" t="s">
        <v>162</v>
      </c>
      <c r="E209" s="44" t="s">
        <v>49</v>
      </c>
      <c r="F209" s="44"/>
      <c r="G209" s="44"/>
      <c r="H209" s="44" t="s">
        <v>439</v>
      </c>
      <c r="I209" s="44" t="s">
        <v>148</v>
      </c>
    </row>
    <row r="210" spans="1:9" ht="27.75" hidden="1" customHeight="1">
      <c r="A210" s="84">
        <v>46176</v>
      </c>
      <c r="B210" s="45" t="s">
        <v>443</v>
      </c>
      <c r="C210" s="85">
        <v>2200</v>
      </c>
      <c r="D210" s="45" t="s">
        <v>162</v>
      </c>
      <c r="E210" s="45" t="s">
        <v>49</v>
      </c>
      <c r="F210" s="46"/>
      <c r="G210" s="46"/>
      <c r="H210" s="46" t="s">
        <v>444</v>
      </c>
      <c r="I210" s="45" t="s">
        <v>148</v>
      </c>
    </row>
    <row r="211" spans="1:9" ht="13.5" hidden="1" customHeight="1">
      <c r="A211" s="82">
        <v>46176</v>
      </c>
      <c r="B211" s="44" t="s">
        <v>445</v>
      </c>
      <c r="C211" s="83">
        <v>699</v>
      </c>
      <c r="D211" s="44" t="s">
        <v>162</v>
      </c>
      <c r="E211" s="44" t="s">
        <v>49</v>
      </c>
      <c r="F211" s="44"/>
      <c r="G211" s="44"/>
      <c r="H211" s="44" t="s">
        <v>446</v>
      </c>
      <c r="I211" s="44" t="s">
        <v>148</v>
      </c>
    </row>
    <row r="212" spans="1:9" ht="14" hidden="1">
      <c r="A212" s="84">
        <v>46176</v>
      </c>
      <c r="B212" s="45" t="s">
        <v>447</v>
      </c>
      <c r="C212" s="85">
        <v>699</v>
      </c>
      <c r="D212" s="45" t="s">
        <v>162</v>
      </c>
      <c r="E212" s="45" t="s">
        <v>49</v>
      </c>
      <c r="F212" s="46"/>
      <c r="G212" s="46"/>
      <c r="H212" s="46" t="s">
        <v>432</v>
      </c>
      <c r="I212" s="45" t="s">
        <v>148</v>
      </c>
    </row>
    <row r="213" spans="1:9" ht="13.5" hidden="1"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hidden="1" customHeight="1">
      <c r="A215" s="82">
        <v>46187</v>
      </c>
      <c r="B215" s="44" t="s">
        <v>450</v>
      </c>
      <c r="C215" s="83">
        <v>1380</v>
      </c>
      <c r="D215" s="44" t="s">
        <v>162</v>
      </c>
      <c r="E215" s="44" t="s">
        <v>49</v>
      </c>
      <c r="F215" s="44"/>
      <c r="G215" s="44"/>
      <c r="H215" s="44" t="s">
        <v>235</v>
      </c>
      <c r="I215" s="44" t="s">
        <v>148</v>
      </c>
    </row>
    <row r="216" spans="1:9" ht="55.5" hidden="1" customHeight="1">
      <c r="A216" s="84">
        <v>46188</v>
      </c>
      <c r="B216" s="45" t="s">
        <v>451</v>
      </c>
      <c r="C216" s="85">
        <v>5000</v>
      </c>
      <c r="D216" s="45" t="s">
        <v>162</v>
      </c>
      <c r="E216" s="45" t="s">
        <v>49</v>
      </c>
      <c r="F216" s="46"/>
      <c r="G216" s="46"/>
      <c r="H216" s="46" t="s">
        <v>1082</v>
      </c>
      <c r="I216" s="45" t="s">
        <v>148</v>
      </c>
    </row>
    <row r="217" spans="1:9" ht="13.5" hidden="1" customHeight="1">
      <c r="A217" s="84">
        <v>46191</v>
      </c>
      <c r="B217" s="45" t="s">
        <v>452</v>
      </c>
      <c r="C217" s="85">
        <v>1380</v>
      </c>
      <c r="D217" s="45" t="s">
        <v>162</v>
      </c>
      <c r="E217" s="45" t="s">
        <v>49</v>
      </c>
      <c r="F217" s="46"/>
      <c r="G217" s="46"/>
      <c r="H217" s="46" t="s">
        <v>453</v>
      </c>
      <c r="I217" s="45" t="s">
        <v>148</v>
      </c>
    </row>
    <row r="218" spans="1:9" ht="13.5" hidden="1" customHeight="1">
      <c r="A218" s="82">
        <v>46191</v>
      </c>
      <c r="B218" s="44" t="s">
        <v>454</v>
      </c>
      <c r="C218" s="83">
        <v>1380</v>
      </c>
      <c r="D218" s="44" t="s">
        <v>162</v>
      </c>
      <c r="E218" s="44" t="s">
        <v>49</v>
      </c>
      <c r="F218" s="44"/>
      <c r="G218" s="44"/>
      <c r="H218" s="44" t="s">
        <v>366</v>
      </c>
      <c r="I218" s="44" t="s">
        <v>148</v>
      </c>
    </row>
    <row r="219" spans="1:9" ht="13.5" hidden="1" customHeight="1">
      <c r="A219" s="84">
        <v>46191</v>
      </c>
      <c r="B219" s="45" t="s">
        <v>455</v>
      </c>
      <c r="C219" s="85">
        <v>1380</v>
      </c>
      <c r="D219" s="45" t="s">
        <v>162</v>
      </c>
      <c r="E219" s="45" t="s">
        <v>49</v>
      </c>
      <c r="F219" s="46"/>
      <c r="G219" s="46"/>
      <c r="H219" s="46" t="s">
        <v>366</v>
      </c>
      <c r="I219" s="45" t="s">
        <v>148</v>
      </c>
    </row>
    <row r="220" spans="1:9" ht="13.5" hidden="1" customHeight="1">
      <c r="A220" s="82">
        <v>46191</v>
      </c>
      <c r="B220" s="44" t="s">
        <v>373</v>
      </c>
      <c r="C220" s="83">
        <v>1380</v>
      </c>
      <c r="D220" s="44" t="s">
        <v>162</v>
      </c>
      <c r="E220" s="44" t="s">
        <v>49</v>
      </c>
      <c r="F220" s="44"/>
      <c r="G220" s="44"/>
      <c r="H220" s="44" t="s">
        <v>367</v>
      </c>
      <c r="I220" s="44" t="s">
        <v>148</v>
      </c>
    </row>
    <row r="221" spans="1:9" ht="13.5" hidden="1" customHeight="1">
      <c r="A221" s="84">
        <v>46191</v>
      </c>
      <c r="B221" s="45" t="s">
        <v>456</v>
      </c>
      <c r="C221" s="85">
        <v>1380</v>
      </c>
      <c r="D221" s="45" t="s">
        <v>162</v>
      </c>
      <c r="E221" s="45" t="s">
        <v>49</v>
      </c>
      <c r="F221" s="46"/>
      <c r="G221" s="46"/>
      <c r="H221" s="46" t="s">
        <v>366</v>
      </c>
      <c r="I221" s="45" t="s">
        <v>148</v>
      </c>
    </row>
    <row r="222" spans="1:9" ht="13.5" hidden="1" customHeight="1">
      <c r="A222" s="82">
        <v>46191</v>
      </c>
      <c r="B222" s="44" t="s">
        <v>457</v>
      </c>
      <c r="C222" s="83">
        <v>1380</v>
      </c>
      <c r="D222" s="44" t="s">
        <v>162</v>
      </c>
      <c r="E222" s="44" t="s">
        <v>49</v>
      </c>
      <c r="F222" s="44"/>
      <c r="G222" s="44"/>
      <c r="H222" s="44" t="s">
        <v>367</v>
      </c>
      <c r="I222" s="44" t="s">
        <v>148</v>
      </c>
    </row>
    <row r="223" spans="1:9" ht="13.5" hidden="1" customHeight="1">
      <c r="A223" s="84">
        <v>46191</v>
      </c>
      <c r="B223" s="45" t="s">
        <v>458</v>
      </c>
      <c r="C223" s="85">
        <v>1380</v>
      </c>
      <c r="D223" s="45" t="s">
        <v>162</v>
      </c>
      <c r="E223" s="45" t="s">
        <v>49</v>
      </c>
      <c r="F223" s="46"/>
      <c r="G223" s="46"/>
      <c r="H223" s="46" t="s">
        <v>366</v>
      </c>
      <c r="I223" s="45" t="s">
        <v>148</v>
      </c>
    </row>
    <row r="224" spans="1:9" ht="13.5" hidden="1" customHeight="1">
      <c r="A224" s="82">
        <v>46192</v>
      </c>
      <c r="B224" s="44" t="s">
        <v>459</v>
      </c>
      <c r="C224" s="83">
        <v>1380</v>
      </c>
      <c r="D224" s="44" t="s">
        <v>162</v>
      </c>
      <c r="E224" s="44" t="s">
        <v>49</v>
      </c>
      <c r="F224" s="44"/>
      <c r="G224" s="44"/>
      <c r="H224" s="44" t="s">
        <v>367</v>
      </c>
      <c r="I224" s="44" t="s">
        <v>148</v>
      </c>
    </row>
    <row r="225" spans="1:9" ht="13.5" hidden="1" customHeight="1">
      <c r="A225" s="84">
        <v>46192</v>
      </c>
      <c r="B225" s="45" t="s">
        <v>460</v>
      </c>
      <c r="C225" s="85">
        <v>1440</v>
      </c>
      <c r="D225" s="45" t="s">
        <v>162</v>
      </c>
      <c r="E225" s="45" t="s">
        <v>49</v>
      </c>
      <c r="F225" s="46"/>
      <c r="G225" s="46"/>
      <c r="H225" s="46" t="s">
        <v>367</v>
      </c>
      <c r="I225" s="45" t="s">
        <v>148</v>
      </c>
    </row>
    <row r="226" spans="1:9" ht="13.5" hidden="1" customHeight="1">
      <c r="A226" s="82">
        <v>46192</v>
      </c>
      <c r="B226" s="44" t="s">
        <v>461</v>
      </c>
      <c r="C226" s="83">
        <v>1380</v>
      </c>
      <c r="D226" s="44" t="s">
        <v>162</v>
      </c>
      <c r="E226" s="44" t="s">
        <v>49</v>
      </c>
      <c r="F226" s="44"/>
      <c r="G226" s="44"/>
      <c r="H226" s="44" t="s">
        <v>366</v>
      </c>
      <c r="I226" s="44" t="s">
        <v>148</v>
      </c>
    </row>
    <row r="227" spans="1:9" ht="13.5" hidden="1" customHeight="1">
      <c r="A227" s="84">
        <v>46192</v>
      </c>
      <c r="B227" s="45" t="s">
        <v>462</v>
      </c>
      <c r="C227" s="85">
        <v>1380</v>
      </c>
      <c r="D227" s="45" t="s">
        <v>162</v>
      </c>
      <c r="E227" s="45" t="s">
        <v>49</v>
      </c>
      <c r="F227" s="46"/>
      <c r="G227" s="46"/>
      <c r="H227" s="46" t="s">
        <v>366</v>
      </c>
      <c r="I227" s="45" t="s">
        <v>148</v>
      </c>
    </row>
    <row r="228" spans="1:9" ht="13.5" hidden="1" customHeight="1">
      <c r="A228" s="82">
        <v>46193</v>
      </c>
      <c r="B228" s="44" t="s">
        <v>463</v>
      </c>
      <c r="C228" s="83">
        <v>699</v>
      </c>
      <c r="D228" s="44" t="s">
        <v>162</v>
      </c>
      <c r="E228" s="44" t="s">
        <v>49</v>
      </c>
      <c r="F228" s="44"/>
      <c r="G228" s="44"/>
      <c r="H228" s="44" t="s">
        <v>464</v>
      </c>
      <c r="I228" s="44" t="s">
        <v>148</v>
      </c>
    </row>
    <row r="229" spans="1:9" ht="13.5" hidden="1" customHeight="1">
      <c r="A229" s="84">
        <v>46193</v>
      </c>
      <c r="B229" s="45" t="s">
        <v>465</v>
      </c>
      <c r="C229" s="85">
        <v>699</v>
      </c>
      <c r="D229" s="45" t="s">
        <v>162</v>
      </c>
      <c r="E229" s="45" t="s">
        <v>49</v>
      </c>
      <c r="F229" s="46"/>
      <c r="G229" s="46"/>
      <c r="H229" s="46" t="s">
        <v>466</v>
      </c>
      <c r="I229" s="45" t="s">
        <v>148</v>
      </c>
    </row>
    <row r="230" spans="1:9" ht="13.5" hidden="1" customHeight="1">
      <c r="A230" s="82">
        <v>46193</v>
      </c>
      <c r="B230" s="44" t="s">
        <v>467</v>
      </c>
      <c r="C230" s="83">
        <v>1380</v>
      </c>
      <c r="D230" s="44" t="s">
        <v>162</v>
      </c>
      <c r="E230" s="44" t="s">
        <v>49</v>
      </c>
      <c r="F230" s="44"/>
      <c r="G230" s="44"/>
      <c r="H230" s="44" t="s">
        <v>367</v>
      </c>
      <c r="I230" s="44" t="s">
        <v>148</v>
      </c>
    </row>
    <row r="231" spans="1:9" ht="13.5" hidden="1" customHeight="1">
      <c r="A231" s="84">
        <v>46193</v>
      </c>
      <c r="B231" s="45" t="s">
        <v>468</v>
      </c>
      <c r="C231" s="85">
        <v>699</v>
      </c>
      <c r="D231" s="45" t="s">
        <v>162</v>
      </c>
      <c r="E231" s="45" t="s">
        <v>49</v>
      </c>
      <c r="F231" s="46"/>
      <c r="G231" s="46"/>
      <c r="H231" s="46" t="s">
        <v>464</v>
      </c>
      <c r="I231" s="45" t="s">
        <v>148</v>
      </c>
    </row>
    <row r="232" spans="1:9" ht="13.5" hidden="1" customHeight="1">
      <c r="A232" s="82">
        <v>46193</v>
      </c>
      <c r="B232" s="44" t="s">
        <v>469</v>
      </c>
      <c r="C232" s="83">
        <v>1380</v>
      </c>
      <c r="D232" s="44" t="s">
        <v>162</v>
      </c>
      <c r="E232" s="44" t="s">
        <v>49</v>
      </c>
      <c r="F232" s="44"/>
      <c r="G232" s="44"/>
      <c r="H232" s="44" t="s">
        <v>366</v>
      </c>
      <c r="I232" s="44" t="s">
        <v>148</v>
      </c>
    </row>
    <row r="233" spans="1:9" ht="13.5" hidden="1"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hidden="1" customHeight="1">
      <c r="A235" s="84">
        <v>46194</v>
      </c>
      <c r="B235" s="45" t="s">
        <v>472</v>
      </c>
      <c r="C235" s="85">
        <v>700</v>
      </c>
      <c r="D235" s="45" t="s">
        <v>162</v>
      </c>
      <c r="E235" s="45" t="s">
        <v>49</v>
      </c>
      <c r="F235" s="46"/>
      <c r="G235" s="46"/>
      <c r="H235" s="46" t="s">
        <v>473</v>
      </c>
      <c r="I235" s="45" t="s">
        <v>148</v>
      </c>
    </row>
    <row r="236" spans="1:9" ht="27.75" hidden="1" customHeight="1">
      <c r="A236" s="82">
        <v>46194</v>
      </c>
      <c r="B236" s="44" t="s">
        <v>472</v>
      </c>
      <c r="C236" s="83">
        <v>2480</v>
      </c>
      <c r="D236" s="44" t="s">
        <v>162</v>
      </c>
      <c r="E236" s="44" t="s">
        <v>49</v>
      </c>
      <c r="F236" s="44"/>
      <c r="G236" s="44"/>
      <c r="H236" s="44" t="s">
        <v>474</v>
      </c>
      <c r="I236" s="44" t="s">
        <v>148</v>
      </c>
    </row>
    <row r="237" spans="1:9" ht="13.5" hidden="1" customHeight="1">
      <c r="A237" s="84">
        <v>46196</v>
      </c>
      <c r="B237" s="45" t="s">
        <v>472</v>
      </c>
      <c r="C237" s="85">
        <v>700</v>
      </c>
      <c r="D237" s="45" t="s">
        <v>162</v>
      </c>
      <c r="E237" s="45" t="s">
        <v>49</v>
      </c>
      <c r="F237" s="46"/>
      <c r="G237" s="46"/>
      <c r="H237" s="46" t="s">
        <v>475</v>
      </c>
      <c r="I237" s="45" t="s">
        <v>148</v>
      </c>
    </row>
    <row r="238" spans="1:9" ht="13.5" hidden="1" customHeight="1">
      <c r="A238" s="82">
        <v>46196</v>
      </c>
      <c r="B238" s="44" t="s">
        <v>476</v>
      </c>
      <c r="C238" s="83">
        <v>1380</v>
      </c>
      <c r="D238" s="44" t="s">
        <v>162</v>
      </c>
      <c r="E238" s="44" t="s">
        <v>49</v>
      </c>
      <c r="F238" s="44"/>
      <c r="G238" s="44"/>
      <c r="H238" s="44" t="s">
        <v>477</v>
      </c>
      <c r="I238" s="44" t="s">
        <v>148</v>
      </c>
    </row>
    <row r="239" spans="1:9" ht="13.5" hidden="1" customHeight="1">
      <c r="A239" s="84">
        <v>46196</v>
      </c>
      <c r="B239" s="45" t="s">
        <v>478</v>
      </c>
      <c r="C239" s="85">
        <v>699</v>
      </c>
      <c r="D239" s="45" t="s">
        <v>162</v>
      </c>
      <c r="E239" s="45" t="s">
        <v>49</v>
      </c>
      <c r="F239" s="46"/>
      <c r="G239" s="46"/>
      <c r="H239" s="46" t="s">
        <v>479</v>
      </c>
      <c r="I239" s="45" t="s">
        <v>148</v>
      </c>
    </row>
    <row r="240" spans="1:9" ht="27.75" hidden="1" customHeight="1">
      <c r="A240" s="82">
        <v>46196</v>
      </c>
      <c r="B240" s="44" t="s">
        <v>304</v>
      </c>
      <c r="C240" s="83">
        <v>5000</v>
      </c>
      <c r="D240" s="44" t="s">
        <v>162</v>
      </c>
      <c r="E240" s="44" t="s">
        <v>49</v>
      </c>
      <c r="F240" s="44"/>
      <c r="G240" s="44"/>
      <c r="H240" s="44" t="s">
        <v>480</v>
      </c>
      <c r="I240" s="44" t="s">
        <v>148</v>
      </c>
    </row>
    <row r="241" spans="1:9" ht="13.5" hidden="1" customHeight="1">
      <c r="A241" s="84">
        <v>46197</v>
      </c>
      <c r="B241" s="45" t="s">
        <v>481</v>
      </c>
      <c r="C241" s="85">
        <v>1380</v>
      </c>
      <c r="D241" s="45" t="s">
        <v>162</v>
      </c>
      <c r="E241" s="45" t="s">
        <v>49</v>
      </c>
      <c r="F241" s="46"/>
      <c r="G241" s="46"/>
      <c r="H241" s="46" t="s">
        <v>366</v>
      </c>
      <c r="I241" s="45" t="s">
        <v>148</v>
      </c>
    </row>
    <row r="242" spans="1:9" ht="13.5" hidden="1" customHeight="1">
      <c r="A242" s="82">
        <v>46197</v>
      </c>
      <c r="B242" s="44" t="s">
        <v>482</v>
      </c>
      <c r="C242" s="83">
        <v>1380</v>
      </c>
      <c r="D242" s="44" t="s">
        <v>162</v>
      </c>
      <c r="E242" s="44" t="s">
        <v>49</v>
      </c>
      <c r="F242" s="44"/>
      <c r="G242" s="44"/>
      <c r="H242" s="44" t="s">
        <v>483</v>
      </c>
      <c r="I242" s="44" t="s">
        <v>148</v>
      </c>
    </row>
    <row r="243" spans="1:9" ht="13.5" hidden="1" customHeight="1">
      <c r="A243" s="84">
        <v>46197</v>
      </c>
      <c r="B243" s="45" t="s">
        <v>484</v>
      </c>
      <c r="C243" s="85">
        <v>1380</v>
      </c>
      <c r="D243" s="45" t="s">
        <v>162</v>
      </c>
      <c r="E243" s="45" t="s">
        <v>49</v>
      </c>
      <c r="F243" s="46"/>
      <c r="G243" s="46"/>
      <c r="H243" s="46" t="s">
        <v>366</v>
      </c>
      <c r="I243" s="45" t="s">
        <v>148</v>
      </c>
    </row>
    <row r="244" spans="1:9" ht="13.5" hidden="1" customHeight="1">
      <c r="A244" s="82">
        <v>46197</v>
      </c>
      <c r="B244" s="44" t="s">
        <v>165</v>
      </c>
      <c r="C244" s="83">
        <v>699</v>
      </c>
      <c r="D244" s="44" t="s">
        <v>162</v>
      </c>
      <c r="E244" s="44" t="s">
        <v>49</v>
      </c>
      <c r="F244" s="44"/>
      <c r="G244" s="44"/>
      <c r="H244" s="44" t="s">
        <v>485</v>
      </c>
      <c r="I244" s="44" t="s">
        <v>148</v>
      </c>
    </row>
    <row r="245" spans="1:9" ht="13.5" hidden="1" customHeight="1">
      <c r="A245" s="84">
        <v>46198</v>
      </c>
      <c r="B245" s="45" t="s">
        <v>486</v>
      </c>
      <c r="C245" s="85">
        <v>1380</v>
      </c>
      <c r="D245" s="45" t="s">
        <v>162</v>
      </c>
      <c r="E245" s="45" t="s">
        <v>49</v>
      </c>
      <c r="F245" s="46"/>
      <c r="G245" s="46"/>
      <c r="H245" s="46" t="s">
        <v>366</v>
      </c>
      <c r="I245" s="45" t="s">
        <v>148</v>
      </c>
    </row>
    <row r="246" spans="1:9" ht="13.5" hidden="1" customHeight="1">
      <c r="A246" s="82">
        <v>46199</v>
      </c>
      <c r="B246" s="44" t="s">
        <v>487</v>
      </c>
      <c r="C246" s="83">
        <v>1380</v>
      </c>
      <c r="D246" s="44" t="s">
        <v>162</v>
      </c>
      <c r="E246" s="44" t="s">
        <v>49</v>
      </c>
      <c r="F246" s="44"/>
      <c r="G246" s="44"/>
      <c r="H246" s="44" t="s">
        <v>366</v>
      </c>
      <c r="I246" s="44" t="s">
        <v>148</v>
      </c>
    </row>
    <row r="247" spans="1:9" ht="13.5" hidden="1" customHeight="1">
      <c r="A247" s="84">
        <v>46199</v>
      </c>
      <c r="B247" s="45" t="s">
        <v>488</v>
      </c>
      <c r="C247" s="85">
        <v>1380</v>
      </c>
      <c r="D247" s="45" t="s">
        <v>162</v>
      </c>
      <c r="E247" s="45" t="s">
        <v>49</v>
      </c>
      <c r="F247" s="46"/>
      <c r="G247" s="46"/>
      <c r="H247" s="46" t="s">
        <v>366</v>
      </c>
      <c r="I247" s="45" t="s">
        <v>148</v>
      </c>
    </row>
    <row r="248" spans="1:9" ht="13.5" hidden="1"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1068</v>
      </c>
      <c r="I249" s="45" t="s">
        <v>148</v>
      </c>
    </row>
    <row r="250" spans="1:9" ht="14" hidden="1">
      <c r="A250" s="82">
        <v>46200</v>
      </c>
      <c r="B250" s="44" t="s">
        <v>164</v>
      </c>
      <c r="C250" s="83">
        <v>950</v>
      </c>
      <c r="D250" s="44"/>
      <c r="E250" s="44"/>
      <c r="F250" s="44"/>
      <c r="G250" s="44"/>
      <c r="H250" s="44" t="s">
        <v>1070</v>
      </c>
      <c r="I250" s="44" t="s">
        <v>356</v>
      </c>
    </row>
    <row r="251" spans="1:9" ht="14" hidden="1">
      <c r="A251" s="84">
        <v>46201</v>
      </c>
      <c r="B251" s="45" t="s">
        <v>1083</v>
      </c>
      <c r="C251" s="85">
        <v>1380</v>
      </c>
      <c r="D251" s="45" t="s">
        <v>205</v>
      </c>
      <c r="E251" s="45" t="s">
        <v>49</v>
      </c>
      <c r="F251" s="46"/>
      <c r="G251" s="46"/>
      <c r="H251" s="46" t="s">
        <v>366</v>
      </c>
      <c r="I251" s="45" t="s">
        <v>148</v>
      </c>
    </row>
    <row r="252" spans="1:9" ht="14" hidden="1">
      <c r="A252" s="82">
        <v>46201</v>
      </c>
      <c r="B252" s="44" t="s">
        <v>1071</v>
      </c>
      <c r="C252" s="83">
        <v>699</v>
      </c>
      <c r="D252" s="44" t="s">
        <v>162</v>
      </c>
      <c r="E252" s="44" t="s">
        <v>49</v>
      </c>
      <c r="F252" s="44"/>
      <c r="G252" s="44"/>
      <c r="H252" s="44" t="s">
        <v>1072</v>
      </c>
      <c r="I252" s="44" t="s">
        <v>148</v>
      </c>
    </row>
    <row r="253" spans="1:9" ht="14" hidden="1">
      <c r="A253" s="84">
        <v>46201</v>
      </c>
      <c r="B253" s="45" t="s">
        <v>1073</v>
      </c>
      <c r="C253" s="85">
        <v>699</v>
      </c>
      <c r="D253" s="45" t="s">
        <v>162</v>
      </c>
      <c r="E253" s="45" t="s">
        <v>49</v>
      </c>
      <c r="F253" s="46"/>
      <c r="G253" s="46"/>
      <c r="H253" s="46" t="s">
        <v>1074</v>
      </c>
      <c r="I253" s="45" t="s">
        <v>148</v>
      </c>
    </row>
    <row r="254" spans="1:9" ht="14" hidden="1">
      <c r="A254" s="82">
        <v>46201</v>
      </c>
      <c r="B254" s="44" t="s">
        <v>1075</v>
      </c>
      <c r="C254" s="83">
        <v>699</v>
      </c>
      <c r="D254" s="44" t="s">
        <v>162</v>
      </c>
      <c r="E254" s="44" t="s">
        <v>49</v>
      </c>
      <c r="F254" s="44"/>
      <c r="G254" s="44"/>
      <c r="H254" s="44" t="s">
        <v>1076</v>
      </c>
      <c r="I254" s="44" t="s">
        <v>148</v>
      </c>
    </row>
    <row r="255" spans="1:9" ht="14" hidden="1">
      <c r="A255" s="84">
        <v>46201</v>
      </c>
      <c r="B255" s="45" t="s">
        <v>472</v>
      </c>
      <c r="C255" s="85">
        <v>2650</v>
      </c>
      <c r="D255" s="45" t="s">
        <v>162</v>
      </c>
      <c r="E255" s="45" t="s">
        <v>49</v>
      </c>
      <c r="F255" s="46"/>
      <c r="G255" s="46"/>
      <c r="H255" s="46" t="s">
        <v>1077</v>
      </c>
      <c r="I255" s="45" t="s">
        <v>148</v>
      </c>
    </row>
    <row r="256" spans="1:9" ht="14" hidden="1">
      <c r="A256" s="82">
        <v>46203</v>
      </c>
      <c r="B256" s="44" t="s">
        <v>1084</v>
      </c>
      <c r="C256" s="83">
        <v>950</v>
      </c>
      <c r="D256" s="44" t="s">
        <v>162</v>
      </c>
      <c r="E256" s="44" t="s">
        <v>49</v>
      </c>
      <c r="F256" s="44"/>
      <c r="G256" s="44"/>
      <c r="H256" s="44" t="s">
        <v>1085</v>
      </c>
      <c r="I256" s="44" t="s">
        <v>148</v>
      </c>
    </row>
    <row r="257" spans="1:9" ht="14" hidden="1">
      <c r="A257" s="84">
        <v>46204</v>
      </c>
      <c r="B257" s="45" t="s">
        <v>1086</v>
      </c>
      <c r="C257" s="85">
        <v>699</v>
      </c>
      <c r="D257" s="45" t="s">
        <v>162</v>
      </c>
      <c r="E257" s="45" t="s">
        <v>49</v>
      </c>
      <c r="F257" s="46"/>
      <c r="G257" s="46"/>
      <c r="H257" s="46" t="s">
        <v>1087</v>
      </c>
      <c r="I257" s="45" t="s">
        <v>148</v>
      </c>
    </row>
    <row r="258" spans="1:9" ht="14" hidden="1">
      <c r="A258" s="82">
        <v>46205</v>
      </c>
      <c r="B258" s="44" t="s">
        <v>1088</v>
      </c>
      <c r="C258" s="83">
        <v>1500</v>
      </c>
      <c r="D258" s="44" t="s">
        <v>162</v>
      </c>
      <c r="E258" s="44" t="s">
        <v>49</v>
      </c>
      <c r="F258" s="44"/>
      <c r="G258" s="44"/>
      <c r="H258" s="44" t="s">
        <v>1089</v>
      </c>
      <c r="I258" s="44" t="s">
        <v>148</v>
      </c>
    </row>
    <row r="259" spans="1:9" ht="14" hidden="1">
      <c r="A259" s="84">
        <v>46205</v>
      </c>
      <c r="B259" s="45" t="s">
        <v>1088</v>
      </c>
      <c r="C259" s="85">
        <v>1200</v>
      </c>
      <c r="D259" s="45" t="s">
        <v>162</v>
      </c>
      <c r="E259" s="45" t="s">
        <v>49</v>
      </c>
      <c r="F259" s="46"/>
      <c r="G259" s="46"/>
      <c r="H259" s="46" t="s">
        <v>1090</v>
      </c>
      <c r="I259" s="45" t="s">
        <v>148</v>
      </c>
    </row>
    <row r="260" spans="1:9" ht="14" hidden="1">
      <c r="A260" s="82">
        <v>46205</v>
      </c>
      <c r="B260" s="44" t="s">
        <v>1092</v>
      </c>
      <c r="C260" s="83">
        <v>1500</v>
      </c>
      <c r="D260" s="44" t="s">
        <v>162</v>
      </c>
      <c r="E260" s="44" t="s">
        <v>49</v>
      </c>
      <c r="F260" s="44"/>
      <c r="G260" s="44"/>
      <c r="H260" s="44" t="s">
        <v>1091</v>
      </c>
      <c r="I260" s="44" t="s">
        <v>148</v>
      </c>
    </row>
    <row r="261" spans="1:9" ht="14" hidden="1">
      <c r="A261" s="84">
        <v>46205</v>
      </c>
      <c r="B261" s="45" t="s">
        <v>1095</v>
      </c>
      <c r="C261" s="85">
        <v>2600</v>
      </c>
      <c r="D261" s="45" t="s">
        <v>162</v>
      </c>
      <c r="E261" s="45" t="s">
        <v>49</v>
      </c>
      <c r="F261" s="46"/>
      <c r="G261" s="46"/>
      <c r="H261" s="46" t="s">
        <v>1173</v>
      </c>
      <c r="I261" s="45" t="s">
        <v>148</v>
      </c>
    </row>
    <row r="262" spans="1:9" ht="14" hidden="1">
      <c r="A262" s="82">
        <v>46206</v>
      </c>
      <c r="B262" s="44" t="s">
        <v>1097</v>
      </c>
      <c r="C262" s="83">
        <v>1380</v>
      </c>
      <c r="D262" s="44" t="s">
        <v>162</v>
      </c>
      <c r="E262" s="44" t="s">
        <v>49</v>
      </c>
      <c r="F262" s="44"/>
      <c r="G262" s="44"/>
      <c r="H262" s="44" t="s">
        <v>366</v>
      </c>
      <c r="I262" s="44" t="s">
        <v>148</v>
      </c>
    </row>
    <row r="263" spans="1:9" ht="14" hidden="1">
      <c r="A263" s="84">
        <v>46206</v>
      </c>
      <c r="B263" s="45" t="s">
        <v>1098</v>
      </c>
      <c r="C263" s="85">
        <v>1380</v>
      </c>
      <c r="D263" s="45" t="s">
        <v>162</v>
      </c>
      <c r="E263" s="45" t="s">
        <v>49</v>
      </c>
      <c r="F263" s="46"/>
      <c r="G263" s="46"/>
      <c r="H263" s="46" t="s">
        <v>366</v>
      </c>
      <c r="I263" s="45" t="s">
        <v>148</v>
      </c>
    </row>
    <row r="264" spans="1:9" ht="42" hidden="1">
      <c r="A264" s="82">
        <v>46206</v>
      </c>
      <c r="B264" s="44" t="s">
        <v>1108</v>
      </c>
      <c r="C264" s="83">
        <v>2500</v>
      </c>
      <c r="D264" s="44" t="s">
        <v>162</v>
      </c>
      <c r="E264" s="44" t="s">
        <v>49</v>
      </c>
      <c r="F264" s="44"/>
      <c r="G264" s="44"/>
      <c r="H264" s="44" t="s">
        <v>1269</v>
      </c>
      <c r="I264" s="44" t="s">
        <v>356</v>
      </c>
    </row>
    <row r="265" spans="1:9" ht="14" hidden="1">
      <c r="A265" s="84">
        <v>46206</v>
      </c>
      <c r="B265" s="45" t="s">
        <v>1101</v>
      </c>
      <c r="C265" s="85">
        <v>1300</v>
      </c>
      <c r="D265" s="45" t="s">
        <v>162</v>
      </c>
      <c r="E265" s="45" t="s">
        <v>49</v>
      </c>
      <c r="F265" s="46"/>
      <c r="G265" s="46"/>
      <c r="H265" s="46" t="s">
        <v>1113</v>
      </c>
      <c r="I265" s="45" t="s">
        <v>356</v>
      </c>
    </row>
    <row r="266" spans="1:9" ht="14" hidden="1">
      <c r="A266" s="82">
        <v>46206</v>
      </c>
      <c r="B266" s="44" t="s">
        <v>1092</v>
      </c>
      <c r="C266" s="83">
        <v>1380</v>
      </c>
      <c r="D266" s="44" t="s">
        <v>162</v>
      </c>
      <c r="E266" s="44" t="s">
        <v>49</v>
      </c>
      <c r="F266" s="44"/>
      <c r="G266" s="44"/>
      <c r="H266" s="44" t="s">
        <v>1102</v>
      </c>
      <c r="I266" s="44" t="s">
        <v>148</v>
      </c>
    </row>
    <row r="267" spans="1:9" ht="14" hidden="1">
      <c r="A267" s="84">
        <v>46207</v>
      </c>
      <c r="B267" s="45" t="s">
        <v>173</v>
      </c>
      <c r="C267" s="85">
        <v>1250</v>
      </c>
      <c r="D267" s="45" t="s">
        <v>162</v>
      </c>
      <c r="E267" s="45" t="s">
        <v>49</v>
      </c>
      <c r="F267" s="46"/>
      <c r="G267" s="46"/>
      <c r="H267" s="46" t="s">
        <v>1103</v>
      </c>
      <c r="I267" s="45" t="s">
        <v>148</v>
      </c>
    </row>
    <row r="268" spans="1:9" ht="42" hidden="1">
      <c r="A268" s="82">
        <v>46208</v>
      </c>
      <c r="B268" s="44" t="s">
        <v>1296</v>
      </c>
      <c r="C268" s="83">
        <v>2350</v>
      </c>
      <c r="D268" s="44"/>
      <c r="E268" s="44"/>
      <c r="F268" s="44"/>
      <c r="G268" s="44"/>
      <c r="H268" s="44" t="s">
        <v>1297</v>
      </c>
      <c r="I268" s="44" t="s">
        <v>356</v>
      </c>
    </row>
    <row r="269" spans="1:9" ht="14" hidden="1">
      <c r="A269" s="84">
        <v>46209</v>
      </c>
      <c r="B269" s="45" t="s">
        <v>1106</v>
      </c>
      <c r="C269" s="85">
        <v>1100</v>
      </c>
      <c r="D269" s="45" t="s">
        <v>162</v>
      </c>
      <c r="E269" s="45" t="s">
        <v>49</v>
      </c>
      <c r="F269" s="46"/>
      <c r="G269" s="46"/>
      <c r="H269" s="46" t="s">
        <v>1107</v>
      </c>
      <c r="I269" s="45" t="s">
        <v>148</v>
      </c>
    </row>
    <row r="270" spans="1:9" ht="14" hidden="1">
      <c r="A270" s="82">
        <v>46210</v>
      </c>
      <c r="B270" s="44" t="s">
        <v>1299</v>
      </c>
      <c r="C270" s="83">
        <v>3200</v>
      </c>
      <c r="D270" s="44" t="s">
        <v>162</v>
      </c>
      <c r="E270" s="44" t="s">
        <v>49</v>
      </c>
      <c r="F270" s="44"/>
      <c r="G270" s="44"/>
      <c r="H270" s="44" t="s">
        <v>1110</v>
      </c>
      <c r="I270" s="44" t="s">
        <v>148</v>
      </c>
    </row>
    <row r="271" spans="1:9" ht="14" hidden="1">
      <c r="A271" s="84">
        <v>46211</v>
      </c>
      <c r="B271" s="45" t="s">
        <v>1111</v>
      </c>
      <c r="C271" s="85">
        <v>1380</v>
      </c>
      <c r="D271" s="45" t="s">
        <v>162</v>
      </c>
      <c r="E271" s="45" t="s">
        <v>49</v>
      </c>
      <c r="F271" s="46"/>
      <c r="G271" s="46"/>
      <c r="H271" s="46" t="s">
        <v>1112</v>
      </c>
      <c r="I271" s="45" t="s">
        <v>148</v>
      </c>
    </row>
    <row r="272" spans="1:9" ht="14" hidden="1">
      <c r="A272" s="82">
        <v>46215</v>
      </c>
      <c r="B272" s="44" t="s">
        <v>1114</v>
      </c>
      <c r="C272" s="83">
        <v>1380</v>
      </c>
      <c r="D272" s="44" t="s">
        <v>162</v>
      </c>
      <c r="E272" s="44" t="s">
        <v>49</v>
      </c>
      <c r="F272" s="44"/>
      <c r="G272" s="44"/>
      <c r="H272" s="44" t="s">
        <v>366</v>
      </c>
      <c r="I272" s="44" t="s">
        <v>148</v>
      </c>
    </row>
    <row r="273" spans="1:9" ht="14" hidden="1">
      <c r="A273" s="84">
        <v>46215</v>
      </c>
      <c r="B273" s="45" t="s">
        <v>1115</v>
      </c>
      <c r="C273" s="85">
        <v>699</v>
      </c>
      <c r="D273" s="45" t="s">
        <v>162</v>
      </c>
      <c r="E273" s="45" t="s">
        <v>49</v>
      </c>
      <c r="F273" s="46"/>
      <c r="G273" s="46"/>
      <c r="H273" s="46" t="s">
        <v>1087</v>
      </c>
      <c r="I273" s="45" t="s">
        <v>148</v>
      </c>
    </row>
    <row r="274" spans="1:9" ht="14" hidden="1">
      <c r="A274" s="82">
        <v>46215</v>
      </c>
      <c r="B274" s="44" t="s">
        <v>197</v>
      </c>
      <c r="C274" s="83">
        <v>1350</v>
      </c>
      <c r="D274" s="44" t="s">
        <v>162</v>
      </c>
      <c r="E274" s="44" t="s">
        <v>49</v>
      </c>
      <c r="F274" s="44"/>
      <c r="G274" s="44"/>
      <c r="H274" s="44" t="s">
        <v>1117</v>
      </c>
      <c r="I274" s="44" t="s">
        <v>148</v>
      </c>
    </row>
    <row r="275" spans="1:9" ht="14" hidden="1">
      <c r="A275" s="84">
        <v>46216</v>
      </c>
      <c r="B275" s="45" t="s">
        <v>1118</v>
      </c>
      <c r="C275" s="85">
        <v>699</v>
      </c>
      <c r="D275" s="45" t="s">
        <v>162</v>
      </c>
      <c r="E275" s="45" t="s">
        <v>49</v>
      </c>
      <c r="F275" s="46"/>
      <c r="G275" s="46"/>
      <c r="H275" s="46" t="s">
        <v>1087</v>
      </c>
      <c r="I275" s="45" t="s">
        <v>148</v>
      </c>
    </row>
    <row r="276" spans="1:9" ht="14" hidden="1">
      <c r="A276" s="82">
        <v>46216</v>
      </c>
      <c r="B276" s="44" t="s">
        <v>1120</v>
      </c>
      <c r="C276" s="83">
        <v>3000</v>
      </c>
      <c r="D276" s="44" t="s">
        <v>162</v>
      </c>
      <c r="E276" s="44" t="s">
        <v>49</v>
      </c>
      <c r="F276" s="44"/>
      <c r="G276" s="44"/>
      <c r="H276" s="44" t="s">
        <v>1119</v>
      </c>
      <c r="I276" s="44" t="s">
        <v>148</v>
      </c>
    </row>
    <row r="277" spans="1:9" ht="14" hidden="1">
      <c r="A277" s="84">
        <v>46219</v>
      </c>
      <c r="B277" s="45" t="s">
        <v>1121</v>
      </c>
      <c r="C277" s="85">
        <v>1380</v>
      </c>
      <c r="D277" s="45" t="s">
        <v>162</v>
      </c>
      <c r="E277" s="45" t="s">
        <v>49</v>
      </c>
      <c r="F277" s="46"/>
      <c r="G277" s="46"/>
      <c r="H277" s="46" t="s">
        <v>366</v>
      </c>
      <c r="I277" s="45" t="s">
        <v>148</v>
      </c>
    </row>
    <row r="278" spans="1:9" ht="14" hidden="1">
      <c r="A278" s="82">
        <v>46219</v>
      </c>
      <c r="B278" s="44" t="s">
        <v>482</v>
      </c>
      <c r="C278" s="83">
        <v>1380</v>
      </c>
      <c r="D278" s="44" t="s">
        <v>162</v>
      </c>
      <c r="E278" s="44" t="s">
        <v>49</v>
      </c>
      <c r="F278" s="44"/>
      <c r="G278" s="44"/>
      <c r="H278" s="44" t="s">
        <v>366</v>
      </c>
      <c r="I278" s="44" t="s">
        <v>148</v>
      </c>
    </row>
    <row r="279" spans="1:9" ht="14" hidden="1">
      <c r="A279" s="84">
        <v>46219</v>
      </c>
      <c r="B279" s="45" t="s">
        <v>224</v>
      </c>
      <c r="C279" s="85">
        <v>1200</v>
      </c>
      <c r="D279" s="45" t="s">
        <v>162</v>
      </c>
      <c r="E279" s="45" t="s">
        <v>49</v>
      </c>
      <c r="F279" s="46"/>
      <c r="G279" s="46"/>
      <c r="H279" s="46" t="s">
        <v>1122</v>
      </c>
      <c r="I279" s="45" t="s">
        <v>148</v>
      </c>
    </row>
    <row r="280" spans="1:9" ht="14" hidden="1">
      <c r="A280" s="82">
        <v>46219</v>
      </c>
      <c r="B280" s="44" t="s">
        <v>220</v>
      </c>
      <c r="C280" s="83">
        <v>2500</v>
      </c>
      <c r="D280" s="44" t="s">
        <v>162</v>
      </c>
      <c r="E280" s="44" t="s">
        <v>49</v>
      </c>
      <c r="F280" s="44"/>
      <c r="G280" s="44"/>
      <c r="H280" s="44" t="s">
        <v>1128</v>
      </c>
      <c r="I280" s="44" t="s">
        <v>148</v>
      </c>
    </row>
    <row r="281" spans="1:9" ht="28">
      <c r="A281" s="84">
        <v>46219</v>
      </c>
      <c r="B281" s="45" t="s">
        <v>1363</v>
      </c>
      <c r="C281" s="85">
        <v>3600</v>
      </c>
      <c r="D281" s="45" t="s">
        <v>162</v>
      </c>
      <c r="E281" s="45" t="s">
        <v>49</v>
      </c>
      <c r="F281" s="46"/>
      <c r="G281" s="46"/>
      <c r="H281" s="46" t="s">
        <v>1366</v>
      </c>
      <c r="I281" s="45" t="s">
        <v>148</v>
      </c>
    </row>
    <row r="282" spans="1:9" ht="14" hidden="1">
      <c r="A282" s="82">
        <v>46220</v>
      </c>
      <c r="B282" s="44" t="s">
        <v>1140</v>
      </c>
      <c r="C282" s="83">
        <v>1500</v>
      </c>
      <c r="D282" s="44" t="s">
        <v>162</v>
      </c>
      <c r="E282" s="44" t="s">
        <v>49</v>
      </c>
      <c r="F282" s="44"/>
      <c r="G282" s="44"/>
      <c r="H282" s="44" t="s">
        <v>1141</v>
      </c>
      <c r="I282" s="44" t="s">
        <v>148</v>
      </c>
    </row>
    <row r="283" spans="1:9" ht="14" hidden="1">
      <c r="A283" s="84">
        <v>46221</v>
      </c>
      <c r="B283" s="45" t="s">
        <v>1144</v>
      </c>
      <c r="C283" s="85">
        <v>1100</v>
      </c>
      <c r="D283" s="45" t="s">
        <v>162</v>
      </c>
      <c r="E283" s="45" t="s">
        <v>49</v>
      </c>
      <c r="F283" s="46"/>
      <c r="G283" s="46"/>
      <c r="H283" s="46" t="s">
        <v>1145</v>
      </c>
      <c r="I283" s="45" t="s">
        <v>148</v>
      </c>
    </row>
    <row r="284" spans="1:9" ht="14" hidden="1">
      <c r="A284" s="82">
        <v>46222</v>
      </c>
      <c r="B284" s="44" t="s">
        <v>1146</v>
      </c>
      <c r="C284" s="83">
        <v>850</v>
      </c>
      <c r="D284" s="44" t="s">
        <v>162</v>
      </c>
      <c r="E284" s="44" t="s">
        <v>49</v>
      </c>
      <c r="F284" s="44"/>
      <c r="G284" s="44"/>
      <c r="H284" s="44" t="s">
        <v>1147</v>
      </c>
      <c r="I284" s="44" t="s">
        <v>148</v>
      </c>
    </row>
    <row r="285" spans="1:9" ht="14" hidden="1">
      <c r="A285" s="84">
        <v>46222</v>
      </c>
      <c r="B285" s="45" t="s">
        <v>1148</v>
      </c>
      <c r="C285" s="85">
        <v>1250</v>
      </c>
      <c r="D285" s="45" t="s">
        <v>162</v>
      </c>
      <c r="E285" s="45" t="s">
        <v>49</v>
      </c>
      <c r="F285" s="46"/>
      <c r="G285" s="46"/>
      <c r="H285" s="46" t="s">
        <v>1149</v>
      </c>
      <c r="I285" s="45" t="s">
        <v>148</v>
      </c>
    </row>
    <row r="286" spans="1:9" ht="14" hidden="1">
      <c r="A286" s="82">
        <v>46222</v>
      </c>
      <c r="B286" s="44" t="s">
        <v>1151</v>
      </c>
      <c r="C286" s="83">
        <v>700</v>
      </c>
      <c r="D286" s="44" t="s">
        <v>162</v>
      </c>
      <c r="E286" s="44" t="s">
        <v>49</v>
      </c>
      <c r="F286" s="44"/>
      <c r="G286" s="44"/>
      <c r="H286" s="44" t="s">
        <v>395</v>
      </c>
      <c r="I286" s="44" t="s">
        <v>148</v>
      </c>
    </row>
    <row r="287" spans="1:9" ht="14" hidden="1">
      <c r="A287" s="84">
        <v>46222</v>
      </c>
      <c r="B287" s="45" t="s">
        <v>1152</v>
      </c>
      <c r="C287" s="85">
        <v>699</v>
      </c>
      <c r="D287" s="45" t="s">
        <v>162</v>
      </c>
      <c r="E287" s="45" t="s">
        <v>49</v>
      </c>
      <c r="F287" s="46"/>
      <c r="G287" s="46"/>
      <c r="H287" s="46" t="s">
        <v>395</v>
      </c>
      <c r="I287" s="45" t="s">
        <v>148</v>
      </c>
    </row>
    <row r="288" spans="1:9" ht="14" hidden="1">
      <c r="A288" s="82">
        <v>46223</v>
      </c>
      <c r="B288" s="44" t="s">
        <v>1155</v>
      </c>
      <c r="C288" s="83">
        <v>1380</v>
      </c>
      <c r="D288" s="44" t="s">
        <v>162</v>
      </c>
      <c r="E288" s="44" t="s">
        <v>49</v>
      </c>
      <c r="F288" s="44"/>
      <c r="G288" s="44"/>
      <c r="H288" s="44" t="s">
        <v>1156</v>
      </c>
      <c r="I288" s="44" t="s">
        <v>148</v>
      </c>
    </row>
    <row r="289" spans="1:9" ht="14" hidden="1">
      <c r="A289" s="84">
        <v>46224</v>
      </c>
      <c r="B289" s="45" t="s">
        <v>1158</v>
      </c>
      <c r="C289" s="85">
        <v>1380</v>
      </c>
      <c r="D289" s="45" t="s">
        <v>162</v>
      </c>
      <c r="E289" s="45" t="s">
        <v>49</v>
      </c>
      <c r="F289" s="46"/>
      <c r="G289" s="46"/>
      <c r="H289" s="46" t="s">
        <v>1161</v>
      </c>
      <c r="I289" s="45" t="s">
        <v>148</v>
      </c>
    </row>
    <row r="290" spans="1:9" ht="14" hidden="1">
      <c r="A290" s="82">
        <v>46224</v>
      </c>
      <c r="B290" s="44" t="s">
        <v>1157</v>
      </c>
      <c r="C290" s="83">
        <v>1380</v>
      </c>
      <c r="D290" s="44" t="s">
        <v>162</v>
      </c>
      <c r="E290" s="44" t="s">
        <v>49</v>
      </c>
      <c r="F290" s="44"/>
      <c r="G290" s="44"/>
      <c r="H290" s="44" t="s">
        <v>1162</v>
      </c>
      <c r="I290" s="44" t="s">
        <v>148</v>
      </c>
    </row>
    <row r="291" spans="1:9" ht="14" hidden="1">
      <c r="A291" s="82">
        <v>46228</v>
      </c>
      <c r="B291" s="44" t="s">
        <v>186</v>
      </c>
      <c r="C291" s="83">
        <v>1250</v>
      </c>
      <c r="D291" s="44" t="s">
        <v>162</v>
      </c>
      <c r="E291" s="44" t="s">
        <v>49</v>
      </c>
      <c r="F291" s="44"/>
      <c r="G291" s="44"/>
      <c r="H291" s="44" t="s">
        <v>1165</v>
      </c>
      <c r="I291" s="44" t="s">
        <v>148</v>
      </c>
    </row>
    <row r="292" spans="1:9" ht="56" hidden="1">
      <c r="A292" s="84">
        <v>46229</v>
      </c>
      <c r="B292" s="45" t="s">
        <v>1168</v>
      </c>
      <c r="C292" s="85">
        <v>3600</v>
      </c>
      <c r="D292" s="45"/>
      <c r="E292" s="45"/>
      <c r="F292" s="46"/>
      <c r="G292" s="46"/>
      <c r="H292" s="46" t="s">
        <v>1348</v>
      </c>
      <c r="I292" s="45" t="s">
        <v>356</v>
      </c>
    </row>
    <row r="293" spans="1:9" ht="28" hidden="1">
      <c r="A293" s="82">
        <v>46229</v>
      </c>
      <c r="B293" s="44" t="s">
        <v>293</v>
      </c>
      <c r="C293" s="83">
        <v>2230</v>
      </c>
      <c r="D293" s="44"/>
      <c r="E293" s="44"/>
      <c r="F293" s="44"/>
      <c r="G293" s="44"/>
      <c r="H293" s="44" t="s">
        <v>1322</v>
      </c>
      <c r="I293" s="44" t="s">
        <v>356</v>
      </c>
    </row>
    <row r="294" spans="1:9" ht="14" hidden="1">
      <c r="A294" s="84">
        <v>46229</v>
      </c>
      <c r="B294" s="45" t="s">
        <v>1095</v>
      </c>
      <c r="C294" s="85">
        <v>2230</v>
      </c>
      <c r="D294" s="45" t="s">
        <v>162</v>
      </c>
      <c r="E294" s="45" t="s">
        <v>49</v>
      </c>
      <c r="F294" s="46"/>
      <c r="G294" s="46"/>
      <c r="H294" s="46" t="s">
        <v>1305</v>
      </c>
      <c r="I294" s="45" t="s">
        <v>148</v>
      </c>
    </row>
    <row r="295" spans="1:9" ht="28" hidden="1">
      <c r="A295" s="82">
        <v>46229</v>
      </c>
      <c r="B295" s="44" t="s">
        <v>1176</v>
      </c>
      <c r="C295" s="83">
        <v>3700</v>
      </c>
      <c r="D295" s="44" t="s">
        <v>1294</v>
      </c>
      <c r="E295" s="44" t="s">
        <v>49</v>
      </c>
      <c r="F295" s="44"/>
      <c r="G295" s="44"/>
      <c r="H295" s="44" t="s">
        <v>1295</v>
      </c>
      <c r="I295" s="44" t="s">
        <v>148</v>
      </c>
    </row>
    <row r="296" spans="1:9" ht="14" hidden="1">
      <c r="A296" s="84">
        <v>46235</v>
      </c>
      <c r="B296" s="45" t="s">
        <v>1217</v>
      </c>
      <c r="C296" s="85">
        <v>1450</v>
      </c>
      <c r="D296" s="45" t="s">
        <v>162</v>
      </c>
      <c r="E296" s="45" t="s">
        <v>49</v>
      </c>
      <c r="F296" s="46"/>
      <c r="G296" s="46"/>
      <c r="H296" s="46" t="s">
        <v>1216</v>
      </c>
      <c r="I296" s="45" t="s">
        <v>148</v>
      </c>
    </row>
    <row r="297" spans="1:9" ht="14" hidden="1">
      <c r="A297" s="82">
        <v>46236</v>
      </c>
      <c r="B297" s="44" t="s">
        <v>1299</v>
      </c>
      <c r="C297" s="83">
        <v>6900</v>
      </c>
      <c r="D297" s="44" t="s">
        <v>162</v>
      </c>
      <c r="E297" s="44" t="s">
        <v>49</v>
      </c>
      <c r="F297" s="44"/>
      <c r="G297" s="44"/>
      <c r="H297" s="44" t="s">
        <v>1301</v>
      </c>
      <c r="I297" s="44" t="s">
        <v>148</v>
      </c>
    </row>
    <row r="298" spans="1:9" ht="14" hidden="1">
      <c r="A298" s="84">
        <v>46236</v>
      </c>
      <c r="B298" s="45" t="s">
        <v>1220</v>
      </c>
      <c r="C298" s="85">
        <v>1479</v>
      </c>
      <c r="D298" s="45" t="s">
        <v>162</v>
      </c>
      <c r="E298" s="45" t="s">
        <v>49</v>
      </c>
      <c r="F298" s="46"/>
      <c r="G298" s="46"/>
      <c r="H298" s="46" t="s">
        <v>1219</v>
      </c>
      <c r="I298" s="45" t="s">
        <v>148</v>
      </c>
    </row>
    <row r="299" spans="1:9" ht="14" hidden="1">
      <c r="A299" s="82">
        <v>46236</v>
      </c>
      <c r="B299" s="44" t="s">
        <v>1224</v>
      </c>
      <c r="C299" s="83">
        <v>2630</v>
      </c>
      <c r="D299" s="44" t="s">
        <v>162</v>
      </c>
      <c r="E299" s="44" t="s">
        <v>49</v>
      </c>
      <c r="F299" s="44"/>
      <c r="G299" s="44"/>
      <c r="H299" s="44" t="s">
        <v>1222</v>
      </c>
      <c r="I299" s="44" t="s">
        <v>148</v>
      </c>
    </row>
    <row r="300" spans="1:9" ht="14" hidden="1">
      <c r="A300" s="84">
        <v>46238</v>
      </c>
      <c r="B300" s="45" t="s">
        <v>1092</v>
      </c>
      <c r="C300" s="85">
        <v>1380</v>
      </c>
      <c r="D300" s="45" t="s">
        <v>162</v>
      </c>
      <c r="E300" s="45" t="s">
        <v>49</v>
      </c>
      <c r="F300" s="46"/>
      <c r="G300" s="46"/>
      <c r="H300" s="46" t="s">
        <v>272</v>
      </c>
      <c r="I300" s="45" t="s">
        <v>148</v>
      </c>
    </row>
    <row r="301" spans="1:9" ht="14" hidden="1">
      <c r="A301" s="82">
        <v>46238</v>
      </c>
      <c r="B301" s="44" t="s">
        <v>1299</v>
      </c>
      <c r="C301" s="83">
        <v>12650</v>
      </c>
      <c r="D301" s="44" t="s">
        <v>162</v>
      </c>
      <c r="E301" s="44" t="s">
        <v>49</v>
      </c>
      <c r="F301" s="44"/>
      <c r="G301" s="44"/>
      <c r="H301" s="44" t="s">
        <v>1302</v>
      </c>
      <c r="I301" s="44" t="s">
        <v>148</v>
      </c>
    </row>
    <row r="302" spans="1:9" ht="14" hidden="1">
      <c r="A302" s="84">
        <v>46240</v>
      </c>
      <c r="B302" s="45" t="s">
        <v>1220</v>
      </c>
      <c r="C302" s="85">
        <v>1000</v>
      </c>
      <c r="D302" s="45"/>
      <c r="E302" s="45"/>
      <c r="F302" s="46"/>
      <c r="G302" s="46"/>
      <c r="H302" s="46" t="s">
        <v>1229</v>
      </c>
      <c r="I302" s="45" t="s">
        <v>148</v>
      </c>
    </row>
    <row r="303" spans="1:9" ht="42" hidden="1">
      <c r="A303" s="82">
        <v>46241</v>
      </c>
      <c r="B303" s="44" t="s">
        <v>201</v>
      </c>
      <c r="C303" s="83">
        <v>4750</v>
      </c>
      <c r="D303" s="44"/>
      <c r="E303" s="44"/>
      <c r="F303" s="44"/>
      <c r="G303" s="44"/>
      <c r="H303" s="44" t="s">
        <v>1293</v>
      </c>
      <c r="I303" s="44" t="s">
        <v>356</v>
      </c>
    </row>
    <row r="304" spans="1:9" ht="14" hidden="1">
      <c r="A304" s="84">
        <v>46243</v>
      </c>
      <c r="B304" s="45" t="s">
        <v>1270</v>
      </c>
      <c r="C304" s="85">
        <v>1380</v>
      </c>
      <c r="D304" s="45"/>
      <c r="E304" s="45"/>
      <c r="F304" s="46"/>
      <c r="G304" s="46"/>
      <c r="H304" s="46" t="s">
        <v>1271</v>
      </c>
      <c r="I304" s="45" t="s">
        <v>356</v>
      </c>
    </row>
    <row r="305" spans="1:9" ht="14" hidden="1">
      <c r="A305" s="82">
        <v>46243</v>
      </c>
      <c r="B305" s="44" t="s">
        <v>1272</v>
      </c>
      <c r="C305" s="83">
        <v>1380</v>
      </c>
      <c r="D305" s="44" t="s">
        <v>162</v>
      </c>
      <c r="E305" s="44" t="s">
        <v>49</v>
      </c>
      <c r="F305" s="44"/>
      <c r="G305" s="44"/>
      <c r="H305" s="44" t="s">
        <v>1273</v>
      </c>
      <c r="I305" s="44" t="s">
        <v>148</v>
      </c>
    </row>
    <row r="306" spans="1:9" ht="14" hidden="1">
      <c r="A306" s="84">
        <v>46243</v>
      </c>
      <c r="B306" s="45" t="s">
        <v>1274</v>
      </c>
      <c r="C306" s="85">
        <v>1250</v>
      </c>
      <c r="D306" s="45" t="s">
        <v>162</v>
      </c>
      <c r="E306" s="45" t="s">
        <v>49</v>
      </c>
      <c r="F306" s="46"/>
      <c r="G306" s="46"/>
      <c r="H306" s="46" t="s">
        <v>1275</v>
      </c>
      <c r="I306" s="45" t="s">
        <v>148</v>
      </c>
    </row>
    <row r="307" spans="1:9" ht="14" hidden="1">
      <c r="A307" s="82">
        <v>46243</v>
      </c>
      <c r="B307" s="44" t="s">
        <v>1299</v>
      </c>
      <c r="C307" s="83">
        <v>5750</v>
      </c>
      <c r="D307" s="44" t="s">
        <v>162</v>
      </c>
      <c r="E307" s="44" t="s">
        <v>49</v>
      </c>
      <c r="F307" s="44"/>
      <c r="G307" s="44"/>
      <c r="H307" s="44" t="s">
        <v>1300</v>
      </c>
      <c r="I307" s="44" t="s">
        <v>148</v>
      </c>
    </row>
    <row r="308" spans="1:9" ht="14" hidden="1">
      <c r="A308" s="82">
        <v>46248</v>
      </c>
      <c r="B308" s="44" t="s">
        <v>1278</v>
      </c>
      <c r="C308" s="83">
        <v>1380</v>
      </c>
      <c r="D308" s="44" t="s">
        <v>162</v>
      </c>
      <c r="E308" s="44" t="s">
        <v>49</v>
      </c>
      <c r="F308" s="44"/>
      <c r="G308" s="44"/>
      <c r="H308" s="44" t="s">
        <v>1279</v>
      </c>
      <c r="I308" s="44" t="s">
        <v>148</v>
      </c>
    </row>
    <row r="309" spans="1:9" ht="14" hidden="1">
      <c r="A309" s="84">
        <v>46248</v>
      </c>
      <c r="B309" s="45" t="s">
        <v>1280</v>
      </c>
      <c r="C309" s="85">
        <v>1380</v>
      </c>
      <c r="D309" s="45" t="s">
        <v>162</v>
      </c>
      <c r="E309" s="45" t="s">
        <v>49</v>
      </c>
      <c r="F309" s="46"/>
      <c r="G309" s="46"/>
      <c r="H309" s="46" t="s">
        <v>1281</v>
      </c>
      <c r="I309" s="45" t="s">
        <v>148</v>
      </c>
    </row>
    <row r="310" spans="1:9" ht="14" hidden="1">
      <c r="A310" s="82">
        <v>46250</v>
      </c>
      <c r="B310" s="44" t="s">
        <v>329</v>
      </c>
      <c r="C310" s="83">
        <v>1979</v>
      </c>
      <c r="D310" s="44" t="s">
        <v>162</v>
      </c>
      <c r="E310" s="44" t="s">
        <v>49</v>
      </c>
      <c r="F310" s="44"/>
      <c r="G310" s="44"/>
      <c r="H310" s="44" t="s">
        <v>1290</v>
      </c>
      <c r="I310" s="44" t="s">
        <v>148</v>
      </c>
    </row>
    <row r="311" spans="1:9" ht="14" hidden="1">
      <c r="A311" s="84">
        <v>46250</v>
      </c>
      <c r="B311" s="45" t="s">
        <v>197</v>
      </c>
      <c r="C311" s="85">
        <v>980</v>
      </c>
      <c r="D311" s="45" t="s">
        <v>162</v>
      </c>
      <c r="E311" s="45" t="s">
        <v>49</v>
      </c>
      <c r="F311" s="46"/>
      <c r="G311" s="46"/>
      <c r="H311" s="46" t="s">
        <v>1283</v>
      </c>
      <c r="I311" s="45" t="s">
        <v>148</v>
      </c>
    </row>
    <row r="312" spans="1:9" ht="14" hidden="1">
      <c r="A312" s="82">
        <v>46250</v>
      </c>
      <c r="B312" s="44" t="s">
        <v>1286</v>
      </c>
      <c r="C312" s="83">
        <v>2250</v>
      </c>
      <c r="D312" s="44" t="s">
        <v>162</v>
      </c>
      <c r="E312" s="44" t="s">
        <v>49</v>
      </c>
      <c r="F312" s="44"/>
      <c r="G312" s="44"/>
      <c r="H312" s="44" t="s">
        <v>1288</v>
      </c>
      <c r="I312" s="44" t="s">
        <v>148</v>
      </c>
    </row>
    <row r="313" spans="1:9" ht="14" hidden="1">
      <c r="A313" s="84">
        <v>46252</v>
      </c>
      <c r="B313" s="45" t="s">
        <v>1299</v>
      </c>
      <c r="C313" s="85">
        <v>5750</v>
      </c>
      <c r="D313" s="45" t="s">
        <v>162</v>
      </c>
      <c r="E313" s="45" t="s">
        <v>49</v>
      </c>
      <c r="F313" s="46"/>
      <c r="G313" s="46"/>
      <c r="H313" s="46" t="s">
        <v>1300</v>
      </c>
      <c r="I313" s="45" t="s">
        <v>148</v>
      </c>
    </row>
    <row r="314" spans="1:9" ht="14" hidden="1">
      <c r="A314" s="82">
        <v>46252</v>
      </c>
      <c r="B314" s="44" t="s">
        <v>1303</v>
      </c>
      <c r="C314" s="83">
        <v>1380</v>
      </c>
      <c r="D314" s="44" t="s">
        <v>162</v>
      </c>
      <c r="E314" s="44" t="s">
        <v>49</v>
      </c>
      <c r="F314" s="44"/>
      <c r="G314" s="44"/>
      <c r="H314" s="44" t="s">
        <v>1314</v>
      </c>
      <c r="I314" s="44" t="s">
        <v>148</v>
      </c>
    </row>
    <row r="315" spans="1:9" ht="14" hidden="1">
      <c r="A315" s="84">
        <v>46252</v>
      </c>
      <c r="B315" s="45" t="s">
        <v>1299</v>
      </c>
      <c r="C315" s="85">
        <v>5750</v>
      </c>
      <c r="D315" s="45" t="s">
        <v>162</v>
      </c>
      <c r="E315" s="45" t="s">
        <v>49</v>
      </c>
      <c r="F315" s="46"/>
      <c r="G315" s="46"/>
      <c r="H315" s="46" t="s">
        <v>1300</v>
      </c>
      <c r="I315" s="45" t="s">
        <v>148</v>
      </c>
    </row>
    <row r="316" spans="1:9" ht="14" hidden="1">
      <c r="A316" s="82">
        <v>46252</v>
      </c>
      <c r="B316" s="44" t="s">
        <v>1307</v>
      </c>
      <c r="C316" s="83">
        <v>1380</v>
      </c>
      <c r="D316" s="44"/>
      <c r="E316" s="44"/>
      <c r="F316" s="44"/>
      <c r="G316" s="44"/>
      <c r="H316" s="44" t="s">
        <v>1308</v>
      </c>
      <c r="I316" s="44" t="s">
        <v>356</v>
      </c>
    </row>
    <row r="317" spans="1:9" ht="14" hidden="1">
      <c r="A317" s="84">
        <v>46252</v>
      </c>
      <c r="B317" s="45" t="s">
        <v>1310</v>
      </c>
      <c r="C317" s="85">
        <v>1250</v>
      </c>
      <c r="D317" s="45" t="s">
        <v>162</v>
      </c>
      <c r="E317" s="45" t="s">
        <v>49</v>
      </c>
      <c r="F317" s="46"/>
      <c r="G317" s="46"/>
      <c r="H317" s="46" t="s">
        <v>1311</v>
      </c>
      <c r="I317" s="45" t="s">
        <v>148</v>
      </c>
    </row>
    <row r="318" spans="1:9" ht="14" hidden="1">
      <c r="A318" s="82">
        <v>46257</v>
      </c>
      <c r="B318" s="44" t="s">
        <v>1299</v>
      </c>
      <c r="C318" s="83">
        <v>1780</v>
      </c>
      <c r="D318" s="44" t="s">
        <v>162</v>
      </c>
      <c r="E318" s="44" t="s">
        <v>49</v>
      </c>
      <c r="F318" s="44"/>
      <c r="G318" s="44"/>
      <c r="H318" s="44" t="s">
        <v>1315</v>
      </c>
      <c r="I318" s="44" t="s">
        <v>148</v>
      </c>
    </row>
    <row r="319" spans="1:9" ht="14" hidden="1">
      <c r="A319" s="84">
        <v>46257</v>
      </c>
      <c r="B319" s="45" t="s">
        <v>175</v>
      </c>
      <c r="C319" s="85">
        <v>2100</v>
      </c>
      <c r="D319" s="45" t="s">
        <v>162</v>
      </c>
      <c r="E319" s="45" t="s">
        <v>49</v>
      </c>
      <c r="F319" s="46"/>
      <c r="G319" s="46"/>
      <c r="H319" s="46" t="s">
        <v>1318</v>
      </c>
      <c r="I319" s="45" t="s">
        <v>148</v>
      </c>
    </row>
    <row r="320" spans="1:9" ht="14" hidden="1">
      <c r="A320" s="82">
        <v>46257</v>
      </c>
      <c r="B320" s="44" t="s">
        <v>49</v>
      </c>
      <c r="C320" s="83">
        <v>700</v>
      </c>
      <c r="D320" s="44" t="s">
        <v>162</v>
      </c>
      <c r="E320" s="44" t="s">
        <v>49</v>
      </c>
      <c r="F320" s="44"/>
      <c r="G320" s="44"/>
      <c r="H320" s="44" t="s">
        <v>1321</v>
      </c>
      <c r="I320" s="44" t="s">
        <v>148</v>
      </c>
    </row>
    <row r="321" spans="1:9" ht="14" hidden="1">
      <c r="A321" s="84">
        <v>46257</v>
      </c>
      <c r="B321" s="45" t="s">
        <v>1325</v>
      </c>
      <c r="C321" s="85">
        <v>1500</v>
      </c>
      <c r="D321" s="45" t="s">
        <v>162</v>
      </c>
      <c r="E321" s="45" t="s">
        <v>49</v>
      </c>
      <c r="F321" s="46"/>
      <c r="G321" s="46"/>
      <c r="H321" s="46" t="s">
        <v>1326</v>
      </c>
      <c r="I321" s="45" t="s">
        <v>148</v>
      </c>
    </row>
    <row r="322" spans="1:9" ht="14" hidden="1">
      <c r="A322" s="82">
        <v>46258</v>
      </c>
      <c r="B322" s="44" t="s">
        <v>1329</v>
      </c>
      <c r="C322" s="83">
        <v>1250</v>
      </c>
      <c r="D322" s="44" t="s">
        <v>162</v>
      </c>
      <c r="E322" s="44" t="s">
        <v>49</v>
      </c>
      <c r="F322" s="44"/>
      <c r="G322" s="44"/>
      <c r="H322" s="44" t="s">
        <v>1330</v>
      </c>
      <c r="I322" s="44" t="s">
        <v>148</v>
      </c>
    </row>
    <row r="323" spans="1:9" ht="14" hidden="1">
      <c r="A323" s="84">
        <v>46263</v>
      </c>
      <c r="B323" s="45" t="s">
        <v>1351</v>
      </c>
      <c r="C323" s="85">
        <v>1380</v>
      </c>
      <c r="D323" s="45" t="s">
        <v>162</v>
      </c>
      <c r="E323" s="45" t="s">
        <v>49</v>
      </c>
      <c r="F323" s="46"/>
      <c r="G323" s="46"/>
      <c r="H323" s="46" t="s">
        <v>1352</v>
      </c>
      <c r="I323" s="45" t="s">
        <v>148</v>
      </c>
    </row>
    <row r="324" spans="1:9" ht="14" hidden="1">
      <c r="A324" s="82">
        <v>46263</v>
      </c>
      <c r="B324" s="44" t="s">
        <v>1355</v>
      </c>
      <c r="C324" s="83">
        <v>1380</v>
      </c>
      <c r="D324" s="44" t="s">
        <v>162</v>
      </c>
      <c r="E324" s="44" t="s">
        <v>49</v>
      </c>
      <c r="F324" s="44"/>
      <c r="G324" s="44"/>
      <c r="H324" s="44" t="s">
        <v>1356</v>
      </c>
      <c r="I324" s="44" t="s">
        <v>148</v>
      </c>
    </row>
    <row r="325" spans="1:9" ht="14" hidden="1">
      <c r="A325" s="84">
        <v>46263</v>
      </c>
      <c r="B325" s="45" t="s">
        <v>1357</v>
      </c>
      <c r="C325" s="85">
        <v>2500</v>
      </c>
      <c r="D325" s="45" t="s">
        <v>162</v>
      </c>
      <c r="E325" s="45" t="s">
        <v>49</v>
      </c>
      <c r="F325" s="46"/>
      <c r="G325" s="46"/>
      <c r="H325" s="46" t="s">
        <v>1358</v>
      </c>
      <c r="I325" s="45"/>
    </row>
    <row r="326" spans="1:9">
      <c r="A326" s="82"/>
      <c r="B326" s="44"/>
      <c r="C326" s="83"/>
      <c r="D326" s="44"/>
      <c r="E326" s="44"/>
      <c r="F326" s="44"/>
      <c r="G326" s="44"/>
      <c r="H326" s="44"/>
      <c r="I326" s="44"/>
    </row>
    <row r="327" spans="1:9">
      <c r="A327" s="84"/>
      <c r="B327" s="45"/>
      <c r="C327" s="85"/>
      <c r="D327" s="45"/>
      <c r="E327" s="45"/>
      <c r="F327" s="46"/>
      <c r="G327" s="46"/>
      <c r="H327" s="46"/>
      <c r="I327" s="45"/>
    </row>
    <row r="328" spans="1:9">
      <c r="A328" s="82"/>
      <c r="B328" s="44"/>
      <c r="C328" s="83"/>
      <c r="D328" s="44"/>
      <c r="E328" s="44"/>
      <c r="F328" s="44"/>
      <c r="G328" s="44"/>
      <c r="H328" s="44"/>
      <c r="I328" s="44"/>
    </row>
  </sheetData>
  <autoFilter ref="A1:I326" xr:uid="{00000000-0009-0000-0000-000004000000}">
    <filterColumn colId="1">
      <filters>
        <filter val="Asha Latha"/>
        <filter val="Latha"/>
        <filter val="Latha Ammayi"/>
        <filter val="Latha Suresh (Malappuram)"/>
      </filters>
    </filterColumn>
  </autoFilter>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zoomScaleNormal="100" workbookViewId="0">
      <pane ySplit="1" topLeftCell="A191" activePane="bottomLeft" state="frozen"/>
      <selection activeCell="E1" sqref="E1"/>
      <selection pane="bottomLeft" activeCell="A210" sqref="A210"/>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1268</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1109</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1159</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1095</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1153</v>
      </c>
      <c r="M120" s="52" t="s">
        <v>49</v>
      </c>
      <c r="N120" s="52" t="s">
        <v>589</v>
      </c>
      <c r="O120" s="52"/>
      <c r="P120" s="52" t="s">
        <v>1154</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1069</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1150</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1126</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1127</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1099</v>
      </c>
      <c r="M154" s="52"/>
      <c r="N154" s="52" t="s">
        <v>589</v>
      </c>
      <c r="O154" s="52" t="s">
        <v>1096</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1116</v>
      </c>
      <c r="M155" s="55"/>
      <c r="N155" s="55" t="s">
        <v>589</v>
      </c>
      <c r="O155" s="55" t="s">
        <v>1096</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1100</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1130</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2</v>
      </c>
      <c r="G166" s="66">
        <v>1</v>
      </c>
      <c r="H166" s="65">
        <f t="shared" si="11"/>
        <v>3</v>
      </c>
      <c r="I166" s="65">
        <f>IF(D166&lt;&gt;"",D166,IFERROR(E166/(IFERROR(SUM(Sales!C:C),0))*(IFERROR(SUM(Purchases!C:C),0)),0))</f>
        <v>606</v>
      </c>
      <c r="J166" s="65">
        <f t="shared" si="9"/>
        <v>1212</v>
      </c>
      <c r="K166" s="65">
        <f t="shared" si="10"/>
        <v>606</v>
      </c>
      <c r="L166" s="52" t="s">
        <v>1316</v>
      </c>
      <c r="M166" s="52"/>
      <c r="N166" s="52" t="s">
        <v>589</v>
      </c>
      <c r="O166" s="52"/>
      <c r="P166" s="52" t="s">
        <v>1317</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1258</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1287</v>
      </c>
      <c r="M175" s="55"/>
      <c r="N175" s="55" t="s">
        <v>589</v>
      </c>
      <c r="O175" s="55"/>
      <c r="P175" s="55" t="s">
        <v>1285</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1298</v>
      </c>
      <c r="M181" s="55"/>
      <c r="N181" s="55" t="s">
        <v>589</v>
      </c>
      <c r="O181" s="55" t="s">
        <v>1267</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1169</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1225</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1303</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1226</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1306</v>
      </c>
      <c r="M189" s="55"/>
      <c r="N189" s="55" t="s">
        <v>589</v>
      </c>
      <c r="O189" s="55"/>
      <c r="P189" s="55" t="s">
        <v>1309</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1160</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1078</v>
      </c>
      <c r="M192" s="52"/>
      <c r="N192" s="47" t="s">
        <v>589</v>
      </c>
      <c r="P192" s="47" t="s">
        <v>1079</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1289</v>
      </c>
      <c r="C194" s="52" t="s">
        <v>95</v>
      </c>
      <c r="D194" s="53">
        <v>790</v>
      </c>
      <c r="E194" s="53">
        <v>1250</v>
      </c>
      <c r="F194" s="66">
        <v>3</v>
      </c>
      <c r="G194" s="66">
        <v>7</v>
      </c>
      <c r="H194" s="65">
        <f t="shared" si="12"/>
        <v>10</v>
      </c>
      <c r="I194" s="65">
        <f>IF(D194&lt;&gt;"",D194,IFERROR(E194/(IFERROR(SUM(Sales!C:C),0))*(IFERROR(SUM(Purchases!C:C),0)),0))</f>
        <v>790</v>
      </c>
      <c r="J194" s="65">
        <f t="shared" ref="J194:J225" si="13">F194*I194</f>
        <v>2370</v>
      </c>
      <c r="K194" s="65">
        <f t="shared" ref="K194:K225" si="14">IF(LEN(G194)=0,0,G194)*I194</f>
        <v>5530</v>
      </c>
      <c r="L194" s="52" t="s">
        <v>1361</v>
      </c>
      <c r="M194" s="52"/>
      <c r="N194" s="47" t="s">
        <v>589</v>
      </c>
      <c r="P194" s="47" t="s">
        <v>1362</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1174</v>
      </c>
      <c r="M198" s="55"/>
      <c r="N198" s="47" t="s">
        <v>589</v>
      </c>
      <c r="P198" s="47" t="s">
        <v>1175</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1312</v>
      </c>
      <c r="M199" s="52"/>
      <c r="N199" s="47" t="s">
        <v>589</v>
      </c>
      <c r="P199" s="47" t="s">
        <v>1313</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1142</v>
      </c>
      <c r="M201" s="52"/>
      <c r="N201" s="47" t="s">
        <v>589</v>
      </c>
      <c r="P201" s="47" t="s">
        <v>1143</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1105</v>
      </c>
      <c r="M203" s="52"/>
      <c r="N203" s="47" t="s">
        <v>589</v>
      </c>
      <c r="P203" s="47" t="s">
        <v>1104</v>
      </c>
      <c r="S203" s="47"/>
      <c r="T203" s="47"/>
    </row>
    <row r="204" spans="1:20" ht="15" customHeight="1">
      <c r="A204" s="55" t="s">
        <v>1009</v>
      </c>
      <c r="B204" s="55" t="s">
        <v>1010</v>
      </c>
      <c r="C204" s="55" t="s">
        <v>95</v>
      </c>
      <c r="D204" s="56">
        <v>761</v>
      </c>
      <c r="E204" s="56">
        <v>1250</v>
      </c>
      <c r="F204" s="64">
        <v>2</v>
      </c>
      <c r="G204" s="64">
        <v>1</v>
      </c>
      <c r="H204" s="63">
        <f t="shared" si="12"/>
        <v>3</v>
      </c>
      <c r="I204" s="63">
        <f>IF(D204&lt;&gt;"",D204,IFERROR(E204/(IFERROR(SUM(Sales!C:C),0))*(IFERROR(SUM(Purchases!C:C),0)),0))</f>
        <v>761</v>
      </c>
      <c r="J204" s="63">
        <f t="shared" si="13"/>
        <v>1522</v>
      </c>
      <c r="K204" s="63">
        <f t="shared" si="14"/>
        <v>761</v>
      </c>
      <c r="L204" s="55" t="s">
        <v>1319</v>
      </c>
      <c r="M204" s="55"/>
      <c r="N204" s="47" t="s">
        <v>589</v>
      </c>
      <c r="P204" s="47" t="s">
        <v>1320</v>
      </c>
      <c r="S204" s="47"/>
      <c r="T204" s="47"/>
    </row>
    <row r="205" spans="1:20" ht="15" customHeight="1">
      <c r="A205" s="52" t="s">
        <v>1011</v>
      </c>
      <c r="B205" s="52" t="s">
        <v>1012</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1013</v>
      </c>
      <c r="S205" s="47"/>
      <c r="T205" s="47"/>
    </row>
    <row r="206" spans="1:20" ht="15" customHeight="1">
      <c r="A206" s="55" t="s">
        <v>1014</v>
      </c>
      <c r="B206" s="55" t="s">
        <v>1015</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1016</v>
      </c>
      <c r="M206" s="55"/>
      <c r="N206" s="47" t="s">
        <v>589</v>
      </c>
      <c r="P206" s="47" t="s">
        <v>1017</v>
      </c>
      <c r="S206" s="47"/>
      <c r="T206" s="47"/>
    </row>
    <row r="207" spans="1:20" ht="30" customHeight="1">
      <c r="A207" s="52" t="s">
        <v>1018</v>
      </c>
      <c r="B207" s="52" t="s">
        <v>1019</v>
      </c>
      <c r="C207" s="52" t="s">
        <v>95</v>
      </c>
      <c r="D207" s="53">
        <v>782</v>
      </c>
      <c r="E207" s="53">
        <v>1250</v>
      </c>
      <c r="F207" s="66">
        <v>1</v>
      </c>
      <c r="G207" s="66">
        <v>3</v>
      </c>
      <c r="H207" s="65">
        <f t="shared" si="12"/>
        <v>4</v>
      </c>
      <c r="I207" s="65">
        <f>IF(D207&lt;&gt;"",D207,IFERROR(E207/(IFERROR(SUM(Sales!C:C),0))*(IFERROR(SUM(Purchases!C:C),0)),0))</f>
        <v>782</v>
      </c>
      <c r="J207" s="65">
        <f t="shared" si="13"/>
        <v>782</v>
      </c>
      <c r="K207" s="65">
        <f t="shared" si="14"/>
        <v>2346</v>
      </c>
      <c r="L207" s="52" t="s">
        <v>1360</v>
      </c>
      <c r="M207" s="52"/>
      <c r="N207" s="47" t="s">
        <v>589</v>
      </c>
      <c r="P207" s="47" t="s">
        <v>1359</v>
      </c>
      <c r="S207" s="47"/>
      <c r="T207" s="47"/>
    </row>
    <row r="208" spans="1:20" ht="15" customHeight="1">
      <c r="A208" s="55" t="s">
        <v>1020</v>
      </c>
      <c r="B208" s="52" t="s">
        <v>1021</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1081</v>
      </c>
      <c r="M208" s="55"/>
      <c r="N208" s="47" t="s">
        <v>589</v>
      </c>
      <c r="P208" s="47" t="s">
        <v>1080</v>
      </c>
      <c r="S208" s="47"/>
      <c r="T208" s="47"/>
    </row>
    <row r="209" spans="1:20" ht="15" customHeight="1">
      <c r="A209" s="52" t="s">
        <v>1022</v>
      </c>
      <c r="B209" s="55" t="s">
        <v>1023</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1024</v>
      </c>
      <c r="S209" s="47"/>
      <c r="T209" s="47"/>
    </row>
    <row r="210" spans="1:20" ht="15" customHeight="1">
      <c r="A210" s="55" t="s">
        <v>1025</v>
      </c>
      <c r="B210" s="52" t="s">
        <v>901</v>
      </c>
      <c r="C210" s="52" t="s">
        <v>95</v>
      </c>
      <c r="D210" s="53">
        <v>922</v>
      </c>
      <c r="E210" s="53">
        <v>1499</v>
      </c>
      <c r="F210" s="64">
        <v>2</v>
      </c>
      <c r="G210" s="64">
        <v>0</v>
      </c>
      <c r="H210" s="63">
        <f t="shared" si="12"/>
        <v>2</v>
      </c>
      <c r="I210" s="63">
        <f>IF(D210&lt;&gt;"",D210,IFERROR(E210/(IFERROR(SUM(Sales!C:C),0))*(IFERROR(SUM(Purchases!C:C),0)),0))</f>
        <v>922</v>
      </c>
      <c r="J210" s="63">
        <f t="shared" si="13"/>
        <v>1844</v>
      </c>
      <c r="K210" s="63">
        <f t="shared" si="14"/>
        <v>0</v>
      </c>
      <c r="L210" s="55" t="s">
        <v>1367</v>
      </c>
      <c r="M210" s="55"/>
      <c r="N210" s="47" t="s">
        <v>504</v>
      </c>
      <c r="P210" s="47" t="s">
        <v>1026</v>
      </c>
      <c r="S210" s="47"/>
      <c r="T210" s="47"/>
    </row>
    <row r="211" spans="1:20" ht="15" customHeight="1">
      <c r="A211" s="52" t="s">
        <v>1027</v>
      </c>
      <c r="B211" s="55" t="s">
        <v>1094</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1304</v>
      </c>
      <c r="M211" s="52"/>
      <c r="N211" s="47" t="s">
        <v>504</v>
      </c>
      <c r="S211" s="47"/>
      <c r="T211" s="47"/>
    </row>
    <row r="212" spans="1:20" ht="15" customHeight="1">
      <c r="A212" s="55" t="s">
        <v>1028</v>
      </c>
      <c r="B212" s="52" t="s">
        <v>1129</v>
      </c>
      <c r="C212" s="52" t="s">
        <v>95</v>
      </c>
      <c r="D212" s="53">
        <v>555</v>
      </c>
      <c r="E212" s="53">
        <v>850</v>
      </c>
      <c r="F212" s="64">
        <v>4</v>
      </c>
      <c r="G212" s="64">
        <v>4</v>
      </c>
      <c r="H212" s="63">
        <f t="shared" si="12"/>
        <v>8</v>
      </c>
      <c r="I212" s="63">
        <f>IF(D212&lt;&gt;"",D212,IFERROR(E212/(IFERROR(SUM(Sales!C:C),0))*(IFERROR(SUM(Purchases!C:C),0)),0))</f>
        <v>555</v>
      </c>
      <c r="J212" s="63">
        <f t="shared" si="13"/>
        <v>2220</v>
      </c>
      <c r="K212" s="63">
        <f t="shared" si="14"/>
        <v>2220</v>
      </c>
      <c r="L212" s="55" t="s">
        <v>1364</v>
      </c>
      <c r="M212" s="55"/>
      <c r="N212" s="47" t="s">
        <v>589</v>
      </c>
      <c r="P212" s="47" t="s">
        <v>1365</v>
      </c>
      <c r="S212" s="47"/>
      <c r="T212" s="47"/>
    </row>
    <row r="213" spans="1:20" ht="15" customHeight="1">
      <c r="A213" s="52" t="s">
        <v>1029</v>
      </c>
      <c r="B213" s="52" t="s">
        <v>1131</v>
      </c>
      <c r="C213" s="52" t="s">
        <v>95</v>
      </c>
      <c r="D213" s="53">
        <v>835</v>
      </c>
      <c r="E213" s="53">
        <v>1250</v>
      </c>
      <c r="F213" s="66">
        <v>1</v>
      </c>
      <c r="G213" s="66">
        <v>4</v>
      </c>
      <c r="H213" s="65">
        <f t="shared" si="12"/>
        <v>5</v>
      </c>
      <c r="I213" s="65">
        <f>IF(D213&lt;&gt;"",D213,IFERROR(E213/(IFERROR(SUM(Sales!C:C),0))*(IFERROR(SUM(Purchases!C:C),0)),0))</f>
        <v>835</v>
      </c>
      <c r="J213" s="65">
        <f t="shared" si="13"/>
        <v>835</v>
      </c>
      <c r="K213" s="65">
        <f t="shared" si="14"/>
        <v>3340</v>
      </c>
      <c r="L213" s="52" t="s">
        <v>1331</v>
      </c>
      <c r="M213" s="52"/>
      <c r="N213" s="47" t="s">
        <v>589</v>
      </c>
      <c r="P213" s="47" t="s">
        <v>1132</v>
      </c>
      <c r="S213" s="47"/>
      <c r="T213" s="47"/>
    </row>
    <row r="214" spans="1:20" ht="15" customHeight="1">
      <c r="A214" s="55" t="s">
        <v>1030</v>
      </c>
      <c r="B214" s="55" t="s">
        <v>1133</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1218</v>
      </c>
      <c r="M214" s="55"/>
      <c r="N214" s="47" t="s">
        <v>589</v>
      </c>
      <c r="P214" s="47" t="s">
        <v>1134</v>
      </c>
      <c r="S214" s="47"/>
      <c r="T214" s="47"/>
    </row>
    <row r="215" spans="1:20" ht="30">
      <c r="A215" s="52" t="s">
        <v>1031</v>
      </c>
      <c r="B215" s="52" t="s">
        <v>994</v>
      </c>
      <c r="C215" s="52" t="s">
        <v>95</v>
      </c>
      <c r="D215" s="53">
        <v>576</v>
      </c>
      <c r="E215" s="53">
        <v>899</v>
      </c>
      <c r="F215" s="66">
        <v>0</v>
      </c>
      <c r="G215" s="66">
        <v>6</v>
      </c>
      <c r="H215" s="65">
        <f t="shared" si="12"/>
        <v>6</v>
      </c>
      <c r="I215" s="65">
        <f>IF(D215&lt;&gt;"",D215,IFERROR(E215/(IFERROR(SUM(Sales!C:C),0))*(IFERROR(SUM(Purchases!C:C),0)),0))</f>
        <v>576</v>
      </c>
      <c r="J215" s="65">
        <f t="shared" si="13"/>
        <v>0</v>
      </c>
      <c r="K215" s="65">
        <f t="shared" si="14"/>
        <v>3456</v>
      </c>
      <c r="L215" s="52"/>
      <c r="M215" s="52"/>
      <c r="N215" s="47" t="s">
        <v>678</v>
      </c>
      <c r="P215" s="47" t="s">
        <v>1172</v>
      </c>
      <c r="S215" s="47"/>
      <c r="T215" s="47"/>
    </row>
    <row r="216" spans="1:20" ht="15" customHeight="1">
      <c r="A216" s="55" t="s">
        <v>1032</v>
      </c>
      <c r="B216" s="55" t="s">
        <v>1135</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1266</v>
      </c>
      <c r="M216" s="55"/>
      <c r="N216" s="47" t="s">
        <v>504</v>
      </c>
      <c r="P216" s="47" t="s">
        <v>1136</v>
      </c>
      <c r="S216" s="47"/>
      <c r="T216" s="47"/>
    </row>
    <row r="217" spans="1:20" ht="15">
      <c r="A217" s="52" t="s">
        <v>1033</v>
      </c>
      <c r="B217" s="52" t="s">
        <v>1137</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1170</v>
      </c>
      <c r="M217" s="52"/>
      <c r="N217" s="47" t="s">
        <v>589</v>
      </c>
      <c r="P217" s="47" t="s">
        <v>1171</v>
      </c>
      <c r="S217" s="47"/>
      <c r="T217" s="47"/>
    </row>
    <row r="218" spans="1:20" ht="15" customHeight="1">
      <c r="A218" s="55" t="s">
        <v>1034</v>
      </c>
      <c r="B218" s="55" t="s">
        <v>1138</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1178</v>
      </c>
      <c r="M218" s="55"/>
      <c r="N218" s="47" t="s">
        <v>678</v>
      </c>
      <c r="P218" s="47" t="s">
        <v>1177</v>
      </c>
      <c r="S218" s="47"/>
      <c r="T218" s="47"/>
    </row>
    <row r="219" spans="1:20" ht="15">
      <c r="A219" s="52" t="s">
        <v>1035</v>
      </c>
      <c r="B219" s="52" t="s">
        <v>1139</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1166</v>
      </c>
      <c r="M219" s="52"/>
      <c r="N219" s="47" t="s">
        <v>589</v>
      </c>
      <c r="P219" s="47" t="s">
        <v>1167</v>
      </c>
      <c r="S219" s="47"/>
      <c r="T219" s="47"/>
    </row>
    <row r="220" spans="1:20" ht="15" customHeight="1">
      <c r="A220" s="55" t="s">
        <v>1036</v>
      </c>
      <c r="B220" s="55" t="s">
        <v>1163</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1164</v>
      </c>
      <c r="S220" s="47"/>
      <c r="T220" s="47"/>
    </row>
    <row r="221" spans="1:20" ht="17">
      <c r="A221" s="52" t="s">
        <v>1037</v>
      </c>
      <c r="B221" s="52" t="s">
        <v>1179</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1206</v>
      </c>
      <c r="S221" s="47"/>
      <c r="T221" s="47"/>
    </row>
    <row r="222" spans="1:20" ht="15" customHeight="1">
      <c r="A222" s="55" t="s">
        <v>1038</v>
      </c>
      <c r="B222" s="55" t="s">
        <v>1180</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1207</v>
      </c>
      <c r="S222" s="47"/>
      <c r="T222" s="47"/>
    </row>
    <row r="223" spans="1:20" ht="15" customHeight="1">
      <c r="A223" s="52" t="s">
        <v>1039</v>
      </c>
      <c r="B223" s="52" t="s">
        <v>1181</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1221</v>
      </c>
      <c r="M223" s="52"/>
      <c r="N223" s="47" t="s">
        <v>589</v>
      </c>
      <c r="P223" s="86" t="s">
        <v>1223</v>
      </c>
      <c r="S223" s="47"/>
      <c r="T223" s="47"/>
    </row>
    <row r="224" spans="1:20" ht="15" customHeight="1">
      <c r="A224" s="55" t="s">
        <v>1040</v>
      </c>
      <c r="B224" s="55" t="s">
        <v>1182</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1208</v>
      </c>
      <c r="S224" s="47"/>
      <c r="T224" s="47"/>
    </row>
    <row r="225" spans="1:20" ht="15" customHeight="1">
      <c r="A225" s="52" t="s">
        <v>1041</v>
      </c>
      <c r="B225" s="52" t="s">
        <v>1183</v>
      </c>
      <c r="C225" s="52" t="s">
        <v>95</v>
      </c>
      <c r="D225" s="53">
        <v>940</v>
      </c>
      <c r="E225" s="53">
        <v>1500</v>
      </c>
      <c r="F225" s="66">
        <v>1</v>
      </c>
      <c r="G225" s="66">
        <v>1</v>
      </c>
      <c r="H225" s="65">
        <f t="shared" si="12"/>
        <v>2</v>
      </c>
      <c r="I225" s="65">
        <f>IF(D225&lt;&gt;"",D225,IFERROR(E225/(IFERROR(SUM(Sales!C:C),0))*(IFERROR(SUM(Purchases!C:C),0)),0))</f>
        <v>940</v>
      </c>
      <c r="J225" s="65">
        <f t="shared" si="13"/>
        <v>940</v>
      </c>
      <c r="K225" s="65">
        <f t="shared" si="14"/>
        <v>940</v>
      </c>
      <c r="L225" s="52" t="s">
        <v>1327</v>
      </c>
      <c r="M225" s="52"/>
      <c r="N225" s="47" t="s">
        <v>589</v>
      </c>
      <c r="P225" s="86" t="s">
        <v>1328</v>
      </c>
      <c r="S225" s="47"/>
      <c r="T225" s="47"/>
    </row>
    <row r="226" spans="1:20" ht="17">
      <c r="A226" s="52" t="s">
        <v>1194</v>
      </c>
      <c r="B226" s="55" t="s">
        <v>1184</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1176</v>
      </c>
      <c r="M226" s="55"/>
      <c r="N226" s="47" t="s">
        <v>678</v>
      </c>
      <c r="P226" s="86" t="s">
        <v>1209</v>
      </c>
      <c r="S226" s="47"/>
      <c r="T226" s="47"/>
    </row>
    <row r="227" spans="1:20" ht="17">
      <c r="A227" s="55" t="s">
        <v>1195</v>
      </c>
      <c r="B227" s="52" t="s">
        <v>1185</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1210</v>
      </c>
      <c r="S227" s="47"/>
      <c r="T227" s="47"/>
    </row>
    <row r="228" spans="1:20" ht="17">
      <c r="A228" s="52" t="s">
        <v>1196</v>
      </c>
      <c r="B228" s="55" t="s">
        <v>1186</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1291</v>
      </c>
      <c r="M228" s="55"/>
      <c r="N228" s="47" t="s">
        <v>589</v>
      </c>
      <c r="P228" s="86" t="s">
        <v>1292</v>
      </c>
      <c r="S228" s="47"/>
      <c r="T228" s="47"/>
    </row>
    <row r="229" spans="1:20" ht="17">
      <c r="A229" s="55" t="s">
        <v>1197</v>
      </c>
      <c r="B229" s="52" t="s">
        <v>1187</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1263</v>
      </c>
      <c r="M229" s="52"/>
      <c r="N229" s="47" t="s">
        <v>589</v>
      </c>
      <c r="P229" s="86" t="s">
        <v>1264</v>
      </c>
      <c r="S229" s="47"/>
      <c r="T229" s="47"/>
    </row>
    <row r="230" spans="1:20" ht="17">
      <c r="A230" s="52" t="s">
        <v>1198</v>
      </c>
      <c r="B230" s="55" t="s">
        <v>1186</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1211</v>
      </c>
      <c r="S230" s="47"/>
      <c r="T230" s="47"/>
    </row>
    <row r="231" spans="1:20" ht="17">
      <c r="A231" s="52" t="s">
        <v>1199</v>
      </c>
      <c r="B231" s="52" t="s">
        <v>1188</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1164</v>
      </c>
      <c r="S231" s="47"/>
      <c r="T231" s="47"/>
    </row>
    <row r="232" spans="1:20" ht="17">
      <c r="A232" s="55" t="s">
        <v>1200</v>
      </c>
      <c r="B232" s="55" t="s">
        <v>1189</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1215</v>
      </c>
      <c r="M232" s="55"/>
      <c r="N232" s="47" t="s">
        <v>504</v>
      </c>
      <c r="P232" s="86" t="s">
        <v>1212</v>
      </c>
      <c r="S232" s="47"/>
      <c r="T232" s="47"/>
    </row>
    <row r="233" spans="1:20" ht="17">
      <c r="A233" s="52" t="s">
        <v>1201</v>
      </c>
      <c r="B233" s="52" t="s">
        <v>1190</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1265</v>
      </c>
      <c r="M233" s="52"/>
      <c r="N233" s="47" t="s">
        <v>678</v>
      </c>
      <c r="P233" s="86" t="s">
        <v>1213</v>
      </c>
      <c r="S233" s="47"/>
      <c r="T233" s="47"/>
    </row>
    <row r="234" spans="1:20" ht="17">
      <c r="A234" s="55" t="s">
        <v>1202</v>
      </c>
      <c r="B234" s="55" t="s">
        <v>1191</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1282</v>
      </c>
      <c r="M234" s="55"/>
      <c r="N234" s="47" t="s">
        <v>589</v>
      </c>
      <c r="P234" s="86" t="s">
        <v>1214</v>
      </c>
      <c r="S234" s="47"/>
      <c r="T234" s="47"/>
    </row>
    <row r="235" spans="1:20" ht="17">
      <c r="A235" s="52" t="s">
        <v>1203</v>
      </c>
      <c r="B235" s="52" t="s">
        <v>510</v>
      </c>
      <c r="C235" s="52" t="s">
        <v>95</v>
      </c>
      <c r="D235" s="53">
        <v>912</v>
      </c>
      <c r="E235" s="53">
        <v>1380</v>
      </c>
      <c r="F235" s="66">
        <v>2</v>
      </c>
      <c r="G235" s="66">
        <v>2</v>
      </c>
      <c r="H235" s="65">
        <f t="shared" si="15"/>
        <v>4</v>
      </c>
      <c r="I235" s="65">
        <f>IF(D235&lt;&gt;"",D235,IFERROR(E235/(IFERROR(SUM(Sales!C:C),0))*(IFERROR(SUM(Purchases!C:C),0)),0))</f>
        <v>912</v>
      </c>
      <c r="J235" s="65">
        <f t="shared" si="16"/>
        <v>1824</v>
      </c>
      <c r="K235" s="65">
        <f t="shared" si="17"/>
        <v>1824</v>
      </c>
      <c r="L235" s="52" t="s">
        <v>1323</v>
      </c>
      <c r="M235" s="52"/>
      <c r="N235" s="47" t="s">
        <v>589</v>
      </c>
      <c r="P235" s="86" t="s">
        <v>1324</v>
      </c>
      <c r="S235" s="47"/>
      <c r="T235" s="47"/>
    </row>
    <row r="236" spans="1:20" ht="17">
      <c r="A236" s="52" t="s">
        <v>1204</v>
      </c>
      <c r="B236" s="55" t="s">
        <v>1192</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1261</v>
      </c>
      <c r="M236" s="55"/>
      <c r="N236" s="47" t="s">
        <v>678</v>
      </c>
      <c r="P236" s="86" t="s">
        <v>1262</v>
      </c>
      <c r="S236" s="47"/>
      <c r="T236" s="47"/>
    </row>
    <row r="237" spans="1:20" ht="17">
      <c r="A237" s="55" t="s">
        <v>1205</v>
      </c>
      <c r="B237" s="52" t="s">
        <v>1193</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1260</v>
      </c>
      <c r="M237" s="52"/>
      <c r="N237" s="47" t="s">
        <v>678</v>
      </c>
      <c r="P237" s="86" t="s">
        <v>1259</v>
      </c>
      <c r="S237" s="47"/>
      <c r="T237" s="47"/>
    </row>
    <row r="238" spans="1:20" ht="16">
      <c r="A238" s="55" t="s">
        <v>1227</v>
      </c>
      <c r="B238" s="55" t="s">
        <v>1189</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1228</v>
      </c>
      <c r="M238" s="55"/>
      <c r="N238" s="47" t="s">
        <v>504</v>
      </c>
      <c r="P238" s="86"/>
      <c r="S238" s="47"/>
      <c r="T238" s="47"/>
    </row>
    <row r="239" spans="1:20" ht="17">
      <c r="A239" s="52" t="s">
        <v>1230</v>
      </c>
      <c r="B239" s="52" t="s">
        <v>1240</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1251</v>
      </c>
      <c r="S239" s="47"/>
      <c r="T239" s="47"/>
    </row>
    <row r="240" spans="1:20" ht="17">
      <c r="A240" s="55" t="s">
        <v>1231</v>
      </c>
      <c r="B240" s="55" t="s">
        <v>1249</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1250</v>
      </c>
      <c r="M240" s="55"/>
      <c r="N240" s="47" t="s">
        <v>504</v>
      </c>
      <c r="P240" s="86" t="s">
        <v>201</v>
      </c>
      <c r="S240" s="47"/>
      <c r="T240" s="47"/>
    </row>
    <row r="241" spans="1:246" ht="17">
      <c r="A241" s="52" t="s">
        <v>1232</v>
      </c>
      <c r="B241" s="52" t="s">
        <v>1241</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1284</v>
      </c>
      <c r="M241" s="52"/>
      <c r="N241" s="47" t="s">
        <v>589</v>
      </c>
      <c r="P241" s="86" t="s">
        <v>1252</v>
      </c>
      <c r="S241" s="47"/>
      <c r="T241" s="47"/>
    </row>
    <row r="242" spans="1:246" ht="17">
      <c r="A242" s="55" t="s">
        <v>1233</v>
      </c>
      <c r="B242" s="55" t="s">
        <v>1242</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1253</v>
      </c>
      <c r="S242" s="47"/>
      <c r="T242" s="47"/>
    </row>
    <row r="243" spans="1:246" ht="17">
      <c r="A243" s="52" t="s">
        <v>1234</v>
      </c>
      <c r="B243" s="52" t="s">
        <v>1243</v>
      </c>
      <c r="C243" s="52" t="s">
        <v>95</v>
      </c>
      <c r="D243" s="53">
        <v>545</v>
      </c>
      <c r="E243" s="53">
        <v>900</v>
      </c>
      <c r="F243" s="66">
        <v>1</v>
      </c>
      <c r="G243" s="66">
        <v>1</v>
      </c>
      <c r="H243" s="65">
        <f t="shared" si="18"/>
        <v>2</v>
      </c>
      <c r="I243" s="65">
        <f>IF(D243&lt;&gt;"",D243,IFERROR(E243/(IFERROR(SUM(Sales!C:C),0))*(IFERROR(SUM(Purchases!C:C),0)),0))</f>
        <v>545</v>
      </c>
      <c r="J243" s="65">
        <f t="shared" si="19"/>
        <v>545</v>
      </c>
      <c r="K243" s="65">
        <f t="shared" si="20"/>
        <v>545</v>
      </c>
      <c r="L243" s="52" t="s">
        <v>1277</v>
      </c>
      <c r="M243" s="52"/>
      <c r="N243" s="47" t="s">
        <v>589</v>
      </c>
      <c r="P243" s="86" t="s">
        <v>1254</v>
      </c>
      <c r="S243" s="47"/>
      <c r="T243" s="47"/>
    </row>
    <row r="244" spans="1:246" ht="17">
      <c r="A244" s="55" t="s">
        <v>1235</v>
      </c>
      <c r="B244" s="55" t="s">
        <v>1244</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1255</v>
      </c>
      <c r="S244" s="47"/>
      <c r="T244" s="47"/>
    </row>
    <row r="245" spans="1:246" ht="16">
      <c r="A245" s="52" t="s">
        <v>1236</v>
      </c>
      <c r="B245" s="52" t="s">
        <v>1245</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46" s="62" customFormat="1" ht="17">
      <c r="A246" s="87" t="s">
        <v>1237</v>
      </c>
      <c r="B246" s="87" t="s">
        <v>1246</v>
      </c>
      <c r="C246" s="87" t="s">
        <v>95</v>
      </c>
      <c r="D246" s="88">
        <v>629</v>
      </c>
      <c r="E246" s="88"/>
      <c r="F246" s="89">
        <v>0</v>
      </c>
      <c r="G246" s="89">
        <v>0</v>
      </c>
      <c r="H246" s="90">
        <f t="shared" si="18"/>
        <v>0</v>
      </c>
      <c r="I246" s="90">
        <f>IF(D246&lt;&gt;"",D246,IFERROR(E246/(IFERROR(SUM(Sales!C:C),0))*(IFERROR(SUM(Purchases!C:C),0)),0))</f>
        <v>629</v>
      </c>
      <c r="J246" s="90">
        <f t="shared" si="19"/>
        <v>0</v>
      </c>
      <c r="K246" s="90">
        <f t="shared" si="20"/>
        <v>0</v>
      </c>
      <c r="L246" s="87" t="s">
        <v>608</v>
      </c>
      <c r="M246" s="87"/>
      <c r="N246" s="62" t="s">
        <v>504</v>
      </c>
      <c r="P246" s="91" t="s">
        <v>1256</v>
      </c>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c r="BU246" s="61"/>
      <c r="BV246" s="61"/>
      <c r="BW246" s="61"/>
      <c r="BX246" s="61"/>
      <c r="BY246" s="61"/>
      <c r="BZ246" s="61"/>
      <c r="CA246" s="61"/>
      <c r="CB246" s="61"/>
      <c r="CC246" s="61"/>
      <c r="CD246" s="61"/>
      <c r="CE246" s="61"/>
      <c r="CF246" s="61"/>
      <c r="CG246" s="61"/>
      <c r="CH246" s="61"/>
      <c r="CI246" s="61"/>
      <c r="CJ246" s="61"/>
      <c r="CK246" s="61"/>
      <c r="CL246" s="61"/>
      <c r="CM246" s="61"/>
      <c r="CN246" s="61"/>
      <c r="CO246" s="61"/>
      <c r="CP246" s="61"/>
      <c r="CQ246" s="61"/>
      <c r="CR246" s="61"/>
      <c r="CS246" s="61"/>
      <c r="CT246" s="61"/>
      <c r="CU246" s="61"/>
      <c r="CV246" s="61"/>
      <c r="CW246" s="61"/>
      <c r="CX246" s="61"/>
      <c r="CY246" s="61"/>
      <c r="CZ246" s="61"/>
      <c r="DA246" s="61"/>
      <c r="DB246" s="61"/>
      <c r="DC246" s="61"/>
      <c r="DD246" s="61"/>
      <c r="DE246" s="61"/>
      <c r="DF246" s="61"/>
      <c r="DG246" s="61"/>
      <c r="DH246" s="61"/>
      <c r="DI246" s="61"/>
      <c r="DJ246" s="61"/>
      <c r="DK246" s="61"/>
      <c r="DL246" s="61"/>
      <c r="DM246" s="61"/>
      <c r="DN246" s="61"/>
      <c r="DO246" s="61"/>
      <c r="DP246" s="61"/>
      <c r="DQ246" s="61"/>
      <c r="DR246" s="61"/>
      <c r="DS246" s="61"/>
      <c r="DT246" s="61"/>
      <c r="DU246" s="61"/>
      <c r="DV246" s="61"/>
      <c r="DW246" s="61"/>
      <c r="DX246" s="61"/>
      <c r="DY246" s="61"/>
      <c r="DZ246" s="61"/>
      <c r="EA246" s="61"/>
      <c r="EB246" s="61"/>
      <c r="EC246" s="61"/>
      <c r="ED246" s="61"/>
      <c r="EE246" s="61"/>
      <c r="EF246" s="61"/>
      <c r="EG246" s="61"/>
      <c r="EH246" s="61"/>
      <c r="EI246" s="61"/>
      <c r="EJ246" s="61"/>
      <c r="EK246" s="61"/>
      <c r="EL246" s="61"/>
      <c r="EM246" s="61"/>
      <c r="EN246" s="61"/>
      <c r="EO246" s="61"/>
      <c r="EP246" s="61"/>
      <c r="EQ246" s="61"/>
      <c r="ER246" s="61"/>
      <c r="ES246" s="61"/>
      <c r="ET246" s="61"/>
      <c r="EU246" s="61"/>
      <c r="EV246" s="61"/>
      <c r="EW246" s="61"/>
      <c r="EX246" s="61"/>
      <c r="EY246" s="61"/>
      <c r="EZ246" s="61"/>
      <c r="FA246" s="61"/>
      <c r="FB246" s="61"/>
      <c r="FC246" s="61"/>
      <c r="FD246" s="61"/>
      <c r="FE246" s="61"/>
      <c r="FF246" s="61"/>
      <c r="FG246" s="61"/>
      <c r="FH246" s="61"/>
      <c r="FI246" s="61"/>
      <c r="FJ246" s="61"/>
      <c r="FK246" s="61"/>
      <c r="FL246" s="61"/>
      <c r="FM246" s="61"/>
      <c r="FN246" s="61"/>
      <c r="FO246" s="61"/>
      <c r="FP246" s="61"/>
      <c r="FQ246" s="61"/>
      <c r="FR246" s="61"/>
      <c r="FS246" s="61"/>
      <c r="FT246" s="61"/>
      <c r="FU246" s="61"/>
      <c r="FV246" s="61"/>
      <c r="FW246" s="61"/>
      <c r="FX246" s="61"/>
      <c r="FY246" s="61"/>
      <c r="FZ246" s="61"/>
      <c r="GA246" s="61"/>
      <c r="GB246" s="61"/>
      <c r="GC246" s="61"/>
      <c r="GD246" s="61"/>
      <c r="GE246" s="61"/>
      <c r="GF246" s="61"/>
      <c r="GG246" s="61"/>
      <c r="GH246" s="61"/>
      <c r="GI246" s="61"/>
      <c r="GJ246" s="61"/>
      <c r="GK246" s="61"/>
      <c r="GL246" s="61"/>
      <c r="GM246" s="61"/>
      <c r="GN246" s="61"/>
      <c r="GO246" s="61"/>
      <c r="GP246" s="61"/>
      <c r="GQ246" s="61"/>
      <c r="GR246" s="61"/>
      <c r="GS246" s="61"/>
      <c r="GT246" s="61"/>
      <c r="GU246" s="61"/>
      <c r="GV246" s="61"/>
      <c r="GW246" s="61"/>
      <c r="GX246" s="61"/>
      <c r="GY246" s="61"/>
      <c r="GZ246" s="61"/>
      <c r="HA246" s="61"/>
      <c r="HB246" s="61"/>
      <c r="HC246" s="61"/>
      <c r="HD246" s="61"/>
      <c r="HE246" s="61"/>
      <c r="HF246" s="61"/>
      <c r="HG246" s="61"/>
      <c r="HH246" s="61"/>
      <c r="HI246" s="61"/>
      <c r="HJ246" s="61"/>
      <c r="HK246" s="61"/>
      <c r="HL246" s="61"/>
      <c r="HM246" s="61"/>
      <c r="HN246" s="61"/>
      <c r="HO246" s="61"/>
      <c r="HP246" s="61"/>
      <c r="HQ246" s="61"/>
      <c r="HR246" s="61"/>
      <c r="HS246" s="61"/>
      <c r="HT246" s="61"/>
      <c r="HU246" s="61"/>
      <c r="HV246" s="61"/>
      <c r="HW246" s="61"/>
      <c r="HX246" s="61"/>
      <c r="HY246" s="61"/>
      <c r="HZ246" s="61"/>
      <c r="IA246" s="61"/>
      <c r="IB246" s="61"/>
      <c r="IC246" s="61"/>
      <c r="ID246" s="61"/>
      <c r="IE246" s="61"/>
      <c r="IF246" s="61"/>
      <c r="IG246" s="61"/>
      <c r="IH246" s="61"/>
      <c r="II246" s="61"/>
      <c r="IJ246" s="61"/>
      <c r="IK246" s="61"/>
      <c r="IL246" s="61"/>
    </row>
    <row r="247" spans="1:246" ht="16">
      <c r="A247" s="52" t="s">
        <v>1237</v>
      </c>
      <c r="B247" s="52" t="s">
        <v>1247</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46" ht="17">
      <c r="A248" s="55" t="s">
        <v>1238</v>
      </c>
      <c r="B248" s="55" t="s">
        <v>1248</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1257</v>
      </c>
      <c r="S248" s="47"/>
      <c r="T248" s="47"/>
    </row>
    <row r="249" spans="1:246" ht="17">
      <c r="A249" s="52" t="s">
        <v>1239</v>
      </c>
      <c r="B249" s="52" t="s">
        <v>1346</v>
      </c>
      <c r="C249" s="52" t="s">
        <v>95</v>
      </c>
      <c r="D249" s="53">
        <v>882</v>
      </c>
      <c r="E249" s="53">
        <v>1380</v>
      </c>
      <c r="F249" s="66">
        <v>0</v>
      </c>
      <c r="G249" s="66">
        <v>3</v>
      </c>
      <c r="H249" s="65">
        <f t="shared" si="18"/>
        <v>3</v>
      </c>
      <c r="I249" s="65">
        <f>IF(D249&lt;&gt;"",D249,IFERROR(E249/(IFERROR(SUM(Sales!C:C),0))*(IFERROR(SUM(Purchases!C:C),0)),0))</f>
        <v>882</v>
      </c>
      <c r="J249" s="65">
        <f t="shared" si="19"/>
        <v>0</v>
      </c>
      <c r="K249" s="65">
        <f t="shared" si="20"/>
        <v>2646</v>
      </c>
      <c r="L249" s="52"/>
      <c r="M249" s="52"/>
      <c r="N249" s="47" t="s">
        <v>678</v>
      </c>
      <c r="P249" s="86" t="s">
        <v>1336</v>
      </c>
      <c r="S249" s="47"/>
      <c r="T249" s="47"/>
    </row>
    <row r="250" spans="1:246" ht="17">
      <c r="A250" s="55" t="s">
        <v>1333</v>
      </c>
      <c r="B250" s="55" t="s">
        <v>1347</v>
      </c>
      <c r="C250" s="55" t="s">
        <v>95</v>
      </c>
      <c r="D250" s="56">
        <v>400</v>
      </c>
      <c r="E250" s="56">
        <v>699</v>
      </c>
      <c r="F250" s="64">
        <v>0</v>
      </c>
      <c r="G250" s="64">
        <v>1</v>
      </c>
      <c r="H250" s="63">
        <f t="shared" si="18"/>
        <v>1</v>
      </c>
      <c r="I250" s="63">
        <f>IF(D250&lt;&gt;"",D250,IFERROR(E250/(IFERROR(SUM(Sales!C:C),0))*(IFERROR(SUM(Purchases!C:C),0)),0))</f>
        <v>400</v>
      </c>
      <c r="J250" s="63">
        <f t="shared" si="19"/>
        <v>0</v>
      </c>
      <c r="K250" s="63">
        <f t="shared" si="20"/>
        <v>400</v>
      </c>
      <c r="L250" s="55"/>
      <c r="M250" s="55"/>
      <c r="N250" s="47" t="s">
        <v>678</v>
      </c>
      <c r="P250" s="86" t="s">
        <v>1335</v>
      </c>
      <c r="S250" s="47"/>
      <c r="T250" s="47"/>
    </row>
    <row r="251" spans="1:246" ht="16">
      <c r="A251" s="52" t="s">
        <v>1334</v>
      </c>
      <c r="B251" s="52" t="s">
        <v>1337</v>
      </c>
      <c r="C251" s="52" t="s">
        <v>96</v>
      </c>
      <c r="D251" s="53">
        <v>1090</v>
      </c>
      <c r="E251" s="53"/>
      <c r="F251" s="66">
        <v>0</v>
      </c>
      <c r="G251" s="66">
        <v>3</v>
      </c>
      <c r="H251" s="65">
        <f t="shared" si="18"/>
        <v>3</v>
      </c>
      <c r="I251" s="65">
        <f>IF(D251&lt;&gt;"",D251,IFERROR(E251/(IFERROR(SUM(Sales!C:C),0))*(IFERROR(SUM(Purchases!C:C),0)),0))</f>
        <v>1090</v>
      </c>
      <c r="J251" s="65">
        <f t="shared" si="19"/>
        <v>0</v>
      </c>
      <c r="K251" s="65">
        <f t="shared" si="20"/>
        <v>3270</v>
      </c>
      <c r="L251" s="52"/>
      <c r="M251" s="52"/>
      <c r="N251" s="47" t="s">
        <v>678</v>
      </c>
      <c r="O251" s="47" t="s">
        <v>1338</v>
      </c>
      <c r="P251" s="86"/>
      <c r="S251" s="47"/>
      <c r="T251" s="47"/>
    </row>
    <row r="252" spans="1:246" ht="16">
      <c r="A252" s="55" t="s">
        <v>1339</v>
      </c>
      <c r="B252" s="55" t="s">
        <v>1340</v>
      </c>
      <c r="C252" s="55" t="s">
        <v>96</v>
      </c>
      <c r="D252" s="56">
        <v>1049</v>
      </c>
      <c r="E252" s="56"/>
      <c r="F252" s="64">
        <v>0</v>
      </c>
      <c r="G252" s="64">
        <v>4</v>
      </c>
      <c r="H252" s="63">
        <f t="shared" si="18"/>
        <v>4</v>
      </c>
      <c r="I252" s="63">
        <f>IF(D252&lt;&gt;"",D252,IFERROR(E252/(IFERROR(SUM(Sales!C:C),0))*(IFERROR(SUM(Purchases!C:C),0)),0))</f>
        <v>1049</v>
      </c>
      <c r="J252" s="63">
        <f t="shared" si="19"/>
        <v>0</v>
      </c>
      <c r="K252" s="63">
        <f t="shared" si="20"/>
        <v>4196</v>
      </c>
      <c r="L252" s="55"/>
      <c r="M252" s="55"/>
      <c r="N252" s="47" t="s">
        <v>678</v>
      </c>
      <c r="O252" s="47" t="s">
        <v>1341</v>
      </c>
      <c r="P252" s="86"/>
      <c r="S252" s="47"/>
      <c r="T252" s="47"/>
    </row>
    <row r="253" spans="1:246" ht="16">
      <c r="A253" s="52" t="s">
        <v>1342</v>
      </c>
      <c r="B253" s="52" t="s">
        <v>1343</v>
      </c>
      <c r="C253" s="52" t="s">
        <v>96</v>
      </c>
      <c r="D253" s="53">
        <v>1049</v>
      </c>
      <c r="E253" s="53"/>
      <c r="F253" s="66">
        <v>0</v>
      </c>
      <c r="G253" s="66">
        <v>4</v>
      </c>
      <c r="H253" s="65">
        <f t="shared" si="18"/>
        <v>4</v>
      </c>
      <c r="I253" s="65">
        <f>IF(D253&lt;&gt;"",D253,IFERROR(E253/(IFERROR(SUM(Sales!C:C),0))*(IFERROR(SUM(Purchases!C:C),0)),0))</f>
        <v>1049</v>
      </c>
      <c r="J253" s="65">
        <f t="shared" si="19"/>
        <v>0</v>
      </c>
      <c r="K253" s="65">
        <f t="shared" si="20"/>
        <v>4196</v>
      </c>
      <c r="L253" s="52"/>
      <c r="M253" s="52"/>
      <c r="N253" s="47" t="s">
        <v>678</v>
      </c>
      <c r="O253" s="47" t="s">
        <v>1341</v>
      </c>
      <c r="P253" s="86"/>
      <c r="S253" s="47"/>
      <c r="T253" s="47"/>
    </row>
    <row r="254" spans="1:246" ht="16">
      <c r="A254" s="55" t="s">
        <v>1344</v>
      </c>
      <c r="B254" s="55" t="s">
        <v>1345</v>
      </c>
      <c r="C254" s="55" t="s">
        <v>96</v>
      </c>
      <c r="D254" s="56">
        <v>1322</v>
      </c>
      <c r="E254" s="56"/>
      <c r="F254" s="64">
        <v>0</v>
      </c>
      <c r="G254" s="64">
        <v>3</v>
      </c>
      <c r="H254" s="63">
        <f t="shared" si="18"/>
        <v>3</v>
      </c>
      <c r="I254" s="63">
        <f>IF(D254&lt;&gt;"",D254,IFERROR(E254/(IFERROR(SUM(Sales!C:C),0))*(IFERROR(SUM(Purchases!C:C),0)),0))</f>
        <v>1322</v>
      </c>
      <c r="J254" s="63">
        <f t="shared" si="19"/>
        <v>0</v>
      </c>
      <c r="K254" s="63">
        <f t="shared" si="20"/>
        <v>3966</v>
      </c>
      <c r="L254" s="55"/>
      <c r="M254" s="55"/>
      <c r="N254" s="47" t="s">
        <v>678</v>
      </c>
      <c r="O254" s="47" t="s">
        <v>1338</v>
      </c>
      <c r="P254" s="86"/>
      <c r="S254" s="47"/>
      <c r="T254" s="47"/>
    </row>
    <row r="255" spans="1:246" ht="16">
      <c r="A255" s="52" t="s">
        <v>1349</v>
      </c>
      <c r="B255" s="52" t="s">
        <v>1350</v>
      </c>
      <c r="C255" s="52" t="s">
        <v>95</v>
      </c>
      <c r="D255" s="53">
        <v>891</v>
      </c>
      <c r="E255" s="53">
        <v>1380</v>
      </c>
      <c r="F255" s="66">
        <v>1</v>
      </c>
      <c r="G255" s="66">
        <v>4</v>
      </c>
      <c r="H255" s="65">
        <f t="shared" si="18"/>
        <v>5</v>
      </c>
      <c r="I255" s="65">
        <f>IF(D255&lt;&gt;"",D255,IFERROR(E255/(IFERROR(SUM(Sales!C:C),0))*(IFERROR(SUM(Purchases!C:C),0)),0))</f>
        <v>891</v>
      </c>
      <c r="J255" s="65">
        <f t="shared" si="19"/>
        <v>891</v>
      </c>
      <c r="K255" s="65">
        <f t="shared" si="20"/>
        <v>3564</v>
      </c>
      <c r="L255" s="52" t="s">
        <v>1351</v>
      </c>
      <c r="M255" s="52"/>
      <c r="N255" s="47" t="s">
        <v>589</v>
      </c>
      <c r="P255" s="86"/>
      <c r="S255" s="47"/>
      <c r="T255" s="47"/>
    </row>
    <row r="256" spans="1:246" ht="16">
      <c r="A256" s="55" t="s">
        <v>1353</v>
      </c>
      <c r="B256" s="55" t="s">
        <v>1354</v>
      </c>
      <c r="C256" s="55" t="s">
        <v>95</v>
      </c>
      <c r="D256" s="56">
        <v>891</v>
      </c>
      <c r="E256" s="56">
        <v>1380</v>
      </c>
      <c r="F256" s="64">
        <v>1</v>
      </c>
      <c r="G256" s="64">
        <v>2</v>
      </c>
      <c r="H256" s="63">
        <f t="shared" si="18"/>
        <v>3</v>
      </c>
      <c r="I256" s="63">
        <f>IF(D256&lt;&gt;"",D256,IFERROR(E256/(IFERROR(SUM(Sales!C:C),0))*(IFERROR(SUM(Purchases!C:C),0)),0))</f>
        <v>891</v>
      </c>
      <c r="J256" s="63">
        <f t="shared" si="19"/>
        <v>891</v>
      </c>
      <c r="K256" s="63">
        <f t="shared" si="20"/>
        <v>1782</v>
      </c>
      <c r="L256" s="55" t="s">
        <v>1355</v>
      </c>
      <c r="M256" s="55"/>
      <c r="N256" s="47" t="s">
        <v>589</v>
      </c>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93" t="s">
        <v>1042</v>
      </c>
      <c r="B1" s="93"/>
    </row>
    <row r="2" spans="1:8" ht="13.5" customHeight="1">
      <c r="A2" s="8" t="s">
        <v>42</v>
      </c>
      <c r="B2" s="8" t="s">
        <v>1043</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1044</v>
      </c>
      <c r="C7" s="71" t="s">
        <v>1045</v>
      </c>
      <c r="D7" s="71" t="s">
        <v>1046</v>
      </c>
      <c r="E7" s="71" t="s">
        <v>1047</v>
      </c>
      <c r="F7" s="71" t="s">
        <v>1048</v>
      </c>
      <c r="G7" s="71" t="s">
        <v>1049</v>
      </c>
      <c r="H7" s="71" t="s">
        <v>1050</v>
      </c>
    </row>
    <row r="8" spans="1:8" ht="13.5" customHeight="1">
      <c r="A8" s="9" t="s">
        <v>49</v>
      </c>
      <c r="B8" s="9">
        <f>IFERROR(SUMIF(Purchases!$B:$B,$A8,Purchases!$C:$C),0)</f>
        <v>262941</v>
      </c>
      <c r="C8" s="9">
        <f>SUM($B$8:$B$10)/3</f>
        <v>200731.66666666666</v>
      </c>
      <c r="D8" s="9">
        <f>B8-C8</f>
        <v>62209.333333333343</v>
      </c>
      <c r="E8" s="9">
        <f>IF(Summary!$B$6&gt;0, Summary!$B$6*VLOOKUP($A8,$A$3:$B$5,2,FALSE()),0)</f>
        <v>0</v>
      </c>
      <c r="F8" s="9">
        <f>D8+E8</f>
        <v>62209.333333333343</v>
      </c>
      <c r="G8" s="9">
        <f>IFERROR(SUMIFS($E$13:$E$499,$D$13:$D$499,$A8,$B$13:$B$499,"Contribution"),0)+IFERROR(SUMIFS($E$13:$E$499,$D$13:$D$499,$A8,$B$13:$B$499,"Profit"),0)-IFERROR(SUMIFS($E$13:$E$499,$C$13:$C$499,$A8,$B$13:$B$499,"Contribution"),0)-IFERROR(SUMIFS($E$13:$E$499,$C$13:$C$499,$A8,$B$13:$B$499,"Profit"),0)</f>
        <v>18303.34</v>
      </c>
      <c r="H8" s="73">
        <f>F8-G8</f>
        <v>43905.993333333347</v>
      </c>
    </row>
    <row r="9" spans="1:8" ht="13.5" customHeight="1">
      <c r="A9" s="11" t="s">
        <v>50</v>
      </c>
      <c r="B9" s="11">
        <f>IFERROR(SUMIF(Purchases!$B:$B,$A9,Purchases!$C:$C),0)</f>
        <v>306654</v>
      </c>
      <c r="C9" s="11">
        <f>SUM($B$8:$B$10)/3</f>
        <v>200731.66666666666</v>
      </c>
      <c r="D9" s="11">
        <f>B9-C9</f>
        <v>105922.33333333334</v>
      </c>
      <c r="E9" s="11">
        <f>IF(Summary!$B$6&gt;0, Summary!$B$6*VLOOKUP($A9,$A$3:$B$5,2,FALSE()),0)</f>
        <v>0</v>
      </c>
      <c r="F9" s="11">
        <f>D9+E9</f>
        <v>105922.33333333334</v>
      </c>
      <c r="G9" s="11">
        <f>IFERROR(SUMIFS($E$13:$E$499,$D$13:$D$499,$A9,$B$13:$B$499,"Contribution"),0)+IFERROR(SUMIFS($E$13:$E$499,$D$13:$D$499,$A9,$B$13:$B$499,"Profit"),0)-IFERROR(SUMIFS($E$13:$E$499,$C$13:$C$499,$A9,$B$13:$B$499,"Contribution"),0)-IFERROR(SUMIFS($E$13:$E$499,$C$13:$C$499,$A9,$B$13:$B$499,"Profit"),0)</f>
        <v>41639.33</v>
      </c>
      <c r="H9" s="74">
        <f>F9-G9</f>
        <v>64283.003333333341</v>
      </c>
    </row>
    <row r="10" spans="1:8" ht="13.5" customHeight="1">
      <c r="A10" s="9" t="s">
        <v>51</v>
      </c>
      <c r="B10" s="9">
        <f>IFERROR(SUMIF(Purchases!$B:$B,$A10,Purchases!$C:$C),0)</f>
        <v>32600</v>
      </c>
      <c r="C10" s="9">
        <f>SUM($B$8:$B$10)/3</f>
        <v>200731.66666666666</v>
      </c>
      <c r="D10" s="9">
        <f>B10-C10</f>
        <v>-168131.66666666666</v>
      </c>
      <c r="E10" s="9">
        <f>IF(Summary!$B$6&gt;0, Summary!$B$6*VLOOKUP($A10,$A$3:$B$5,2,FALSE()),0)</f>
        <v>0</v>
      </c>
      <c r="F10" s="9">
        <f>D10+E10</f>
        <v>-168131.66666666666</v>
      </c>
      <c r="G10" s="9">
        <f>IFERROR(SUMIFS($E$13:$E$499,$D$13:$D$499,$A10,$B$13:$B$499,"Contribution"),0)+IFERROR(SUMIFS($E$13:$E$499,$D$13:$D$499,$A10,$B$13:$B$499,"Profit"),0)-IFERROR(SUMIFS($E$13:$E$499,$C$13:$C$499,$A10,$B$13:$B$499,"Contribution"),0)-IFERROR(SUMIFS($E$13:$E$499,$C$13:$C$499,$A10,$B$13:$B$499,"Profit"),0)</f>
        <v>-59942.67</v>
      </c>
      <c r="H10" s="73">
        <f>F10-G10</f>
        <v>-108188.99666666666</v>
      </c>
    </row>
    <row r="12" spans="1:8" s="75" customFormat="1" ht="15.75" customHeight="1">
      <c r="A12" s="94" t="s">
        <v>1051</v>
      </c>
      <c r="B12" s="94"/>
      <c r="C12" s="94"/>
      <c r="D12" s="94"/>
      <c r="E12" s="94"/>
      <c r="F12" s="94"/>
    </row>
    <row r="13" spans="1:8" s="72" customFormat="1" ht="13.5" customHeight="1">
      <c r="A13" s="71" t="s">
        <v>98</v>
      </c>
      <c r="B13" s="71" t="s">
        <v>1052</v>
      </c>
      <c r="C13" s="71" t="s">
        <v>1053</v>
      </c>
      <c r="D13" s="71" t="s">
        <v>1054</v>
      </c>
      <c r="E13" s="71" t="s">
        <v>99</v>
      </c>
      <c r="F13" s="71" t="s">
        <v>100</v>
      </c>
    </row>
    <row r="14" spans="1:8" ht="13.5" customHeight="1">
      <c r="A14" s="76">
        <v>45952</v>
      </c>
      <c r="B14" s="9" t="s">
        <v>1055</v>
      </c>
      <c r="C14" s="9" t="s">
        <v>51</v>
      </c>
      <c r="D14" s="9" t="s">
        <v>49</v>
      </c>
      <c r="E14" s="69">
        <v>16032</v>
      </c>
      <c r="F14" s="9"/>
    </row>
    <row r="15" spans="1:8" ht="13.5" customHeight="1">
      <c r="A15" s="77">
        <v>45952</v>
      </c>
      <c r="B15" s="11" t="s">
        <v>1055</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1055</v>
      </c>
      <c r="C18" s="9" t="s">
        <v>50</v>
      </c>
      <c r="D18" s="9" t="s">
        <v>51</v>
      </c>
      <c r="E18" s="69">
        <v>3209.34</v>
      </c>
      <c r="F18" s="9"/>
    </row>
    <row r="19" spans="1:6" ht="13.5" customHeight="1">
      <c r="A19" s="77">
        <v>45970</v>
      </c>
      <c r="B19" s="11" t="s">
        <v>1055</v>
      </c>
      <c r="C19" s="11" t="s">
        <v>50</v>
      </c>
      <c r="D19" s="11" t="s">
        <v>49</v>
      </c>
      <c r="E19" s="70">
        <v>411</v>
      </c>
      <c r="F19" s="11"/>
    </row>
    <row r="20" spans="1:6" ht="13.5" customHeight="1">
      <c r="A20" s="76">
        <v>45973</v>
      </c>
      <c r="B20" s="9" t="s">
        <v>1055</v>
      </c>
      <c r="C20" s="9" t="s">
        <v>50</v>
      </c>
      <c r="D20" s="9" t="s">
        <v>51</v>
      </c>
      <c r="E20" s="69">
        <v>905</v>
      </c>
      <c r="F20" s="9"/>
    </row>
    <row r="21" spans="1:6" ht="13.5" customHeight="1">
      <c r="A21" s="77">
        <v>45973</v>
      </c>
      <c r="B21" s="11" t="s">
        <v>1055</v>
      </c>
      <c r="C21" s="11" t="s">
        <v>49</v>
      </c>
      <c r="D21" s="11" t="s">
        <v>51</v>
      </c>
      <c r="E21" s="70">
        <v>904</v>
      </c>
      <c r="F21" s="11"/>
    </row>
    <row r="22" spans="1:6" ht="13.5" customHeight="1">
      <c r="A22" s="76">
        <v>46058</v>
      </c>
      <c r="B22" s="9" t="s">
        <v>1055</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1055</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1055</v>
      </c>
      <c r="C26" s="9" t="s">
        <v>50</v>
      </c>
      <c r="D26" s="9" t="s">
        <v>49</v>
      </c>
      <c r="E26" s="69">
        <v>4933.33</v>
      </c>
      <c r="F26" s="9"/>
    </row>
    <row r="27" spans="1:6" ht="13.5" customHeight="1">
      <c r="A27" s="77">
        <v>46093</v>
      </c>
      <c r="B27" s="11" t="s">
        <v>1055</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1056</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1057</v>
      </c>
    </row>
    <row r="3" spans="1:7" s="72" customFormat="1" ht="13.5" customHeight="1">
      <c r="A3" s="71" t="s">
        <v>42</v>
      </c>
      <c r="B3" s="71" t="s">
        <v>1058</v>
      </c>
      <c r="C3" s="71" t="s">
        <v>1043</v>
      </c>
      <c r="D3" s="71" t="s">
        <v>1059</v>
      </c>
      <c r="E3" s="71" t="s">
        <v>1060</v>
      </c>
      <c r="F3" s="71" t="s">
        <v>1061</v>
      </c>
      <c r="G3" s="71" t="s">
        <v>1062</v>
      </c>
    </row>
    <row r="4" spans="1:7" ht="13.5" customHeight="1">
      <c r="A4" s="9" t="s">
        <v>49</v>
      </c>
      <c r="B4" s="9">
        <f>IFERROR(SUMIFS(Sales!$C:$C,Sales!$E:$E,$A4,Sales!$I:$I,"Completed"),0)</f>
        <v>479698</v>
      </c>
      <c r="C4" s="9">
        <f>VLOOKUP($A4,PartnerShares!$A$3:$B$5,2,FALSE())</f>
        <v>0.33339999999999997</v>
      </c>
      <c r="D4" s="9">
        <f>Summary!$B$4*C4</f>
        <v>182886.90339999998</v>
      </c>
      <c r="E4" s="9">
        <f>B4-D4</f>
        <v>296811.09660000005</v>
      </c>
      <c r="F4" s="9">
        <f>IFERROR(SUMIFS(PartnerShares!$E$13:$E$499,PartnerShares!$D$13:$D$499,$A4,PartnerShares!$B$13:$B$499,"Cash"),0)-IFERROR(SUMIFS(PartnerShares!$E$13:$E$499,PartnerShares!$C$13:$C$499,$A4,PartnerShares!$B$13:$B$499,"Cash"),0)</f>
        <v>-137310.02600000001</v>
      </c>
      <c r="G4" s="73">
        <f>E4+F4</f>
        <v>159501.07060000004</v>
      </c>
    </row>
    <row r="5" spans="1:7" ht="13.5" customHeight="1">
      <c r="A5" s="11" t="s">
        <v>50</v>
      </c>
      <c r="B5" s="11">
        <f>IFERROR(SUMIFS(Sales!$C:$C,Sales!$E:$E,$A5,Sales!$I:$I,"Completed"),0)</f>
        <v>55323</v>
      </c>
      <c r="C5" s="11">
        <f>VLOOKUP($A5,PartnerShares!$A$3:$B$5,2,FALSE())</f>
        <v>0.3332</v>
      </c>
      <c r="D5" s="11">
        <f>Summary!$B$4*C5</f>
        <v>182777.19320000001</v>
      </c>
      <c r="E5" s="11">
        <f>B5-D5</f>
        <v>-127454.19320000001</v>
      </c>
      <c r="F5" s="11">
        <f>IFERROR(SUMIFS(PartnerShares!$E$13:$E$499,PartnerShares!$D$13:$D$499,$A5,PartnerShares!$B$13:$B$499,"Cash"),0)-IFERROR(SUMIFS(PartnerShares!$E$13:$E$499,PartnerShares!$C$13:$C$499,$A5,PartnerShares!$B$13:$B$499,"Cash"),0)</f>
        <v>71587.042000000001</v>
      </c>
      <c r="G5" s="74">
        <f>E5+F5</f>
        <v>-55867.151200000008</v>
      </c>
    </row>
    <row r="6" spans="1:7" ht="13.5" customHeight="1">
      <c r="A6" s="9" t="s">
        <v>51</v>
      </c>
      <c r="B6" s="9">
        <f>IFERROR(SUMIFS(Sales!$C:$C,Sales!$E:$E,$A6,Sales!$I:$I,"Completed"),0)</f>
        <v>12530</v>
      </c>
      <c r="C6" s="9">
        <f>VLOOKUP($A6,PartnerShares!$A$3:$B$5,2,FALSE())</f>
        <v>0.33339999999999997</v>
      </c>
      <c r="D6" s="9">
        <f>Summary!$B$4*C6</f>
        <v>182886.90339999998</v>
      </c>
      <c r="E6" s="9">
        <f>B6-D6</f>
        <v>-170356.90339999998</v>
      </c>
      <c r="F6" s="9">
        <f>IFERROR(SUMIFS(PartnerShares!$E$13:$E$499,PartnerShares!$D$13:$D$499,$A6,PartnerShares!$B$13:$B$499,"Cash"),0)-IFERROR(SUMIFS(PartnerShares!$E$13:$E$499,PartnerShares!$C$13:$C$499,$A6,PartnerShares!$B$13:$B$499,"Cash"),0)</f>
        <v>65722.984000000011</v>
      </c>
      <c r="G6" s="73">
        <f>E6+F6</f>
        <v>-104633.91939999997</v>
      </c>
    </row>
    <row r="9" spans="1:7" ht="13.5" customHeight="1">
      <c r="A9" s="6" t="s">
        <v>0</v>
      </c>
    </row>
    <row r="10" spans="1:7" ht="13.5" customHeight="1">
      <c r="A10" s="6" t="s">
        <v>1063</v>
      </c>
    </row>
    <row r="11" spans="1:7" ht="13.5" customHeight="1">
      <c r="A11" s="6" t="s">
        <v>1064</v>
      </c>
    </row>
    <row r="12" spans="1:7" ht="13.5" customHeight="1">
      <c r="A12" s="6" t="s">
        <v>1065</v>
      </c>
    </row>
    <row r="13" spans="1:7" ht="13.5" customHeight="1">
      <c r="A13" s="6" t="s">
        <v>1066</v>
      </c>
    </row>
    <row r="14" spans="1:7" ht="13.5" customHeight="1">
      <c r="A14" s="6" t="s">
        <v>1067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2026-09-01T02:47:25Z</dcterms:modified>
  <dc:language>en-US</dc:language>
</cp:coreProperties>
</file>