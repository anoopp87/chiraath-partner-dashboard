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"/>
    </mc:Choice>
  </mc:AlternateContent>
  <xr:revisionPtr revIDLastSave="0" documentId="13_ncr:1_{140994E9-0A30-D34D-BB08-95CF74168165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INVENTORY!$A$1:$T$153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3" i="5" l="1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K147" i="5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K153" i="5" l="1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<sst xmlns="http://schemas.openxmlformats.org/spreadsheetml/2006/main" count="1744" uniqueCount="702">
  <si>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</si>
  <si>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</si>
  <si>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</si>
  <si>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</si>
  <si>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</si>
  <si>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</si>
  <si>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</si>
  <si>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</si>
  <si>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</si>
  <si>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</si>
  <si>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</si>
  <si>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</si>
  <si>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</si>
  <si>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</si>
  <si>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</si>
  <si>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</si>
  <si>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</si>
  <si>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</si>
  <si>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</si>
  <si>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</si>
  <si>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</si>
  <si>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</si>
  <si>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</si>
  <si>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</si>
  <si>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</si>
  <si>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</si>
  <si>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</si>
  <si>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</si>
  <si>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</si>
  <si>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</si>
  <si>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</si>
  <si>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</si>
  <si>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</si>
  <si>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</si>
  <si>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</si>
  <si>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</si>
  <si>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</si>
  <si>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</si>
  <si>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</si>
  <si>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</si>
  <si>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</si>
  <si>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</si>
  <si>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</si>
  <si>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</si>
  <si>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</si>
  <si>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</si>
  <si>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</si>
  <si>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</si>
  <si>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</si>
  <si>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</si>
  <si>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</si>
  <si>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</si>
  <si>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</si>
  <si>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</si>
  <si>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</si>
  <si>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</si>
  <si>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</si>
  <si>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</si>
  <si>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</si>
  <si>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</si>
  <si>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</si>
  <si>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</si>
  <si>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</si>
  <si>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</si>
  <si>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</si>
  <si>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</si>
  <si>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</si>
  <si>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</si>
  <si>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</si>
  <si>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</si>
  <si>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</si>
  <si>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</si>
  <si>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</si>
  <si>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</si>
  <si>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</si>
  <si>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</si>
  <si>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</si>
  <si>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</si>
  <si>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</si>
  <si>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</si>
  <si>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</si>
  <si>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</si>
  <si>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</si>
  <si>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</si>
  <si>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</si>
  <si>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</si>
  <si>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</si>
  <si>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</si>
  <si>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</si>
  <si>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</si>
  <si>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</si>
  <si>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</si>
  <si>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</si>
  <si>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</si>
  <si>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</si>
  <si>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</si>
  <si>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</si>
  <si>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</si>
  <si>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</si>
  <si>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</si>
  <si>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</si>
  <si>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</si>
  <si>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</si>
  <si>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</si>
  <si>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</si>
  <si>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</si>
  <si>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</si>
  <si>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</si>
  <si>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</si>
  <si>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</si>
  <si>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</si>
  <si>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</si>
  <si>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</si>
  <si>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</si>
  <si>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</si>
  <si>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</si>
  <si>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</si>
  <si>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</si>
  <si>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</si>
  <si>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</si>
  <si>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</si>
  <si>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</si>
  <si>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</si>
  <si>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</si>
  <si>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</si>
  <si>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</si>
  <si>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</si>
  <si>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</si>
  <si>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</si>
  <si>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</si>
  <si>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</si>
  <si>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</si>
  <si>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</si>
  <si>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</si>
  <si>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</si>
  <si>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</si>
  <si>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</si>
  <si>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</si>
  <si>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</si>
  <si>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</si>
  <si>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</si>
  <si>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</si>
  <si>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</si>
  <si>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</si>
  <si>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</si>
  <si>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</si>
  <si>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</si>
  <si>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</si>
  <si>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</si>
  <si>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</si>
  <si>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</si>
  <si>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</si>
  <si>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</si>
  <si>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</si>
  <si>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</si>
  <si>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</si>
  <si>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</si>
  <si>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</si>
  <si>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</si>
  <si>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</si>
  <si>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</si>
  <si>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</si>
  <si>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</si>
  <si>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</si>
  <si>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</si>
  <si>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</si>
  <si>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</si>
  <si>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</si>
  <si>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</si>
  <si>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</si>
  <si>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</si>
  <si>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</si>
  <si>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</si>
  <si>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</si>
  <si>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</si>
  <si>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</si>
  <si>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</si>
  <si>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</si>
  <si>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</si>
  <si>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</si>
  <si>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</si>
  <si>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</si>
  <si>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</si>
  <si>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</si>
  <si>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</si>
  <si>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</si>
  <si>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</si>
  <si>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</si>
  <si>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</si>
  <si>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</si>
  <si>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</si>
  <si>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</si>
  <si>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</si>
  <si>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</si>
  <si>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</si>
  <si>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</si>
  <si>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</si>
  <si>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</si>
  <si>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</si>
  <si>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</si>
  <si>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</si>
  <si>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</si>
  <si>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</si>
  <si>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</si>
  <si>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</si>
  <si>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</si>
  <si>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</si>
  <si>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</si>
  <si>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</si>
  <si>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</si>
  <si>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</si>
  <si>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</si>
  <si>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</si>
  <si>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</si>
  <si>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</si>
  <si>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</si>
  <si>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</si>
  <si>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</si>
  <si>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</si>
  <si>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</si>
  <si>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</si>
  <si>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</si>
  <si>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</si>
  <si>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</si>
  <si>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</si>
  <si>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</si>
  <si>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</si>
  <si>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</si>
  <si>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</si>
  <si>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</si>
  <si>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</si>
  <si>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</si>
  <si>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</si>
  <si>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</si>
  <si>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</si>
  <si>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</si>
  <si>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</si>
  <si>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</si>
  <si>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</si>
  <si>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</si>
  <si>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</si>
  <si>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</si>
  <si>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</si>
  <si>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</si>
  <si>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</si>
  <si>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</si>
  <si>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</si>
  <si>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</si>
  <si>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</si>
  <si>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</si>
  <si>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</si>
  <si>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</si>
  <si>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</si>
  <si>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</si>
  <si>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</si>
  <si>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</si>
  <si>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</si>
  <si>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</si>
  <si>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</si>
  <si>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</si>
  <si>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</si>
  <si>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</si>
  <si>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</si>
  <si>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</si>
  <si>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</si>
  <si>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</si>
  <si>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</si>
  <si>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</si>
  <si>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</si>
  <si>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</si>
  <si>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</si>
  <si>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</si>
  <si>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</si>
  <si>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</si>
  <si>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</si>
  <si>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</si>
  <si>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</si>
  <si>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</si>
  <si>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</si>
  <si>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</si>
  <si>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</si>
  <si>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</si>
  <si>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</si>
  <si>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</si>
  <si>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</si>
  <si>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</si>
  <si>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</si>
  <si>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</si>
  <si>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</si>
  <si>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</si>
  <si>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</si>
  <si>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</si>
  <si>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</si>
  <si>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</si>
  <si>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</si>
  <si>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</si>
  <si>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</si>
  <si>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</si>
  <si>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</si>
  <si>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</si>
  <si>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</si>
  <si>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</si>
  <si>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</si>
  <si>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</si>
  <si>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</si>
  <si>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</si>
  <si>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</si>
  <si>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</si>
  <si>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</si>
  <si>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</si>
  <si>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</si>
  <si>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</si>
  <si>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</si>
  <si>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</si>
  <si>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</si>
  <si>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</si>
  <si>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</si>
  <si>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</si>
  <si>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</si>
  <si>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</si>
  <si>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</si>
  <si>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</si>
  <si>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</si>
  <si>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</si>
  <si>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</si>
  <si>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</si>
  <si>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yello green &amp; orange green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</si>
  <si>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</si>
  <si>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</si>
  <si>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</si>
  <si>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</si>
  <si>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</si>
  <si>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</si>
  <si>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</si>
  <si>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</si>
  <si>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</si>
  <si>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</si>
  <si>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</si>
  <si>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</si>
  <si>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Vioiet, navy blue,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</si>
  <si>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</si>
  <si>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</si>
  <si>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</si>
  <si>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</si>
  <si>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</si>
  <si>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</si>
  <si>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</si>
  <si>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</si>
  <si>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</si>
  <si>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</si>
  <si>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</si>
  <si>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</si>
  <si>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</si>
  <si>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</si>
  <si>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</si>
  <si>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</si>
  <si>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</si>
  <si>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</si>
  <si>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</si>
  <si>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</si>
  <si>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</si>
  <si>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</si>
  <si>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</si>
  <si>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</si>
  <si>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</si>
  <si>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</si>
  <si>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</si>
  <si>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</si>
  <si>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</si>
  <si>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</si>
  <si>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</si>
  <si>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</si>
  <si>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</si>
  <si>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</si>
  <si>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</si>
  <si>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</si>
  <si>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</si>
  <si>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</si>
  <si>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</si>
  <si>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</si>
  <si>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</si>
  <si>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</si>
  <si>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</si>
  <si>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</si>
  <si>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</si>
  <si>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</si>
  <si>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</si>
  <si>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</si>
  <si>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</si>
  <si>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</si>
  <si>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</si>
  <si>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</si>
  <si>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</si>
  <si>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</si>
  <si>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</si>
  <si>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</si>
  <si>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</si>
  <si>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</si>
  <si>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</si>
  <si>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</si>
  <si>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</si>
  <si>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</si>
  <si>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</si>
  <si>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</si>
  <si>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</si>
  <si>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</si>
  <si>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</si>
  <si>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</si>
  <si>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</si>
  <si>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</si>
  <si>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</si>
  <si>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</si>
  <si>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</si>
  <si>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</si>
  <si>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</si>
  <si>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</si>
  <si>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</si>
  <si>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</si>
  <si>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</si>
  <si>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</si>
  <si>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</si>
  <si>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</si>
  <si>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</si>
  <si>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</si>
  <si>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</si>
  <si>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</si>
  <si>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</si>
  <si>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</si>
  <si>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</si>
  <si>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</si>
  <si>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</si>
  <si>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</si>
  <si>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</si>
  <si>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</si>
  <si>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</si>
  <si>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</si>
  <si>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</si>
  <si>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</si>
  <si>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</si>
  <si>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</si>
  <si>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</si>
  <si>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</si>
  <si>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</si>
  <si>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</si>
  <si>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</si>
  <si>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</si>
  <si>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</si>
  <si>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</si>
  <si>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</si>
  <si>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</si>
  <si>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</si>
  <si>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</si>
  <si>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</si>
  <si>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</si>
  <si>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</si>
  <si>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</si>
  <si>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</si>
  <si>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</si>
  <si>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</si>
  <si>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</si>
  <si>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</si>
  <si>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</si>
  <si>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</si>
  <si>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</si>
  <si>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</si>
  <si>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</si>
  <si>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</si>
  <si>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</si>
  <si>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</si>
  <si>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</si>
  <si>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</si>
  <si>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</si>
  <si>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</si>
  <si>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</si>
  <si>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</si>
  <si>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</si>
  <si>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</si>
  <si>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</si>
  <si>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</si>
  <si>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</si>
  <si>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</si>
  <si>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</si>
  <si>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M, XXL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</si>
  <si>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</si>
  <si>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</si>
  <si>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</si>
  <si>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</si>
  <si>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</si>
  <si>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</si>
  <si>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</si>
  <si>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</si>
  <si>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</si>
  <si>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</si>
  <si>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</si>
  <si>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</si>
  <si>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</si>
  <si>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Dilna (XL)
Girija (L)</t>
  </si>
  <si>
    <t>Size: XXL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</si>
  <si>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</si>
  <si>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</si>
  <si>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</si>
  <si>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</si>
  <si>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</si>
  <si>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</si>
  <si>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</si>
  <si>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</si>
  <si>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</si>
  <si>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</si>
  <si>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</si>
  <si>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</si>
  <si>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</si>
  <si>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</si>
  <si>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</si>
  <si>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</si>
  <si>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</si>
  <si>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</si>
  <si>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</si>
  <si>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</si>
  <si>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</si>
  <si>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</si>
  <si>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</si>
  <si>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</si>
  <si>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</si>
  <si>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</si>
  <si>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</si>
  <si>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</si>
  <si>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</si>
  <si>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</si>
  <si>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</si>
  <si>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</si>
  <si>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</si>
  <si>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</si>
  <si>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</si>
  <si>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</si>
  <si>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</si>
  <si>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</si>
  <si>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Jisha (1545-XL), Shiji(1370-L)</t>
  </si>
  <si>
    <t>Sushitha (XL-1600)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</si>
  <si>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</si>
  <si>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</si>
  <si>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</si>
  <si>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</si>
  <si>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</si>
  <si>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</si>
  <si>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</si>
  <si>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</si>
  <si>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</si>
  <si>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</si>
  <si>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</si>
  <si>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</si>
  <si>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</si>
  <si>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</si>
  <si>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</si>
  <si>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</si>
  <si>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</si>
  <si>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</si>
  <si>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</si>
  <si>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</si>
  <si>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</si>
  <si>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</si>
  <si>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</si>
  <si>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</si>
  <si>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</si>
  <si>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</si>
  <si>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</si>
  <si>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</si>
  <si>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</si>
  <si>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</si>
  <si>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</si>
  <si>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Athulya (brick red)-789, Annie-600(Yellow)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</si>
  <si>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</si>
  <si>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</si>
  <si>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</si>
  <si>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</si>
  <si>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</si>
  <si>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</si>
  <si>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</si>
  <si>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</si>
  <si>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</si>
  <si>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</si>
  <si>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</si>
  <si>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</si>
  <si>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</si>
  <si>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</si>
  <si>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</si>
  <si>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</si>
  <si>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</si>
  <si>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</si>
  <si>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</si>
  <si>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</si>
  <si>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</si>
  <si>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</si>
  <si>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⁠​Maheswari cotton Silk saree (Red &amp; Pink)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</si>
  <si>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</si>
  <si>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</si>
  <si>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</si>
  <si>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</si>
  <si>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</si>
  <si>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</si>
  <si>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</si>
  <si>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</si>
  <si>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</si>
  <si>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</si>
  <si>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</si>
  <si>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</si>
  <si>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</si>
  <si>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</si>
  <si>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</si>
  <si>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</si>
  <si>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</si>
  <si>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</si>
  <si>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</si>
  <si>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</si>
  <si>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</si>
  <si>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</si>
  <si>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</si>
  <si>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Violet (M,XL)
Mustard (M)
Pink (M)
Grey (M)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</si>
  <si>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</si>
  <si>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</si>
  <si>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</si>
  <si>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</si>
  <si>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</si>
  <si>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</si>
  <si>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</si>
  <si>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</si>
  <si>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</si>
  <si>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</si>
  <si>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</si>
  <si>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M,L,Xl,XXL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</si>
  <si>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</si>
  <si>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</si>
  <si>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</si>
  <si>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</si>
  <si>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</si>
  <si>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</si>
  <si>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</si>
  <si>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</si>
  <si>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</si>
  <si>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</si>
  <si>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</si>
  <si>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</si>
  <si>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</si>
  <si>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</si>
  <si>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</si>
  <si>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</si>
  <si>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 xml:space="preserve">Linen Saree (Mustard/gree, Blue/Green, Blue/Red) 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</si>
  <si>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</si>
  <si>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</si>
  <si>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</si>
  <si>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</si>
  <si>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</si>
  <si>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</si>
  <si>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</si>
  <si>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</si>
  <si>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</si>
  <si>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</si>
  <si>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</si>
  <si>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</si>
  <si>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</si>
  <si>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</si>
  <si>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</si>
  <si>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</si>
  <si>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</si>
  <si>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Rust orange - 1
Biscuit - 1</t>
  </si>
  <si>
    <t>Jisha (XL), Rameez Relative(L): 900</t>
  </si>
  <si>
    <t>black/purple -1, black/yellow-1, maroon -1</t>
  </si>
  <si>
    <t>Amalu(black/maroon), Lethy(Thiruvalla):1550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</si>
  <si>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</si>
  <si>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</si>
  <si>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</si>
  <si>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</si>
  <si>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</si>
  <si>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</si>
  <si>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</si>
  <si>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Pay</t>
  </si>
  <si>
    <t>Receive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</si>
  <si>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</si>
  <si>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</si>
  <si>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</si>
  <si>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</si>
  <si>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</si>
  <si>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</si>
  <si>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</si>
  <si>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</si>
  <si>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</si>
  <si>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</si>
  <si>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</si>
  <si>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</si>
  <si>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</si>
  <si>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</si>
  <si>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</si>
  <si>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</si>
  <si>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</si>
  <si>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</si>
  <si>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Saranya Gopalakrishnan</t>
  </si>
  <si>
    <t>Gpau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</si>
  <si>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</si>
  <si>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</si>
  <si>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</si>
  <si>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</si>
  <si>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Saranya Gopalakrishnan(1250 pending)</t>
  </si>
  <si>
    <t>Dec, Jan &amp; Feb boosting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</si>
</sst>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17189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12399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172</c:v>
                </c:pt>
                <c:pt idx="1">
                  <c:v>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103</c:v>
                </c:pt>
                <c:pt idx="1">
                  <c:v>67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55</c:v>
                </c:pt>
                <c:pt idx="1">
                  <c:v>53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58255</c:v>
                </c:pt>
                <c:pt idx="1">
                  <c:v>44954.18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525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526</v>
      </c>
    </row>
    <row r="44" spans="1:1" ht="40">
      <c r="A44" s="58" t="s">
        <v>527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workbookViewId="0">
      <pane ySplit="9" topLeftCell="A10" activePane="bottomLeft" state="frozen"/>
      <selection activeCell="B91" sqref="B91"/>
      <selection pane="bottomLeft" activeCell="G20" sqref="G20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257119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223404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228664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-33715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-1596.3333333333285</v>
      </c>
      <c r="C10" s="6"/>
    </row>
    <row r="11" spans="1:6">
      <c r="A11" s="7" t="s">
        <v>47</v>
      </c>
      <c r="B11" s="53">
        <f>PartnerShares!H9</f>
        <v>1903.006666666668</v>
      </c>
      <c r="C11" s="7"/>
    </row>
    <row r="12" spans="1:6">
      <c r="A12" s="6" t="s">
        <v>48</v>
      </c>
      <c r="B12" s="52">
        <f>PartnerShares!H10</f>
        <v>-306.67333333332499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520</v>
      </c>
      <c r="E17" s="1" t="s">
        <v>518</v>
      </c>
      <c r="F17" s="1" t="s">
        <v>521</v>
      </c>
      <c r="G17" s="1" t="s">
        <v>519</v>
      </c>
    </row>
    <row r="18" spans="1:7">
      <c r="A18" s="6" t="str">
        <f>PartnerShares!A8</f>
        <v>Rajna</v>
      </c>
      <c r="B18" s="6">
        <f>PartnerShares!B8</f>
        <v>97424</v>
      </c>
      <c r="C18" s="6">
        <f>PartnerShares!C8</f>
        <v>85706.333333333328</v>
      </c>
      <c r="D18" s="6">
        <f>PartnerShares!D8</f>
        <v>11717.666666666672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13314</v>
      </c>
      <c r="F18" s="8">
        <f>D18-E18</f>
        <v>-1596.3333333333285</v>
      </c>
      <c r="G18" s="71" t="s">
        <v>674</v>
      </c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85706.333333333328</v>
      </c>
      <c r="D19" s="7">
        <f>PartnerShares!D9</f>
        <v>48475.666666666672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46572.66</v>
      </c>
      <c r="F19" s="9">
        <f>D19-E19</f>
        <v>1903.006666666668</v>
      </c>
      <c r="G19" s="73" t="s">
        <v>675</v>
      </c>
    </row>
    <row r="20" spans="1:7">
      <c r="A20" s="6" t="str">
        <f>PartnerShares!A10</f>
        <v>Rameez</v>
      </c>
      <c r="B20" s="6">
        <f>PartnerShares!B10</f>
        <v>25513</v>
      </c>
      <c r="C20" s="6">
        <f>PartnerShares!C10</f>
        <v>85706.333333333328</v>
      </c>
      <c r="D20" s="6">
        <f>PartnerShares!D10</f>
        <v>-60193.333333333328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-59886.66</v>
      </c>
      <c r="F20" s="8">
        <f>D20-E20</f>
        <v>-306.67333333332499</v>
      </c>
      <c r="G20" s="71" t="s">
        <v>674</v>
      </c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522</v>
      </c>
      <c r="E25" s="1" t="s">
        <v>523</v>
      </c>
      <c r="F25" s="1" t="s">
        <v>524</v>
      </c>
      <c r="G25" s="1" t="s">
        <v>519</v>
      </c>
    </row>
    <row r="26" spans="1:7">
      <c r="A26" s="6" t="str">
        <f>'Cash Pool'!A4</f>
        <v>Rajna</v>
      </c>
      <c r="B26" s="6">
        <f>'Cash Pool'!B4</f>
        <v>204255</v>
      </c>
      <c r="C26" s="6">
        <f>'Cash Pool'!D4</f>
        <v>74482.893599999996</v>
      </c>
      <c r="D26" s="6">
        <f>'Cash Pool'!E4</f>
        <v>129772.1064</v>
      </c>
      <c r="E26" s="6">
        <f>'Cash Pool'!F4</f>
        <v>-124053.476</v>
      </c>
      <c r="F26" s="8">
        <f>'Cash Pool'!G4</f>
        <v>5718.6304000000091</v>
      </c>
      <c r="G26" s="71" t="s">
        <v>674</v>
      </c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74438.212799999994</v>
      </c>
      <c r="D27" s="7">
        <f>'Cash Pool'!E5</f>
        <v>-67819.212799999994</v>
      </c>
      <c r="E27" s="7">
        <f>'Cash Pool'!F5</f>
        <v>64960.952000000005</v>
      </c>
      <c r="F27" s="9">
        <f>'Cash Pool'!G5</f>
        <v>-2858.2607999999891</v>
      </c>
      <c r="G27" s="72" t="s">
        <v>675</v>
      </c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74482.893599999996</v>
      </c>
      <c r="D28" s="6">
        <f>'Cash Pool'!E6</f>
        <v>-61952.893599999996</v>
      </c>
      <c r="E28" s="6">
        <f>'Cash Pool'!F6</f>
        <v>59092.524000000005</v>
      </c>
      <c r="F28" s="8">
        <f>'Cash Pool'!G6</f>
        <v>-2860.3695999999909</v>
      </c>
      <c r="G28" s="73" t="s">
        <v>675</v>
      </c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3" sqref="B3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46077</v>
      </c>
    </row>
    <row r="5" spans="1:8">
      <c r="A5" s="14" t="s">
        <v>38</v>
      </c>
      <c r="B5" s="15">
        <f>Summary!B3</f>
        <v>257119</v>
      </c>
      <c r="D5" s="14" t="s">
        <v>60</v>
      </c>
      <c r="E5" s="15">
        <f>Summary!B4</f>
        <v>223404</v>
      </c>
    </row>
    <row r="6" spans="1:8">
      <c r="A6" s="14" t="s">
        <v>61</v>
      </c>
      <c r="B6" s="15">
        <f>Summary!B6</f>
        <v>-33715</v>
      </c>
      <c r="D6" s="14" t="s">
        <v>62</v>
      </c>
      <c r="E6" s="15">
        <f>SUMIFS(INVENTORY!K:K, INVENTORY!N:N, "&lt;&gt;Sold Out")</f>
        <v>100189.68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172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17189</v>
      </c>
      <c r="D11" s="19">
        <f t="shared" si="0"/>
        <v>12399</v>
      </c>
      <c r="F11" s="18" t="s">
        <v>72</v>
      </c>
      <c r="G11" s="19">
        <f>SUM(INVENTORY!G:G)</f>
        <v>113</v>
      </c>
    </row>
    <row r="12" spans="1:8">
      <c r="A12" s="17" t="s">
        <v>73</v>
      </c>
      <c r="B12" s="15">
        <f>IFERROR(SUMPRODUCT((TEXT(Purchases!$A$2:$A$998,"MMM")=$A12)*Purchases!$C$2:$C$998),0)</f>
        <v>0</v>
      </c>
      <c r="C12" s="15">
        <f>IFERROR(SUMPRODUCT((TEXT(Sales!$A$2:$A$998,"MMM")=$A12)*Sales!$C$2:$C$998),0)</f>
        <v>0</v>
      </c>
      <c r="D12" s="15">
        <f t="shared" si="0"/>
        <v>0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532</v>
      </c>
    </row>
    <row r="47" spans="6:11">
      <c r="F47" s="75" t="s">
        <v>120</v>
      </c>
      <c r="G47" s="76">
        <f>SUMIF(INVENTORY!C:C, F47, INVENTORY!F:F)</f>
        <v>103</v>
      </c>
      <c r="H47" s="76">
        <f>SUMIF(INVENTORY!C:C, F47, INVENTORY!G:G)</f>
        <v>55</v>
      </c>
      <c r="J47" s="76" t="s">
        <v>135</v>
      </c>
      <c r="K47" s="77" cm="1">
        <f t="array" ref="K47">SUMPRODUCT((INVENTORY!$C$2:$C$479=J47)*(INVENTORY!$D$2:$D$479)*(INVENTORY!$G$2:$G$479))</f>
        <v>58255</v>
      </c>
    </row>
    <row r="48" spans="6:11">
      <c r="F48" s="75" t="s">
        <v>135</v>
      </c>
      <c r="G48" s="76">
        <f>SUMIF(INVENTORY!C:C, F48, INVENTORY!F:F)</f>
        <v>67</v>
      </c>
      <c r="H48" s="76">
        <f>SUMIF(INVENTORY!C:C, F48, INVENTORY!G:G)</f>
        <v>53</v>
      </c>
      <c r="J48" s="76" t="s">
        <v>120</v>
      </c>
      <c r="K48" s="77" cm="1">
        <f t="array" ref="K48">SUMPRODUCT((INVENTORY!$C$2:$C$479=J48)*(INVENTORY!$D$2:$D$479)*(INVENTORY!$G$2:$G$479))</f>
        <v>44954.18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SUMPRODUCT((INVENTORY!$C$2:$C$479=J49)*(INVENTORY!$D$2:$D$479)*(INVENTORY!$G$2:$G$479))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7" activePane="bottomLeft" state="frozen"/>
      <selection pane="bottomLeft" activeCell="D50" sqref="D50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331</v>
      </c>
    </row>
    <row r="30" spans="1:4">
      <c r="A30" s="41">
        <v>46004</v>
      </c>
      <c r="B30" s="39" t="s">
        <v>47</v>
      </c>
      <c r="C30" s="40">
        <v>4457</v>
      </c>
      <c r="D30" s="39" t="s">
        <v>332</v>
      </c>
    </row>
    <row r="31" spans="1:4">
      <c r="A31" s="36">
        <v>46008</v>
      </c>
      <c r="B31" s="37" t="s">
        <v>46</v>
      </c>
      <c r="C31" s="38">
        <v>42</v>
      </c>
      <c r="D31" s="37" t="s">
        <v>340</v>
      </c>
    </row>
    <row r="32" spans="1:4">
      <c r="A32" s="41">
        <v>46009</v>
      </c>
      <c r="B32" s="39" t="s">
        <v>47</v>
      </c>
      <c r="C32" s="40">
        <v>2657</v>
      </c>
      <c r="D32" s="39" t="s">
        <v>332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535</v>
      </c>
    </row>
    <row r="36" spans="1:5">
      <c r="A36" s="41">
        <v>46029</v>
      </c>
      <c r="B36" s="39" t="s">
        <v>46</v>
      </c>
      <c r="C36" s="40">
        <v>2674</v>
      </c>
      <c r="D36" s="39" t="s">
        <v>332</v>
      </c>
    </row>
    <row r="37" spans="1:5">
      <c r="A37" s="36">
        <v>46029</v>
      </c>
      <c r="B37" s="37" t="s">
        <v>46</v>
      </c>
      <c r="C37" s="38">
        <v>1760</v>
      </c>
      <c r="D37" s="37" t="s">
        <v>558</v>
      </c>
    </row>
    <row r="38" spans="1:5">
      <c r="A38" s="41">
        <v>46031</v>
      </c>
      <c r="B38" s="39" t="s">
        <v>48</v>
      </c>
      <c r="C38" s="40">
        <v>1330</v>
      </c>
      <c r="D38" s="39" t="s">
        <v>559</v>
      </c>
    </row>
    <row r="39" spans="1:5">
      <c r="A39" s="36">
        <v>46035</v>
      </c>
      <c r="B39" s="37" t="s">
        <v>46</v>
      </c>
      <c r="C39" s="38">
        <v>5940</v>
      </c>
      <c r="D39" s="37" t="s">
        <v>573</v>
      </c>
    </row>
    <row r="40" spans="1:5">
      <c r="A40" s="41">
        <v>46037</v>
      </c>
      <c r="B40" s="39" t="s">
        <v>47</v>
      </c>
      <c r="C40" s="40">
        <v>5602</v>
      </c>
      <c r="D40" s="39" t="s">
        <v>332</v>
      </c>
    </row>
    <row r="41" spans="1:5">
      <c r="A41" s="36">
        <v>46038</v>
      </c>
      <c r="B41" s="37" t="s">
        <v>47</v>
      </c>
      <c r="C41" s="38">
        <v>5349</v>
      </c>
      <c r="D41" s="37" t="s">
        <v>332</v>
      </c>
    </row>
    <row r="42" spans="1:5">
      <c r="A42" s="41">
        <v>46040</v>
      </c>
      <c r="B42" s="39" t="s">
        <v>46</v>
      </c>
      <c r="C42" s="40">
        <v>4425</v>
      </c>
      <c r="D42" s="39" t="s">
        <v>573</v>
      </c>
    </row>
    <row r="43" spans="1:5">
      <c r="A43" s="36">
        <v>46045</v>
      </c>
      <c r="B43" s="37" t="s">
        <v>46</v>
      </c>
      <c r="C43" s="38">
        <v>1370</v>
      </c>
      <c r="D43" s="37" t="s">
        <v>617</v>
      </c>
    </row>
    <row r="44" spans="1:5">
      <c r="A44" s="41">
        <v>46045</v>
      </c>
      <c r="B44" s="39" t="s">
        <v>47</v>
      </c>
      <c r="C44" s="40">
        <v>16684</v>
      </c>
      <c r="D44" s="39" t="s">
        <v>332</v>
      </c>
    </row>
    <row r="45" spans="1:5">
      <c r="A45" s="36">
        <v>46043</v>
      </c>
      <c r="B45" s="37" t="s">
        <v>46</v>
      </c>
      <c r="C45" s="38">
        <v>106</v>
      </c>
      <c r="D45" s="37" t="s">
        <v>618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332</v>
      </c>
    </row>
    <row r="48" spans="1:5">
      <c r="A48" s="41">
        <v>46059</v>
      </c>
      <c r="B48" s="39" t="s">
        <v>48</v>
      </c>
      <c r="C48" s="40">
        <v>1290</v>
      </c>
      <c r="D48" s="39" t="s">
        <v>669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701</v>
      </c>
    </row>
    <row r="50" spans="1:4">
      <c r="A50" s="41"/>
      <c r="B50" s="39"/>
      <c r="C50" s="40"/>
      <c r="D50" s="39"/>
    </row>
    <row r="51" spans="1:4">
      <c r="A51" s="36"/>
      <c r="B51" s="37"/>
      <c r="C51" s="38"/>
      <c r="D51" s="37"/>
    </row>
    <row r="52" spans="1:4">
      <c r="A52" s="41"/>
      <c r="B52" s="39"/>
      <c r="C52" s="40"/>
      <c r="D52" s="39"/>
    </row>
    <row r="53" spans="1:4">
      <c r="A53" s="36"/>
      <c r="B53" s="37"/>
      <c r="C53" s="38"/>
      <c r="D53" s="37"/>
    </row>
    <row r="54" spans="1:4">
      <c r="A54" s="41"/>
      <c r="B54" s="39"/>
      <c r="C54" s="40"/>
      <c r="D54" s="39"/>
    </row>
    <row r="55" spans="1:4">
      <c r="A55" s="36"/>
      <c r="B55" s="37"/>
      <c r="C55" s="38"/>
      <c r="D55" s="37"/>
    </row>
    <row r="56" spans="1:4">
      <c r="A56" s="41"/>
      <c r="B56" s="39"/>
      <c r="C56" s="40"/>
      <c r="D56" s="39"/>
    </row>
    <row r="57" spans="1:4">
      <c r="A57" s="36"/>
      <c r="B57" s="37"/>
      <c r="C57" s="38"/>
      <c r="D57" s="37"/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00" activePane="bottomLeft" state="frozen"/>
      <selection pane="bottomLeft" activeCell="J124" sqref="J124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512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512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511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505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506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491</v>
      </c>
      <c r="I59" s="47" t="s">
        <v>276</v>
      </c>
    </row>
    <row r="60" spans="1:9">
      <c r="A60" s="43">
        <v>46007</v>
      </c>
      <c r="B60" s="50" t="s">
        <v>335</v>
      </c>
      <c r="C60" s="51">
        <v>699</v>
      </c>
      <c r="D60" s="50" t="s">
        <v>336</v>
      </c>
      <c r="E60" s="50" t="s">
        <v>46</v>
      </c>
      <c r="F60" s="50"/>
      <c r="G60" s="50"/>
      <c r="H60" s="69" t="s">
        <v>504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503</v>
      </c>
      <c r="I61" s="47" t="s">
        <v>276</v>
      </c>
    </row>
    <row r="62" spans="1:9">
      <c r="A62" s="43">
        <v>46008</v>
      </c>
      <c r="B62" s="50" t="s">
        <v>337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502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499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501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500</v>
      </c>
      <c r="I65" s="50" t="s">
        <v>276</v>
      </c>
    </row>
    <row r="66" spans="1:9" ht="16">
      <c r="A66" s="46">
        <v>46010</v>
      </c>
      <c r="B66" s="47" t="s">
        <v>510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499</v>
      </c>
      <c r="I66" s="47" t="s">
        <v>276</v>
      </c>
    </row>
    <row r="67" spans="1:9">
      <c r="A67" s="43">
        <v>46010</v>
      </c>
      <c r="B67" s="50" t="s">
        <v>513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515</v>
      </c>
      <c r="I67" s="50" t="s">
        <v>276</v>
      </c>
    </row>
    <row r="68" spans="1:9" ht="32">
      <c r="A68" s="46">
        <v>46011</v>
      </c>
      <c r="B68" s="47" t="s">
        <v>481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495</v>
      </c>
      <c r="I68" s="47" t="s">
        <v>276</v>
      </c>
    </row>
    <row r="69" spans="1:9">
      <c r="A69" s="43">
        <v>46011</v>
      </c>
      <c r="B69" s="50" t="s">
        <v>484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492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493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494</v>
      </c>
      <c r="I71" s="47" t="s">
        <v>276</v>
      </c>
    </row>
    <row r="72" spans="1:9" ht="28">
      <c r="A72" s="43">
        <v>46011</v>
      </c>
      <c r="B72" s="50" t="s">
        <v>487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498</v>
      </c>
      <c r="I72" s="50" t="s">
        <v>276</v>
      </c>
    </row>
    <row r="73" spans="1:9" ht="32">
      <c r="A73" s="46">
        <v>46011</v>
      </c>
      <c r="B73" s="47" t="s">
        <v>488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529</v>
      </c>
      <c r="I73" s="47" t="s">
        <v>276</v>
      </c>
    </row>
    <row r="74" spans="1:9">
      <c r="A74" s="43">
        <v>46013</v>
      </c>
      <c r="B74" s="50" t="s">
        <v>490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514</v>
      </c>
      <c r="I74" s="50" t="s">
        <v>276</v>
      </c>
    </row>
    <row r="75" spans="1:9" ht="16">
      <c r="A75" s="46">
        <v>46013</v>
      </c>
      <c r="B75" s="47" t="s">
        <v>507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491</v>
      </c>
      <c r="I75" s="47" t="s">
        <v>276</v>
      </c>
    </row>
    <row r="76" spans="1:9" ht="16">
      <c r="A76" s="46">
        <v>46017</v>
      </c>
      <c r="B76" s="47" t="s">
        <v>530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516</v>
      </c>
      <c r="I76" s="47" t="s">
        <v>276</v>
      </c>
    </row>
    <row r="77" spans="1:9">
      <c r="A77" s="43">
        <v>46017</v>
      </c>
      <c r="B77" s="50" t="s">
        <v>531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517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528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528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534</v>
      </c>
      <c r="I80" s="47" t="s">
        <v>276</v>
      </c>
    </row>
    <row r="81" spans="1:9">
      <c r="A81" s="43">
        <v>46024</v>
      </c>
      <c r="B81" s="50" t="s">
        <v>541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542</v>
      </c>
      <c r="I81" s="50" t="s">
        <v>276</v>
      </c>
    </row>
    <row r="82" spans="1:9" ht="16">
      <c r="A82" s="46">
        <v>46024</v>
      </c>
      <c r="B82" s="47" t="s">
        <v>543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544</v>
      </c>
      <c r="I82" s="47" t="s">
        <v>276</v>
      </c>
    </row>
    <row r="83" spans="1:9">
      <c r="A83" s="43">
        <v>46024</v>
      </c>
      <c r="B83" s="50" t="s">
        <v>545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546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547</v>
      </c>
      <c r="I84" s="47" t="s">
        <v>276</v>
      </c>
    </row>
    <row r="85" spans="1:9">
      <c r="A85" s="43">
        <v>46027</v>
      </c>
      <c r="B85" s="50" t="s">
        <v>549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550</v>
      </c>
      <c r="I85" s="50" t="s">
        <v>276</v>
      </c>
    </row>
    <row r="86" spans="1:9">
      <c r="A86" s="43">
        <v>46028</v>
      </c>
      <c r="B86" s="50" t="s">
        <v>560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552</v>
      </c>
      <c r="I86" s="50" t="s">
        <v>276</v>
      </c>
    </row>
    <row r="87" spans="1:9" ht="16">
      <c r="A87" s="46">
        <v>46029</v>
      </c>
      <c r="B87" s="47" t="s">
        <v>562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517</v>
      </c>
      <c r="I87" s="47" t="s">
        <v>276</v>
      </c>
    </row>
    <row r="88" spans="1:9">
      <c r="A88" s="43">
        <v>46032</v>
      </c>
      <c r="B88" s="50" t="s">
        <v>561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563</v>
      </c>
      <c r="I88" s="50" t="s">
        <v>276</v>
      </c>
    </row>
    <row r="89" spans="1:9" ht="16">
      <c r="A89" s="46">
        <v>46033</v>
      </c>
      <c r="B89" s="47" t="s">
        <v>564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491</v>
      </c>
      <c r="I89" s="47" t="s">
        <v>276</v>
      </c>
    </row>
    <row r="90" spans="1:9">
      <c r="A90" s="43">
        <v>46033</v>
      </c>
      <c r="B90" s="50" t="s">
        <v>565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563</v>
      </c>
      <c r="I90" s="50" t="s">
        <v>276</v>
      </c>
    </row>
    <row r="91" spans="1:9" ht="16">
      <c r="A91" s="46">
        <v>46034</v>
      </c>
      <c r="B91" s="47" t="s">
        <v>566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563</v>
      </c>
      <c r="I91" s="47" t="s">
        <v>276</v>
      </c>
    </row>
    <row r="92" spans="1:9">
      <c r="A92" s="43">
        <v>46034</v>
      </c>
      <c r="B92" s="50" t="s">
        <v>567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568</v>
      </c>
      <c r="I92" s="50" t="s">
        <v>276</v>
      </c>
    </row>
    <row r="93" spans="1:9" ht="16">
      <c r="A93" s="46">
        <v>46035</v>
      </c>
      <c r="B93" s="47" t="s">
        <v>572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575</v>
      </c>
      <c r="I93" s="47" t="s">
        <v>276</v>
      </c>
    </row>
    <row r="94" spans="1:9">
      <c r="A94" s="43">
        <v>46036</v>
      </c>
      <c r="B94" s="50" t="s">
        <v>574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576</v>
      </c>
      <c r="I94" s="50" t="s">
        <v>276</v>
      </c>
    </row>
    <row r="95" spans="1:9" ht="16">
      <c r="A95" s="46">
        <v>46038</v>
      </c>
      <c r="B95" s="47" t="s">
        <v>600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563</v>
      </c>
      <c r="I95" s="47" t="s">
        <v>276</v>
      </c>
    </row>
    <row r="96" spans="1:9">
      <c r="A96" s="43">
        <v>46038</v>
      </c>
      <c r="B96" s="50" t="s">
        <v>557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590</v>
      </c>
      <c r="I96" s="50" t="s">
        <v>276</v>
      </c>
    </row>
    <row r="97" spans="1:9" ht="16">
      <c r="A97" s="46">
        <v>46039</v>
      </c>
      <c r="B97" s="47" t="s">
        <v>593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594</v>
      </c>
      <c r="I97" s="47" t="s">
        <v>276</v>
      </c>
    </row>
    <row r="98" spans="1:9">
      <c r="A98" s="43">
        <v>46040</v>
      </c>
      <c r="B98" s="50" t="s">
        <v>598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599</v>
      </c>
      <c r="I98" s="50" t="s">
        <v>276</v>
      </c>
    </row>
    <row r="99" spans="1:9" ht="16">
      <c r="A99" s="46">
        <v>46041</v>
      </c>
      <c r="B99" s="47" t="s">
        <v>607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563</v>
      </c>
      <c r="I99" s="47" t="s">
        <v>276</v>
      </c>
    </row>
    <row r="100" spans="1:9">
      <c r="A100" s="43">
        <v>46042</v>
      </c>
      <c r="B100" s="50" t="s">
        <v>609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610</v>
      </c>
      <c r="I100" s="50" t="s">
        <v>276</v>
      </c>
    </row>
    <row r="101" spans="1:9" ht="16">
      <c r="A101" s="46">
        <v>46043</v>
      </c>
      <c r="B101" s="47" t="s">
        <v>612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613</v>
      </c>
      <c r="I101" s="47" t="s">
        <v>276</v>
      </c>
    </row>
    <row r="102" spans="1:9">
      <c r="A102" s="43">
        <v>46046</v>
      </c>
      <c r="B102" s="50" t="s">
        <v>636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637</v>
      </c>
      <c r="I102" s="50" t="s">
        <v>276</v>
      </c>
    </row>
    <row r="103" spans="1:9">
      <c r="A103" s="46">
        <v>46048</v>
      </c>
      <c r="B103" s="47" t="s">
        <v>639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552</v>
      </c>
      <c r="I103" s="47" t="s">
        <v>276</v>
      </c>
    </row>
    <row r="104" spans="1:9">
      <c r="A104" s="43">
        <v>46048</v>
      </c>
      <c r="B104" s="50" t="s">
        <v>642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643</v>
      </c>
      <c r="I104" s="50" t="s">
        <v>276</v>
      </c>
    </row>
    <row r="105" spans="1:9" ht="16">
      <c r="A105" s="46">
        <v>46049</v>
      </c>
      <c r="B105" s="47" t="s">
        <v>647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517</v>
      </c>
      <c r="I105" s="47" t="s">
        <v>276</v>
      </c>
    </row>
    <row r="106" spans="1:9">
      <c r="A106" s="43">
        <v>46049</v>
      </c>
      <c r="B106" s="50" t="s">
        <v>650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648</v>
      </c>
      <c r="I106" s="50" t="s">
        <v>276</v>
      </c>
    </row>
    <row r="107" spans="1:9" ht="16">
      <c r="A107" s="46">
        <v>46049</v>
      </c>
      <c r="B107" s="47" t="s">
        <v>649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651</v>
      </c>
      <c r="I107" s="47" t="s">
        <v>276</v>
      </c>
    </row>
    <row r="108" spans="1:9">
      <c r="A108" s="43">
        <v>46050</v>
      </c>
      <c r="B108" s="50" t="s">
        <v>655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656</v>
      </c>
      <c r="I108" s="50" t="s">
        <v>276</v>
      </c>
    </row>
    <row r="109" spans="1:9" ht="16">
      <c r="A109" s="46">
        <v>46051</v>
      </c>
      <c r="B109" s="47" t="s">
        <v>681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552</v>
      </c>
      <c r="I109" s="47" t="s">
        <v>276</v>
      </c>
    </row>
    <row r="110" spans="1:9">
      <c r="A110" s="43">
        <v>46051</v>
      </c>
      <c r="B110" s="50" t="s">
        <v>680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552</v>
      </c>
      <c r="I110" s="50" t="s">
        <v>276</v>
      </c>
    </row>
    <row r="111" spans="1:9" ht="16">
      <c r="A111" s="46">
        <v>46051</v>
      </c>
      <c r="B111" s="47" t="s">
        <v>593</v>
      </c>
      <c r="C111" s="48">
        <v>580</v>
      </c>
      <c r="D111" s="47" t="s">
        <v>661</v>
      </c>
      <c r="E111" s="47" t="s">
        <v>48</v>
      </c>
      <c r="F111" s="49"/>
      <c r="G111" s="49"/>
      <c r="H111" s="68" t="s">
        <v>662</v>
      </c>
      <c r="I111" s="47" t="s">
        <v>276</v>
      </c>
    </row>
    <row r="112" spans="1:9">
      <c r="A112" s="43">
        <v>46054</v>
      </c>
      <c r="B112" s="50" t="s">
        <v>667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689</v>
      </c>
      <c r="I112" s="50" t="s">
        <v>276</v>
      </c>
    </row>
    <row r="113" spans="1:9" ht="16">
      <c r="A113" s="46">
        <v>46054</v>
      </c>
      <c r="B113" s="47" t="s">
        <v>668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576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517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670</v>
      </c>
      <c r="I115" s="47" t="s">
        <v>191</v>
      </c>
    </row>
    <row r="116" spans="1:9">
      <c r="A116" s="43">
        <v>46060</v>
      </c>
      <c r="B116" s="50" t="s">
        <v>672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673</v>
      </c>
      <c r="I116" s="50" t="s">
        <v>276</v>
      </c>
    </row>
    <row r="117" spans="1:9" ht="16">
      <c r="A117" s="46">
        <v>46062</v>
      </c>
      <c r="B117" s="47" t="s">
        <v>679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682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683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687</v>
      </c>
      <c r="C120" s="51">
        <v>1450</v>
      </c>
      <c r="D120" s="50" t="s">
        <v>688</v>
      </c>
      <c r="E120" s="50" t="s">
        <v>46</v>
      </c>
      <c r="F120" s="50"/>
      <c r="G120" s="50"/>
      <c r="H120" s="69" t="s">
        <v>606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690</v>
      </c>
      <c r="I121" s="47" t="s">
        <v>276</v>
      </c>
    </row>
    <row r="122" spans="1:9">
      <c r="A122" s="43">
        <v>46074</v>
      </c>
      <c r="B122" s="50" t="s">
        <v>691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692</v>
      </c>
      <c r="I122" s="50" t="s">
        <v>276</v>
      </c>
    </row>
    <row r="123" spans="1:9" ht="16">
      <c r="A123" s="46">
        <v>46075</v>
      </c>
      <c r="B123" s="47" t="s">
        <v>693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491</v>
      </c>
      <c r="I123" s="47" t="s">
        <v>191</v>
      </c>
    </row>
    <row r="124" spans="1:9">
      <c r="A124" s="43">
        <v>46075</v>
      </c>
      <c r="B124" s="50" t="s">
        <v>694</v>
      </c>
      <c r="C124" s="51">
        <v>2500</v>
      </c>
      <c r="D124" s="50" t="s">
        <v>695</v>
      </c>
      <c r="E124" s="50" t="s">
        <v>46</v>
      </c>
      <c r="F124" s="50"/>
      <c r="G124" s="50"/>
      <c r="H124" s="69" t="s">
        <v>696</v>
      </c>
      <c r="I124" s="50" t="s">
        <v>191</v>
      </c>
    </row>
    <row r="125" spans="1:9">
      <c r="A125" s="46"/>
      <c r="B125" s="47"/>
      <c r="C125" s="48"/>
      <c r="D125" s="47"/>
      <c r="E125" s="47"/>
      <c r="F125" s="49"/>
      <c r="G125" s="49"/>
      <c r="H125" s="68"/>
      <c r="I125" s="47"/>
    </row>
    <row r="126" spans="1:9">
      <c r="A126" s="43"/>
      <c r="B126" s="50"/>
      <c r="C126" s="51"/>
      <c r="D126" s="50"/>
      <c r="E126" s="50"/>
      <c r="F126" s="50"/>
      <c r="G126" s="50"/>
      <c r="H126" s="69"/>
      <c r="I126" s="50"/>
    </row>
    <row r="127" spans="1:9">
      <c r="A127" s="46"/>
      <c r="B127" s="47"/>
      <c r="C127" s="48"/>
      <c r="D127" s="47"/>
      <c r="E127" s="47"/>
      <c r="F127" s="49"/>
      <c r="G127" s="49"/>
      <c r="H127" s="68"/>
      <c r="I127" s="47"/>
    </row>
    <row r="128" spans="1:9">
      <c r="A128" s="43"/>
      <c r="B128" s="50"/>
      <c r="C128" s="51"/>
      <c r="D128" s="50"/>
      <c r="E128" s="50"/>
      <c r="F128" s="50"/>
      <c r="G128" s="50"/>
      <c r="H128" s="69"/>
      <c r="I128" s="50"/>
    </row>
    <row r="129" spans="1:9">
      <c r="A129" s="46"/>
      <c r="B129" s="47"/>
      <c r="C129" s="48"/>
      <c r="D129" s="47"/>
      <c r="E129" s="47"/>
      <c r="F129" s="49"/>
      <c r="G129" s="49"/>
      <c r="H129" s="68"/>
      <c r="I129" s="47"/>
    </row>
    <row r="130" spans="1:9">
      <c r="A130" s="43"/>
      <c r="B130" s="50"/>
      <c r="C130" s="51"/>
      <c r="D130" s="50"/>
      <c r="E130" s="50"/>
      <c r="F130" s="50"/>
      <c r="G130" s="50"/>
      <c r="H130" s="69"/>
      <c r="I130" s="50"/>
    </row>
    <row r="131" spans="1:9">
      <c r="A131" s="46"/>
      <c r="B131" s="47"/>
      <c r="C131" s="48"/>
      <c r="D131" s="47"/>
      <c r="E131" s="47"/>
      <c r="F131" s="49"/>
      <c r="G131" s="49"/>
      <c r="H131" s="68"/>
      <c r="I131" s="47"/>
    </row>
    <row r="132" spans="1:9">
      <c r="A132" s="43"/>
      <c r="B132" s="50"/>
      <c r="C132" s="51"/>
      <c r="D132" s="50"/>
      <c r="E132" s="50"/>
      <c r="F132" s="50"/>
      <c r="G132" s="50"/>
      <c r="H132" s="69"/>
      <c r="I132" s="50"/>
    </row>
    <row r="133" spans="1:9">
      <c r="A133" s="46"/>
      <c r="B133" s="47"/>
      <c r="C133" s="48"/>
      <c r="D133" s="47"/>
      <c r="E133" s="47"/>
      <c r="F133" s="49"/>
      <c r="G133" s="49"/>
      <c r="H133" s="68"/>
      <c r="I133" s="47"/>
    </row>
    <row r="134" spans="1:9">
      <c r="A134" s="43"/>
      <c r="B134" s="50"/>
      <c r="C134" s="51"/>
      <c r="D134" s="50"/>
      <c r="E134" s="50"/>
      <c r="F134" s="50"/>
      <c r="G134" s="50"/>
      <c r="H134" s="69"/>
      <c r="I134" s="50"/>
    </row>
    <row r="135" spans="1:9">
      <c r="A135" s="46"/>
      <c r="B135" s="47"/>
      <c r="C135" s="48"/>
      <c r="D135" s="47"/>
      <c r="E135" s="47"/>
      <c r="F135" s="49"/>
      <c r="G135" s="49"/>
      <c r="H135" s="68"/>
      <c r="I135" s="47"/>
    </row>
    <row r="136" spans="1:9">
      <c r="A136" s="43"/>
      <c r="B136" s="50"/>
      <c r="C136" s="51"/>
      <c r="D136" s="50"/>
      <c r="E136" s="50"/>
      <c r="F136" s="50"/>
      <c r="G136" s="50"/>
      <c r="H136" s="69"/>
      <c r="I136" s="50"/>
    </row>
    <row r="137" spans="1:9">
      <c r="A137" s="46"/>
      <c r="B137" s="47"/>
      <c r="C137" s="48"/>
      <c r="D137" s="47"/>
      <c r="E137" s="47"/>
      <c r="F137" s="49"/>
      <c r="G137" s="49"/>
      <c r="H137" s="68"/>
      <c r="I137" s="47"/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6"/>
  <sheetViews>
    <sheetView workbookViewId="0">
      <pane ySplit="1" topLeftCell="A123" activePane="bottomLeft" state="frozen"/>
      <selection pane="bottomLeft" activeCell="B132" sqref="B132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43.33203125" style="2" bestFit="1" customWidth="1"/>
    <col min="13" max="13" width="20.6640625" style="2" bestFit="1" customWidth="1"/>
    <col min="14" max="14" width="11.6640625" style="2" bestFit="1" customWidth="1"/>
    <col min="15" max="15" width="13.83203125" style="2" bestFit="1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344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345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346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347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348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349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350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351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352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353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354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355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356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357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358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359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360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361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362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363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364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365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366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367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368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369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370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371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372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373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374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375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376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377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378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379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380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381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382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383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384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385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386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180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387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388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389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570</v>
      </c>
      <c r="M47" s="28" t="s">
        <v>571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390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391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392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393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394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682</v>
      </c>
      <c r="M52" s="30"/>
      <c r="N52" s="30" t="s">
        <v>180</v>
      </c>
      <c r="O52" s="30" t="s">
        <v>538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395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678</v>
      </c>
      <c r="M53" s="28"/>
      <c r="N53" s="28" t="s">
        <v>191</v>
      </c>
      <c r="O53" s="28" t="s">
        <v>195</v>
      </c>
      <c r="P53" s="28" t="s">
        <v>677</v>
      </c>
      <c r="Q53" s="28"/>
      <c r="R53" s="28"/>
      <c r="S53" s="28"/>
      <c r="T53" s="28"/>
    </row>
    <row r="54" spans="1:20" s="64" customFormat="1" ht="15" customHeight="1">
      <c r="A54" s="26" t="s">
        <v>396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397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676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398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399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533</v>
      </c>
      <c r="P57" s="28"/>
      <c r="Q57" s="28"/>
      <c r="R57" s="28"/>
      <c r="S57" s="28"/>
      <c r="T57" s="28"/>
    </row>
    <row r="58" spans="1:20" ht="15" customHeight="1">
      <c r="A58" s="26" t="s">
        <v>400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485</v>
      </c>
      <c r="P58" s="30"/>
      <c r="Q58" s="30"/>
      <c r="R58" s="30"/>
      <c r="S58" s="30"/>
      <c r="T58" s="30"/>
    </row>
    <row r="59" spans="1:20" ht="15" customHeight="1">
      <c r="A59" s="28" t="s">
        <v>401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483</v>
      </c>
      <c r="M59" s="28"/>
      <c r="N59" s="28" t="s">
        <v>180</v>
      </c>
      <c r="O59" s="28" t="s">
        <v>482</v>
      </c>
      <c r="P59" s="28" t="s">
        <v>203</v>
      </c>
      <c r="Q59" s="28"/>
      <c r="R59" s="28"/>
      <c r="S59" s="28"/>
      <c r="T59" s="28"/>
    </row>
    <row r="60" spans="1:20" ht="15">
      <c r="A60" s="26" t="s">
        <v>402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664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60">
      <c r="A61" s="28" t="s">
        <v>403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1</v>
      </c>
      <c r="G61" s="29">
        <v>5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1096</v>
      </c>
      <c r="K61" s="28">
        <f t="shared" si="5"/>
        <v>5480</v>
      </c>
      <c r="L61" s="28"/>
      <c r="M61" s="28"/>
      <c r="N61" s="28" t="s">
        <v>191</v>
      </c>
      <c r="O61" s="28"/>
      <c r="P61" s="28" t="s">
        <v>616</v>
      </c>
      <c r="Q61" s="28" t="s">
        <v>480</v>
      </c>
      <c r="R61" s="28"/>
      <c r="S61" s="28"/>
      <c r="T61" s="28"/>
    </row>
    <row r="62" spans="1:20" ht="15" customHeight="1">
      <c r="A62" s="26" t="s">
        <v>404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684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405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406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407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30">
      <c r="A66" s="26" t="s">
        <v>408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595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409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191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410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411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15" customHeight="1">
      <c r="A70" s="26" t="s">
        <v>412</v>
      </c>
      <c r="B70" s="30" t="s">
        <v>597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699</v>
      </c>
      <c r="M70" s="30"/>
      <c r="N70" s="30" t="s">
        <v>191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413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414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488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415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 t="s">
        <v>217</v>
      </c>
      <c r="Q73" s="28"/>
      <c r="R73" s="28"/>
      <c r="S73" s="28"/>
      <c r="T73" s="28"/>
    </row>
    <row r="74" spans="1:20" ht="15" customHeight="1">
      <c r="A74" s="26" t="s">
        <v>416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 t="s">
        <v>219</v>
      </c>
      <c r="Q74" s="30"/>
      <c r="R74" s="30"/>
      <c r="S74" s="30"/>
      <c r="T74" s="30"/>
    </row>
    <row r="75" spans="1:20" ht="15" customHeight="1">
      <c r="A75" s="28" t="s">
        <v>417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 t="s">
        <v>219</v>
      </c>
      <c r="Q75" s="28"/>
      <c r="R75" s="28"/>
      <c r="S75" s="28"/>
      <c r="T75" s="28"/>
    </row>
    <row r="76" spans="1:20" ht="15" customHeight="1">
      <c r="A76" s="26" t="s">
        <v>418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 t="s">
        <v>213</v>
      </c>
      <c r="Q76" s="30"/>
      <c r="R76" s="30"/>
      <c r="S76" s="30"/>
      <c r="T76" s="30"/>
    </row>
    <row r="77" spans="1:20" ht="15" customHeight="1">
      <c r="A77" s="28" t="s">
        <v>419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548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420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421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422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539</v>
      </c>
      <c r="M80" s="30"/>
      <c r="N80" s="30" t="s">
        <v>180</v>
      </c>
      <c r="O80" s="30" t="s">
        <v>540</v>
      </c>
      <c r="P80" s="30"/>
      <c r="Q80" s="30"/>
      <c r="R80" s="30"/>
      <c r="S80" s="30"/>
      <c r="T80" s="30"/>
    </row>
    <row r="81" spans="1:20" ht="37" customHeight="1">
      <c r="A81" s="28" t="s">
        <v>423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2</v>
      </c>
      <c r="G81" s="29">
        <v>1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1190</v>
      </c>
      <c r="K81" s="28">
        <f t="shared" si="8"/>
        <v>595</v>
      </c>
      <c r="L81" s="28" t="s">
        <v>496</v>
      </c>
      <c r="M81" s="28"/>
      <c r="N81" s="28" t="s">
        <v>180</v>
      </c>
      <c r="O81" s="28" t="s">
        <v>497</v>
      </c>
      <c r="P81" s="28"/>
      <c r="Q81" s="28"/>
      <c r="R81" s="28"/>
      <c r="S81" s="28"/>
      <c r="T81" s="28"/>
    </row>
    <row r="82" spans="1:20" ht="15">
      <c r="A82" s="26" t="s">
        <v>424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2</v>
      </c>
      <c r="G82" s="31">
        <v>1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2150</v>
      </c>
      <c r="K82" s="30">
        <f t="shared" si="8"/>
        <v>1075</v>
      </c>
      <c r="L82" s="30" t="s">
        <v>536</v>
      </c>
      <c r="M82" s="30"/>
      <c r="N82" s="30" t="s">
        <v>222</v>
      </c>
      <c r="O82" s="30" t="s">
        <v>497</v>
      </c>
      <c r="P82" s="30"/>
      <c r="Q82" s="30"/>
      <c r="R82" s="30"/>
      <c r="S82" s="30"/>
      <c r="T82" s="30"/>
    </row>
    <row r="83" spans="1:20" ht="45" customHeight="1">
      <c r="A83" s="28" t="s">
        <v>425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426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591</v>
      </c>
      <c r="P84" s="30"/>
      <c r="Q84" s="30"/>
      <c r="R84" s="30"/>
      <c r="S84" s="30"/>
      <c r="T84" s="30"/>
    </row>
    <row r="85" spans="1:20" ht="30" customHeight="1">
      <c r="A85" s="28" t="s">
        <v>427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685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428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686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429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430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478</v>
      </c>
      <c r="M88" s="30"/>
      <c r="N88" s="30" t="s">
        <v>180</v>
      </c>
      <c r="O88" s="30" t="s">
        <v>477</v>
      </c>
      <c r="P88" s="30"/>
      <c r="Q88" s="30"/>
      <c r="R88" s="30"/>
      <c r="S88" s="30"/>
      <c r="T88" s="30"/>
    </row>
    <row r="89" spans="1:20" ht="15" customHeight="1">
      <c r="A89" s="28" t="s">
        <v>431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596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593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432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0</v>
      </c>
      <c r="G91" s="29">
        <v>2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0</v>
      </c>
      <c r="K91" s="28">
        <f t="shared" si="8"/>
        <v>778</v>
      </c>
      <c r="L91" s="28"/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433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2</v>
      </c>
      <c r="G92" s="31">
        <v>1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978</v>
      </c>
      <c r="K92" s="30">
        <f t="shared" si="8"/>
        <v>489</v>
      </c>
      <c r="L92" s="30" t="s">
        <v>569</v>
      </c>
      <c r="M92" s="30"/>
      <c r="N92" s="30" t="s">
        <v>180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434</v>
      </c>
      <c r="B93" s="28" t="s">
        <v>479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508</v>
      </c>
      <c r="M93" s="28"/>
      <c r="N93" s="30" t="s">
        <v>180</v>
      </c>
      <c r="O93" s="28" t="s">
        <v>509</v>
      </c>
      <c r="P93" s="28"/>
      <c r="Q93" s="28"/>
      <c r="R93" s="28"/>
      <c r="S93" s="28"/>
      <c r="T93" s="28"/>
    </row>
    <row r="94" spans="1:20" ht="15" customHeight="1">
      <c r="A94" s="26" t="s">
        <v>435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436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486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437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438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439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440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441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442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443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444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481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445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0</v>
      </c>
      <c r="G104" s="31">
        <v>1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0</v>
      </c>
      <c r="K104" s="30">
        <f t="shared" si="11"/>
        <v>976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446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0</v>
      </c>
      <c r="G105" s="29">
        <v>1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0</v>
      </c>
      <c r="K105" s="28">
        <f t="shared" si="11"/>
        <v>976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447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0</v>
      </c>
      <c r="G106" s="31">
        <v>1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0</v>
      </c>
      <c r="K106" s="30">
        <f t="shared" si="11"/>
        <v>976</v>
      </c>
      <c r="L106" s="30" t="s">
        <v>261</v>
      </c>
      <c r="M106" s="30"/>
      <c r="N106" s="30" t="s">
        <v>222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448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449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450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451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452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453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454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481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455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487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456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2</v>
      </c>
      <c r="G115" s="29">
        <v>3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2509.52</v>
      </c>
      <c r="K115" s="28">
        <f t="shared" si="11"/>
        <v>3764.2799999999997</v>
      </c>
      <c r="L115" s="28" t="s">
        <v>666</v>
      </c>
      <c r="M115" s="28"/>
      <c r="N115" s="28" t="s">
        <v>180</v>
      </c>
      <c r="O115" s="28"/>
      <c r="P115" s="89" t="s">
        <v>665</v>
      </c>
      <c r="Q115" s="28"/>
      <c r="R115" s="28"/>
      <c r="S115" s="28"/>
      <c r="T115" s="28"/>
    </row>
    <row r="116" spans="1:20" ht="181" customHeight="1">
      <c r="A116" s="26" t="s">
        <v>457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697</v>
      </c>
      <c r="M116" s="30"/>
      <c r="N116" s="30" t="s">
        <v>180</v>
      </c>
      <c r="O116" s="30"/>
      <c r="P116" s="30" t="s">
        <v>663</v>
      </c>
      <c r="Q116" s="30"/>
      <c r="R116" s="30"/>
      <c r="S116" s="30"/>
      <c r="T116" s="30"/>
    </row>
    <row r="117" spans="1:20" ht="15" customHeight="1">
      <c r="A117" s="28" t="s">
        <v>458</v>
      </c>
      <c r="B117" s="28" t="s">
        <v>330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337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459</v>
      </c>
      <c r="B118" s="30" t="s">
        <v>328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553</v>
      </c>
      <c r="M118" s="30"/>
      <c r="N118" s="30" t="s">
        <v>180</v>
      </c>
      <c r="O118" s="30"/>
      <c r="P118" s="30" t="s">
        <v>554</v>
      </c>
      <c r="Q118" s="30"/>
      <c r="R118" s="30"/>
      <c r="S118" s="30"/>
      <c r="T118" s="30"/>
    </row>
    <row r="119" spans="1:20" ht="15" customHeight="1">
      <c r="A119" s="28" t="s">
        <v>460</v>
      </c>
      <c r="B119" s="28" t="s">
        <v>329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461</v>
      </c>
      <c r="B120" s="30" t="s">
        <v>327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338</v>
      </c>
      <c r="M120" s="30" t="s">
        <v>46</v>
      </c>
      <c r="N120" s="30" t="s">
        <v>122</v>
      </c>
      <c r="O120" s="30"/>
      <c r="P120" s="30" t="s">
        <v>339</v>
      </c>
      <c r="Q120" s="30"/>
      <c r="R120" s="30"/>
      <c r="S120" s="30"/>
      <c r="T120" s="30"/>
    </row>
    <row r="121" spans="1:20" ht="15">
      <c r="A121" s="28" t="s">
        <v>462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489</v>
      </c>
      <c r="M121" s="28"/>
      <c r="N121" s="28" t="s">
        <v>122</v>
      </c>
      <c r="O121" s="28"/>
      <c r="P121" s="28" t="s">
        <v>326</v>
      </c>
      <c r="Q121" s="28"/>
      <c r="R121" s="28"/>
      <c r="S121" s="28"/>
      <c r="T121" s="28"/>
    </row>
    <row r="122" spans="1:20" ht="15">
      <c r="A122" s="26" t="s">
        <v>463</v>
      </c>
      <c r="B122" s="30" t="s">
        <v>333</v>
      </c>
      <c r="C122" s="30" t="s">
        <v>135</v>
      </c>
      <c r="D122" s="31">
        <v>1175</v>
      </c>
      <c r="E122" s="31">
        <v>1600</v>
      </c>
      <c r="F122" s="31">
        <v>1</v>
      </c>
      <c r="G122" s="31">
        <v>3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1175</v>
      </c>
      <c r="K122" s="30">
        <f t="shared" si="11"/>
        <v>3525</v>
      </c>
      <c r="L122" s="30" t="s">
        <v>537</v>
      </c>
      <c r="M122" s="30"/>
      <c r="N122" s="30" t="s">
        <v>180</v>
      </c>
      <c r="O122" s="30" t="s">
        <v>538</v>
      </c>
      <c r="P122" s="30"/>
      <c r="Q122" s="30"/>
      <c r="R122" s="30"/>
      <c r="S122" s="30"/>
      <c r="T122" s="30"/>
    </row>
    <row r="123" spans="1:20" s="3" customFormat="1" ht="75">
      <c r="A123" s="80" t="s">
        <v>464</v>
      </c>
      <c r="B123" s="81" t="s">
        <v>334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671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45">
      <c r="A124" s="83" t="s">
        <v>465</v>
      </c>
      <c r="B124" s="84" t="s">
        <v>341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608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466</v>
      </c>
      <c r="B125" s="81" t="s">
        <v>342</v>
      </c>
      <c r="C125" s="81" t="s">
        <v>120</v>
      </c>
      <c r="D125" s="82">
        <v>908.25</v>
      </c>
      <c r="E125" s="82">
        <v>1450</v>
      </c>
      <c r="F125" s="82">
        <v>0</v>
      </c>
      <c r="G125" s="82">
        <v>2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0</v>
      </c>
      <c r="K125" s="81">
        <f t="shared" si="11"/>
        <v>1816.5</v>
      </c>
      <c r="L125" s="81" t="s">
        <v>611</v>
      </c>
      <c r="M125" s="81"/>
      <c r="N125" s="81" t="s">
        <v>122</v>
      </c>
      <c r="O125" s="81"/>
      <c r="P125" s="81" t="s">
        <v>343</v>
      </c>
      <c r="Q125" s="81"/>
      <c r="R125" s="81"/>
      <c r="S125" s="81"/>
      <c r="T125" s="81"/>
    </row>
    <row r="126" spans="1:20" ht="15" customHeight="1">
      <c r="A126" s="83" t="s">
        <v>467</v>
      </c>
      <c r="B126" s="30" t="s">
        <v>555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551</v>
      </c>
      <c r="P126" s="30"/>
      <c r="Q126" s="30"/>
      <c r="R126" s="30"/>
      <c r="S126" s="30"/>
      <c r="T126" s="30"/>
    </row>
    <row r="127" spans="1:20" ht="15" customHeight="1">
      <c r="A127" s="80" t="s">
        <v>468</v>
      </c>
      <c r="B127" s="28" t="s">
        <v>556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557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469</v>
      </c>
      <c r="B128" s="30" t="s">
        <v>577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470</v>
      </c>
      <c r="B129" s="28" t="s">
        <v>578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471</v>
      </c>
      <c r="B130" s="30" t="s">
        <v>615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472</v>
      </c>
      <c r="B131" s="28" t="s">
        <v>634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473</v>
      </c>
      <c r="B132" s="30" t="s">
        <v>579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700</v>
      </c>
      <c r="M132" s="30"/>
      <c r="N132" s="30" t="s">
        <v>191</v>
      </c>
      <c r="O132" s="30"/>
      <c r="P132" s="30"/>
      <c r="Q132" s="30"/>
      <c r="R132" s="30"/>
      <c r="S132" s="30"/>
      <c r="T132" s="30"/>
    </row>
    <row r="133" spans="1:20" ht="15">
      <c r="A133" s="80" t="s">
        <v>474</v>
      </c>
      <c r="B133" s="28" t="s">
        <v>638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475</v>
      </c>
      <c r="B134" s="30" t="s">
        <v>635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476</v>
      </c>
      <c r="B135" s="28" t="s">
        <v>633</v>
      </c>
      <c r="C135" s="28" t="s">
        <v>120</v>
      </c>
      <c r="D135" s="29">
        <v>450</v>
      </c>
      <c r="E135" s="29">
        <v>850</v>
      </c>
      <c r="F135" s="82">
        <v>0</v>
      </c>
      <c r="G135" s="82">
        <v>1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0</v>
      </c>
      <c r="K135" s="81">
        <f t="shared" si="17"/>
        <v>450</v>
      </c>
      <c r="L135" s="28"/>
      <c r="M135" s="28"/>
      <c r="N135" s="28" t="s">
        <v>222</v>
      </c>
      <c r="O135" s="28"/>
      <c r="P135" s="28"/>
      <c r="Q135" s="28"/>
      <c r="R135" s="28"/>
      <c r="S135" s="28"/>
      <c r="T135" s="28"/>
    </row>
    <row r="136" spans="1:20" ht="15">
      <c r="A136" s="83" t="s">
        <v>584</v>
      </c>
      <c r="B136" s="30" t="s">
        <v>619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657</v>
      </c>
      <c r="M136" s="30"/>
      <c r="N136" s="30" t="s">
        <v>222</v>
      </c>
      <c r="O136" s="30"/>
      <c r="P136" s="30" t="s">
        <v>658</v>
      </c>
      <c r="Q136" s="30"/>
      <c r="R136" s="30"/>
      <c r="S136" s="30"/>
      <c r="T136" s="30"/>
    </row>
    <row r="137" spans="1:20" ht="15">
      <c r="A137" s="80" t="s">
        <v>585</v>
      </c>
      <c r="B137" s="28" t="s">
        <v>583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586</v>
      </c>
      <c r="B138" s="30" t="s">
        <v>582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587</v>
      </c>
      <c r="B139" s="28" t="s">
        <v>581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672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588</v>
      </c>
      <c r="B140" s="30" t="s">
        <v>592</v>
      </c>
      <c r="C140" s="30" t="s">
        <v>120</v>
      </c>
      <c r="D140" s="31">
        <v>699</v>
      </c>
      <c r="E140" s="31">
        <v>1100</v>
      </c>
      <c r="F140" s="85">
        <v>0</v>
      </c>
      <c r="G140" s="85">
        <v>2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0</v>
      </c>
      <c r="K140" s="84">
        <f t="shared" si="20"/>
        <v>1398</v>
      </c>
      <c r="L140" s="30"/>
      <c r="M140" s="30"/>
      <c r="N140" s="30" t="s">
        <v>222</v>
      </c>
      <c r="O140" s="30"/>
      <c r="P140" s="30"/>
      <c r="Q140" s="30"/>
      <c r="R140" s="30"/>
      <c r="S140" s="30"/>
      <c r="T140" s="30"/>
    </row>
    <row r="141" spans="1:20" ht="15">
      <c r="A141" s="80" t="s">
        <v>589</v>
      </c>
      <c r="B141" s="28" t="s">
        <v>580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30">
      <c r="A142" s="30" t="s">
        <v>601</v>
      </c>
      <c r="B142" s="30" t="s">
        <v>614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698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602</v>
      </c>
      <c r="B143" s="28" t="s">
        <v>603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604</v>
      </c>
      <c r="B144" s="30" t="s">
        <v>632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605</v>
      </c>
      <c r="B145" s="28" t="s">
        <v>606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687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620</v>
      </c>
      <c r="B146" s="30" t="s">
        <v>646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621</v>
      </c>
      <c r="B147" s="28" t="s">
        <v>645</v>
      </c>
      <c r="C147" s="28" t="s">
        <v>120</v>
      </c>
      <c r="D147" s="29">
        <v>719</v>
      </c>
      <c r="E147" s="29">
        <v>1200</v>
      </c>
      <c r="F147" s="82">
        <v>0</v>
      </c>
      <c r="G147" s="82">
        <v>3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0</v>
      </c>
      <c r="K147" s="81">
        <f t="shared" si="29"/>
        <v>2157</v>
      </c>
      <c r="L147" s="28"/>
      <c r="M147" s="28"/>
      <c r="N147" s="28" t="s">
        <v>222</v>
      </c>
      <c r="O147" s="28"/>
      <c r="P147" s="28"/>
      <c r="Q147" s="28"/>
      <c r="R147" s="28"/>
      <c r="S147" s="28"/>
      <c r="T147" s="28"/>
    </row>
    <row r="148" spans="1:20" ht="15">
      <c r="A148" s="30" t="s">
        <v>622</v>
      </c>
      <c r="B148" s="30" t="s">
        <v>644</v>
      </c>
      <c r="C148" s="30" t="s">
        <v>120</v>
      </c>
      <c r="D148" s="31">
        <v>502</v>
      </c>
      <c r="E148" s="31">
        <v>850</v>
      </c>
      <c r="F148" s="85">
        <v>0</v>
      </c>
      <c r="G148" s="85">
        <v>3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0</v>
      </c>
      <c r="K148" s="84">
        <f t="shared" si="29"/>
        <v>1506</v>
      </c>
      <c r="L148" s="30"/>
      <c r="M148" s="30"/>
      <c r="N148" s="30" t="s">
        <v>222</v>
      </c>
      <c r="O148" s="30"/>
      <c r="P148" s="30"/>
      <c r="Q148" s="30"/>
      <c r="R148" s="30"/>
      <c r="S148" s="30"/>
      <c r="T148" s="30"/>
    </row>
    <row r="149" spans="1:20" ht="15">
      <c r="A149" s="28" t="s">
        <v>623</v>
      </c>
      <c r="B149" s="28" t="s">
        <v>641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624</v>
      </c>
      <c r="B150" s="30" t="s">
        <v>640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625</v>
      </c>
      <c r="B151" s="28" t="s">
        <v>626</v>
      </c>
      <c r="C151" s="28" t="s">
        <v>135</v>
      </c>
      <c r="D151" s="31">
        <v>645</v>
      </c>
      <c r="E151" s="31">
        <v>1099</v>
      </c>
      <c r="F151" s="85">
        <v>0</v>
      </c>
      <c r="G151" s="85">
        <v>4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0</v>
      </c>
      <c r="K151" s="84">
        <f t="shared" ref="K151:K152" si="32">IF(LEN(G151)=0,0,G151)*I151</f>
        <v>2580</v>
      </c>
      <c r="L151" s="28"/>
      <c r="M151" s="28"/>
      <c r="N151" s="28" t="s">
        <v>222</v>
      </c>
      <c r="O151" s="28" t="s">
        <v>628</v>
      </c>
      <c r="P151" s="28" t="s">
        <v>627</v>
      </c>
      <c r="Q151" s="28"/>
      <c r="R151" s="28"/>
      <c r="S151" s="28"/>
      <c r="T151" s="28"/>
    </row>
    <row r="152" spans="1:20" ht="15">
      <c r="A152" s="30" t="s">
        <v>629</v>
      </c>
      <c r="B152" s="30" t="s">
        <v>630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659</v>
      </c>
      <c r="M152" s="30"/>
      <c r="N152" s="30" t="s">
        <v>180</v>
      </c>
      <c r="O152" s="30" t="s">
        <v>660</v>
      </c>
      <c r="P152" s="30" t="s">
        <v>631</v>
      </c>
      <c r="Q152" s="30"/>
      <c r="R152" s="30"/>
      <c r="S152" s="30"/>
      <c r="T152" s="30"/>
    </row>
    <row r="153" spans="1:20" ht="15">
      <c r="A153" s="28" t="s">
        <v>652</v>
      </c>
      <c r="B153" s="28" t="s">
        <v>653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" si="34">F153*I153</f>
        <v>0</v>
      </c>
      <c r="K153" s="80">
        <f t="shared" ref="K153" si="35">IF(LEN(G153)=0,0,G153)*I153</f>
        <v>1783</v>
      </c>
      <c r="L153" s="28"/>
      <c r="M153" s="28"/>
      <c r="N153" s="28" t="s">
        <v>222</v>
      </c>
      <c r="O153" s="28"/>
      <c r="P153" s="28" t="s">
        <v>654</v>
      </c>
      <c r="Q153" s="28"/>
      <c r="R153" s="28"/>
      <c r="S153" s="28"/>
      <c r="T153" s="28"/>
    </row>
    <row r="154" spans="1:20">
      <c r="A154" s="30"/>
      <c r="B154" s="30"/>
      <c r="C154" s="30"/>
      <c r="D154" s="31"/>
      <c r="E154" s="31"/>
      <c r="F154" s="31"/>
      <c r="G154" s="31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</row>
    <row r="155" spans="1:20">
      <c r="A155" s="28"/>
      <c r="B155" s="28"/>
      <c r="C155" s="28"/>
      <c r="D155" s="29"/>
      <c r="E155" s="29"/>
      <c r="F155" s="29"/>
      <c r="G155" s="29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</row>
    <row r="156" spans="1:20">
      <c r="A156" s="30"/>
      <c r="B156" s="30"/>
      <c r="C156" s="30"/>
      <c r="D156" s="31"/>
      <c r="E156" s="31"/>
      <c r="F156" s="31"/>
      <c r="G156" s="31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</row>
    <row r="157" spans="1:20">
      <c r="A157" s="28"/>
      <c r="B157" s="28"/>
      <c r="C157" s="28"/>
      <c r="D157" s="29"/>
      <c r="E157" s="29"/>
      <c r="F157" s="29"/>
      <c r="G157" s="29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</row>
    <row r="158" spans="1:20">
      <c r="A158" s="30"/>
      <c r="B158" s="30"/>
      <c r="C158" s="30"/>
      <c r="D158" s="31"/>
      <c r="E158" s="31"/>
      <c r="F158" s="31"/>
      <c r="G158" s="31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</row>
    <row r="159" spans="1:20">
      <c r="A159" s="30"/>
      <c r="B159" s="30"/>
      <c r="C159" s="30"/>
      <c r="D159" s="31"/>
      <c r="E159" s="31"/>
      <c r="F159" s="31"/>
      <c r="G159" s="31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</row>
    <row r="160" spans="1:20">
      <c r="A160" s="28"/>
      <c r="B160" s="28"/>
      <c r="C160" s="28"/>
      <c r="D160" s="29"/>
      <c r="E160" s="29"/>
      <c r="F160" s="29"/>
      <c r="G160" s="29"/>
      <c r="H160" s="28"/>
      <c r="I160" s="28"/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</row>
    <row r="161" spans="1:20">
      <c r="A161" s="30"/>
      <c r="B161" s="30"/>
      <c r="C161" s="30"/>
      <c r="D161" s="31"/>
      <c r="E161" s="31"/>
      <c r="F161" s="31"/>
      <c r="G161" s="31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</row>
    <row r="162" spans="1:20">
      <c r="A162" s="28"/>
      <c r="B162" s="28"/>
      <c r="C162" s="28"/>
      <c r="D162" s="29"/>
      <c r="E162" s="29"/>
      <c r="F162" s="29"/>
      <c r="G162" s="29"/>
      <c r="H162" s="28"/>
      <c r="I162" s="28"/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</row>
    <row r="163" spans="1:20">
      <c r="A163" s="30"/>
      <c r="B163" s="30"/>
      <c r="C163" s="30"/>
      <c r="D163" s="31"/>
      <c r="E163" s="31"/>
      <c r="F163" s="31"/>
      <c r="G163" s="31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</row>
    <row r="164" spans="1:20">
      <c r="A164" s="28"/>
      <c r="B164" s="28"/>
      <c r="C164" s="28"/>
      <c r="D164" s="29"/>
      <c r="E164" s="29"/>
      <c r="F164" s="29"/>
      <c r="G164" s="29"/>
      <c r="H164" s="28"/>
      <c r="I164" s="28"/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</row>
    <row r="165" spans="1:20">
      <c r="A165" s="30"/>
      <c r="B165" s="30"/>
      <c r="C165" s="30"/>
      <c r="D165" s="31"/>
      <c r="E165" s="31"/>
      <c r="F165" s="31"/>
      <c r="G165" s="31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</row>
    <row r="166" spans="1:20">
      <c r="A166" s="28"/>
      <c r="B166" s="28"/>
      <c r="C166" s="28"/>
      <c r="D166" s="29"/>
      <c r="E166" s="29"/>
      <c r="F166" s="29"/>
      <c r="G166" s="29"/>
      <c r="H166" s="28"/>
      <c r="I166" s="28"/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30"/>
      <c r="B168" s="30"/>
      <c r="C168" s="30"/>
      <c r="D168" s="31"/>
      <c r="E168" s="31"/>
      <c r="F168" s="31"/>
      <c r="G168" s="31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</row>
    <row r="169" spans="1:20">
      <c r="A169" s="28"/>
      <c r="B169" s="28"/>
      <c r="C169" s="28"/>
      <c r="D169" s="29"/>
      <c r="E169" s="29"/>
      <c r="F169" s="29"/>
      <c r="G169" s="29"/>
      <c r="H169" s="28"/>
      <c r="I169" s="28"/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</row>
    <row r="170" spans="1:20">
      <c r="A170" s="30"/>
      <c r="B170" s="30"/>
      <c r="C170" s="30"/>
      <c r="D170" s="31"/>
      <c r="E170" s="31"/>
      <c r="F170" s="31"/>
      <c r="G170" s="31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</row>
    <row r="171" spans="1:20">
      <c r="A171" s="28"/>
      <c r="B171" s="28"/>
      <c r="C171" s="28"/>
      <c r="D171" s="29"/>
      <c r="E171" s="29"/>
      <c r="F171" s="29"/>
      <c r="G171" s="29"/>
      <c r="H171" s="28"/>
      <c r="I171" s="28"/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</row>
    <row r="172" spans="1:20">
      <c r="A172" s="30"/>
      <c r="B172" s="30"/>
      <c r="C172" s="30"/>
      <c r="D172" s="31"/>
      <c r="E172" s="31"/>
      <c r="F172" s="31"/>
      <c r="G172" s="31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</row>
    <row r="173" spans="1:20">
      <c r="A173" s="28"/>
      <c r="B173" s="28"/>
      <c r="C173" s="28"/>
      <c r="D173" s="29"/>
      <c r="E173" s="29"/>
      <c r="F173" s="29"/>
      <c r="G173" s="29"/>
      <c r="H173" s="28"/>
      <c r="I173" s="28"/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</row>
    <row r="174" spans="1:20">
      <c r="A174" s="30"/>
      <c r="B174" s="30"/>
      <c r="C174" s="30"/>
      <c r="D174" s="31"/>
      <c r="E174" s="31"/>
      <c r="F174" s="31"/>
      <c r="G174" s="31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</row>
    <row r="175" spans="1:20">
      <c r="A175" s="28"/>
      <c r="B175" s="28"/>
      <c r="C175" s="28"/>
      <c r="D175" s="29"/>
      <c r="E175" s="29"/>
      <c r="F175" s="29"/>
      <c r="G175" s="29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</row>
    <row r="176" spans="1:20">
      <c r="A176" s="30"/>
      <c r="B176" s="30"/>
      <c r="C176" s="30"/>
      <c r="D176" s="31"/>
      <c r="E176" s="31"/>
      <c r="F176" s="31"/>
      <c r="G176" s="31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</row>
  </sheetData>
  <phoneticPr fontId="13" type="noConversion"/>
  <dataValidations count="1">
    <dataValidation type="list" allowBlank="1" showInputMessage="1" showErrorMessage="1" sqref="N2:N990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G22" sqref="G22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97424</v>
      </c>
      <c r="C8" s="6">
        <f>SUM($B$8:$B$10)/3</f>
        <v>85706.333333333328</v>
      </c>
      <c r="D8" s="6">
        <f>B8-C8</f>
        <v>11717.666666666672</v>
      </c>
      <c r="E8" s="6">
        <f>IF(Summary!$B$6&gt;0, Summary!$B$6*VLOOKUP($A8,$A$3:$B$5,2,FALSE),0)</f>
        <v>0</v>
      </c>
      <c r="F8" s="6">
        <f>D8+E8</f>
        <v>11717.666666666672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13314</v>
      </c>
      <c r="H8" s="8">
        <f>F8-G8</f>
        <v>-1596.3333333333285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85706.333333333328</v>
      </c>
      <c r="D9" s="7">
        <f>B9-C9</f>
        <v>48475.666666666672</v>
      </c>
      <c r="E9" s="7">
        <f>IF(Summary!$B$6&gt;0, Summary!$B$6*VLOOKUP($A9,$A$3:$B$5,2,FALSE),0)</f>
        <v>0</v>
      </c>
      <c r="F9" s="7">
        <f>D9+E9</f>
        <v>48475.666666666672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46572.66</v>
      </c>
      <c r="H9" s="9">
        <f>F9-G9</f>
        <v>1903.006666666668</v>
      </c>
    </row>
    <row r="10" spans="1:8">
      <c r="A10" s="6" t="s">
        <v>48</v>
      </c>
      <c r="B10" s="6">
        <f>IFERROR(SUMIF(Purchases!$B:$B,$A10,Purchases!$C:$C),0)</f>
        <v>25513</v>
      </c>
      <c r="C10" s="6">
        <f>SUM($B$8:$B$10)/3</f>
        <v>85706.333333333328</v>
      </c>
      <c r="D10" s="6">
        <f>B10-C10</f>
        <v>-60193.333333333328</v>
      </c>
      <c r="E10" s="6">
        <f>IF(Summary!$B$6&gt;0, Summary!$B$6*VLOOKUP($A10,$A$3:$B$5,2,FALSE),0)</f>
        <v>0</v>
      </c>
      <c r="F10" s="6">
        <f>D10+E10</f>
        <v>-60193.333333333328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-59886.66</v>
      </c>
      <c r="H10" s="8">
        <f>F10-G10</f>
        <v>-306.67333333332499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6"/>
      <c r="B26" s="6"/>
      <c r="C26" s="6"/>
      <c r="D26" s="6"/>
      <c r="E26" s="6"/>
      <c r="F26" s="6"/>
    </row>
    <row r="27" spans="1:6">
      <c r="A27" s="7"/>
      <c r="B27" s="7"/>
      <c r="C27" s="7"/>
      <c r="D27" s="7"/>
      <c r="E27" s="7"/>
      <c r="F27" s="7"/>
    </row>
    <row r="28" spans="1:6">
      <c r="A28" s="6"/>
      <c r="B28" s="6"/>
      <c r="C28" s="6"/>
      <c r="D28" s="6"/>
      <c r="E28" s="6"/>
      <c r="F28" s="6"/>
    </row>
    <row r="29" spans="1:6">
      <c r="A29" s="7"/>
      <c r="B29" s="7"/>
      <c r="C29" s="7"/>
      <c r="D29" s="7"/>
      <c r="E29" s="7"/>
      <c r="F29" s="7"/>
    </row>
    <row r="30" spans="1:6">
      <c r="A30" s="6"/>
      <c r="B30" s="6"/>
      <c r="C30" s="6"/>
      <c r="D30" s="6"/>
      <c r="E30" s="6"/>
      <c r="F30" s="6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sqref="A1:XFD1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204255</v>
      </c>
      <c r="C4" s="6">
        <f>VLOOKUP($A4,PartnerShares!$A$3:$B$5,2,FALSE)</f>
        <v>0.33339999999999997</v>
      </c>
      <c r="D4" s="6">
        <f>Summary!$B$4*C4</f>
        <v>74482.893599999996</v>
      </c>
      <c r="E4" s="6">
        <f>B4-D4</f>
        <v>129772.1064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-124053.476</v>
      </c>
      <c r="G4" s="8">
        <f>E4+F4</f>
        <v>5718.6304000000091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74438.212799999994</v>
      </c>
      <c r="E5" s="7">
        <f>B5-D5</f>
        <v>-67819.212799999994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64960.952000000005</v>
      </c>
      <c r="G5" s="9">
        <f>E5+F5</f>
        <v>-2858.2607999999891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74482.893599999996</v>
      </c>
      <c r="E6" s="6">
        <f>B6-D6</f>
        <v>-61952.893599999996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59092.524000000005</v>
      </c>
      <c r="G6" s="8">
        <f>E6+F6</f>
        <v>-2860.3695999999909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2026-02-25T03:38:42Z</dcterms:modified>
</cp:coreProperties>
</file>