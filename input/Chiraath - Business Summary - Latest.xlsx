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chiraath-dashboard-project/input/"/>
    </mc:Choice>
  </mc:AlternateContent>
  <xr:revisionPtr revIDLastSave="0" documentId="13_ncr:1_{AF285722-FDA5-AE41-88A0-C278D208454A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J155" i="5"/>
  <c r="K155" i="5"/>
  <c r="H156" i="5"/>
  <c r="I156" i="5"/>
  <c r="J156" i="5" s="1"/>
  <c r="K156" i="5"/>
  <c r="H157" i="5"/>
  <c r="I157" i="5"/>
  <c r="J157" i="5"/>
  <c r="K157" i="5"/>
  <c r="H158" i="5"/>
  <c r="I158" i="5"/>
  <c r="J158" i="5" s="1"/>
  <c r="H159" i="5"/>
  <c r="I159" i="5"/>
  <c r="J159" i="5" s="1"/>
  <c r="K159" i="5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8" i="5" l="1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<sst xmlns="http://schemas.openxmlformats.org/spreadsheetml/2006/main" count="1838" uniqueCount="739">
  <si>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</si>
  <si>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</si>
  <si>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</si>
  <si>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</si>
  <si>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</si>
  <si>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</si>
  <si>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</si>
  <si>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</si>
  <si>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</si>
  <si>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</si>
  <si>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</si>
  <si>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</si>
  <si>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</si>
  <si>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</si>
  <si>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</si>
  <si>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</si>
  <si>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</si>
  <si>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</si>
  <si>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</si>
  <si>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</si>
  <si>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</si>
  <si>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</si>
  <si>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</si>
  <si>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</si>
  <si>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</si>
  <si>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</si>
  <si>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</si>
  <si>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</si>
  <si>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</si>
  <si>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</si>
  <si>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</si>
  <si>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</si>
  <si>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</si>
  <si>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</si>
  <si>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</si>
  <si>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</si>
  <si>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</si>
  <si>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</si>
  <si>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</si>
  <si>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</si>
  <si>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</si>
  <si>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</si>
  <si>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</si>
  <si>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</si>
  <si>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</si>
  <si>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</si>
  <si>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</si>
  <si>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</si>
  <si>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</si>
  <si>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</si>
  <si>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</si>
  <si>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</si>
  <si>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</si>
  <si>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</si>
  <si>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</si>
  <si>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</si>
  <si>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</si>
  <si>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</si>
  <si>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</si>
  <si>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</si>
  <si>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</si>
  <si>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</si>
  <si>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</si>
  <si>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</si>
  <si>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</si>
  <si>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</si>
  <si>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</si>
  <si>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</si>
  <si>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</si>
  <si>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</si>
  <si>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</si>
  <si>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</si>
  <si>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</si>
  <si>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</si>
  <si>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</si>
  <si>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</si>
  <si>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</si>
  <si>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</si>
  <si>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</si>
  <si>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</si>
  <si>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</si>
  <si>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</si>
  <si>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</si>
  <si>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</si>
  <si>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</si>
  <si>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</si>
  <si>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</si>
  <si>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</si>
  <si>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</si>
  <si>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</si>
  <si>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</si>
  <si>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</si>
  <si>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</si>
  <si>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</si>
  <si>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</si>
  <si>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</si>
  <si>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</si>
  <si>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</si>
  <si>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</si>
  <si>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</si>
  <si>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</si>
  <si>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</si>
  <si>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</si>
  <si>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</si>
  <si>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</si>
  <si>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</si>
  <si>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</si>
  <si>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</si>
  <si>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</si>
  <si>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</si>
  <si>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</si>
  <si>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</si>
  <si>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</si>
  <si>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</si>
  <si>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</si>
  <si>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</si>
  <si>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</si>
  <si>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</si>
  <si>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</si>
  <si>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</si>
  <si>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</si>
  <si>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</si>
  <si>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</si>
  <si>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</si>
  <si>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</si>
  <si>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</si>
  <si>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</si>
  <si>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</si>
  <si>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</si>
  <si>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</si>
  <si>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</si>
  <si>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</si>
  <si>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</si>
  <si>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</si>
  <si>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</si>
  <si>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</si>
  <si>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</si>
  <si>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</si>
  <si>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</si>
  <si>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</si>
  <si>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</si>
  <si>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</si>
  <si>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</si>
  <si>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</si>
  <si>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</si>
  <si>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</si>
  <si>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</si>
  <si>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</si>
  <si>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</si>
  <si>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</si>
  <si>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</si>
  <si>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</si>
  <si>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</si>
  <si>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</si>
  <si>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</si>
  <si>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</si>
  <si>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</si>
  <si>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</si>
  <si>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</si>
  <si>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</si>
  <si>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</si>
  <si>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</si>
  <si>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</si>
  <si>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</si>
  <si>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</si>
  <si>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</si>
  <si>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</si>
  <si>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</si>
  <si>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</si>
  <si>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</si>
  <si>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</si>
  <si>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</si>
  <si>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</si>
  <si>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</si>
  <si>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</si>
  <si>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</si>
  <si>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</si>
  <si>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</si>
  <si>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</si>
  <si>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</si>
  <si>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</si>
  <si>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</si>
  <si>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</si>
  <si>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</si>
  <si>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</si>
  <si>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</si>
  <si>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</si>
  <si>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</si>
  <si>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</si>
  <si>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</si>
  <si>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</si>
  <si>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</si>
  <si>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</si>
  <si>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</si>
  <si>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</si>
  <si>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</si>
  <si>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</si>
  <si>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</si>
  <si>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</si>
  <si>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</si>
  <si>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</si>
  <si>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</si>
  <si>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</si>
  <si>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</si>
  <si>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</si>
  <si>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</si>
  <si>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</si>
  <si>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</si>
  <si>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</si>
  <si>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</si>
  <si>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</si>
  <si>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</si>
  <si>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</si>
  <si>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</si>
  <si>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</si>
  <si>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</si>
  <si>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</si>
  <si>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</si>
  <si>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</si>
  <si>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</si>
  <si>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</si>
  <si>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</si>
  <si>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</si>
  <si>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</si>
  <si>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</si>
  <si>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</si>
  <si>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</si>
  <si>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</si>
  <si>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</si>
  <si>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</si>
  <si>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</si>
  <si>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</si>
  <si>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</si>
  <si>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</si>
  <si>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</si>
  <si>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</si>
  <si>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</si>
  <si>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</si>
  <si>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</si>
  <si>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</si>
  <si>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</si>
  <si>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</si>
  <si>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</si>
  <si>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</si>
  <si>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</si>
  <si>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</si>
  <si>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</si>
  <si>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</si>
  <si>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</si>
  <si>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</si>
  <si>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</si>
  <si>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</si>
  <si>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</si>
  <si>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</si>
  <si>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</si>
  <si>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</si>
  <si>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</si>
  <si>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</si>
  <si>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</si>
  <si>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</si>
  <si>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</si>
  <si>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</si>
  <si>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</si>
  <si>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</si>
  <si>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</si>
  <si>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</si>
  <si>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</si>
  <si>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</si>
  <si>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</si>
  <si>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</si>
  <si>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</si>
  <si>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</si>
  <si>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</si>
  <si>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</si>
  <si>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</si>
  <si>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</si>
  <si>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</si>
  <si>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</si>
  <si>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</si>
  <si>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</si>
  <si>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</si>
  <si>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</si>
  <si>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</si>
  <si>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</si>
  <si>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</si>
  <si>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</si>
  <si>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</si>
  <si>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</si>
  <si>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</si>
  <si>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</si>
  <si>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</si>
  <si>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</si>
  <si>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</si>
  <si>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</si>
  <si>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</si>
  <si>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</si>
  <si>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</si>
  <si>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</si>
  <si>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</si>
  <si>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</si>
  <si>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</si>
  <si>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</si>
  <si>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</si>
  <si>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</si>
  <si>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</si>
  <si>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</si>
  <si>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</si>
  <si>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</si>
  <si>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</si>
  <si>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</si>
  <si>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</si>
  <si>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</si>
  <si>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</si>
  <si>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</si>
  <si>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</si>
  <si>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</si>
  <si>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</si>
  <si>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</si>
  <si>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</si>
  <si>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</si>
  <si>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</si>
  <si>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</si>
  <si>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</si>
  <si>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</si>
  <si>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</si>
  <si>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</si>
  <si>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</si>
  <si>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</si>
  <si>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</si>
  <si>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</si>
  <si>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</si>
  <si>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</si>
  <si>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</si>
  <si>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</si>
  <si>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</si>
  <si>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</si>
  <si>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</si>
  <si>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</si>
  <si>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</si>
  <si>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</si>
  <si>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</si>
  <si>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</si>
  <si>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</si>
  <si>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</si>
  <si>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</si>
  <si>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</si>
  <si>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</si>
  <si>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</si>
  <si>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</si>
  <si>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</si>
  <si>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</si>
  <si>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</si>
  <si>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</si>
  <si>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</si>
  <si>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</si>
  <si>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</si>
  <si>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</si>
  <si>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</si>
  <si>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</si>
  <si>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</si>
  <si>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</si>
  <si>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</si>
  <si>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</si>
  <si>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</si>
  <si>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</si>
  <si>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</si>
  <si>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</si>
  <si>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</si>
  <si>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</si>
  <si>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</si>
  <si>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</si>
  <si>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</si>
  <si>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</si>
  <si>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</si>
  <si>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</si>
  <si>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</si>
  <si>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</si>
  <si>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</si>
  <si>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</si>
  <si>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</si>
  <si>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</si>
  <si>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</si>
  <si>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</si>
  <si>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</si>
  <si>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</si>
  <si>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</si>
  <si>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</si>
  <si>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</si>
  <si>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</si>
  <si>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</si>
  <si>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</si>
  <si>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</si>
  <si>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</si>
  <si>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</si>
  <si>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</si>
  <si>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</si>
  <si>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</si>
  <si>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</si>
  <si>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</si>
  <si>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</si>
  <si>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</si>
  <si>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</si>
  <si>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</si>
  <si>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</si>
  <si>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</si>
  <si>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</si>
  <si>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</si>
  <si>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</si>
  <si>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</si>
  <si>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</si>
  <si>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</si>
  <si>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</si>
  <si>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</si>
  <si>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</si>
  <si>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</si>
  <si>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</si>
  <si>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</si>
  <si>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</si>
  <si>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</si>
  <si>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</si>
  <si>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</si>
  <si>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</si>
  <si>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</si>
  <si>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</si>
  <si>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</si>
  <si>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</si>
  <si>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</si>
  <si>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</si>
  <si>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</si>
  <si>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</si>
  <si>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</si>
  <si>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</si>
  <si>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</si>
  <si>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</si>
  <si>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</si>
  <si>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</si>
  <si>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</si>
  <si>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</si>
  <si>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</si>
  <si>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</si>
  <si>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</si>
  <si>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</si>
  <si>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</si>
  <si>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</si>
  <si>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</si>
  <si>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</si>
  <si>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</si>
  <si>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</si>
  <si>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</si>
  <si>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</si>
  <si>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</si>
  <si>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</si>
  <si>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</si>
  <si>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</si>
  <si>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</si>
  <si>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</si>
  <si>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</si>
  <si>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</si>
  <si>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</si>
  <si>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</si>
  <si>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</si>
  <si>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</si>
  <si>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</si>
  <si>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</si>
  <si>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</si>
  <si>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</si>
  <si>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</si>
  <si>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</si>
  <si>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</si>
  <si>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</si>
  <si>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</si>
  <si>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</si>
  <si>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</si>
  <si>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</si>
  <si>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</si>
  <si>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</si>
  <si>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</si>
  <si>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</si>
  <si>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</si>
  <si>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</si>
  <si>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</si>
  <si>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</si>
  <si>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</si>
  <si>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</si>
  <si>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</si>
  <si>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</si>
  <si>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</si>
  <si>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</si>
  <si>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</si>
  <si>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</si>
  <si>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</si>
  <si>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</si>
  <si>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</si>
  <si>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</si>
  <si>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</si>
  <si>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</si>
  <si>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</si>
  <si>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</si>
  <si>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</si>
  <si>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</si>
  <si>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</si>
  <si>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</si>
  <si>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</si>
  <si>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</si>
  <si>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</si>
  <si>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</si>
  <si>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</si>
  <si>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</si>
  <si>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</si>
  <si>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</si>
  <si>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</si>
  <si>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</si>
  <si>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</si>
  <si>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</si>
  <si>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</si>
  <si>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</si>
  <si>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</si>
  <si>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</si>
  <si>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</si>
  <si>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</si>
  <si>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</si>
  <si>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</si>
  <si>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</si>
  <si>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</si>
  <si>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</si>
  <si>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</si>
  <si>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</si>
  <si>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</si>
  <si>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</si>
  <si>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</si>
  <si>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</si>
  <si>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</si>
  <si>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</si>
  <si>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</si>
  <si>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</si>
  <si>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</si>
  <si>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</si>
  <si>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</si>
  <si>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</si>
  <si>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</si>
  <si>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</si>
  <si>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</si>
  <si>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</si>
  <si>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</si>
  <si>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</si>
  <si>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</si>
  <si>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</si>
  <si>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</si>
  <si>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</si>
  <si>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</si>
  <si>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</si>
  <si>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</si>
  <si>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</si>
  <si>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</si>
  <si>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</si>
  <si>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</si>
  <si>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</si>
  <si>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</si>
  <si>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</si>
  <si>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</si>
  <si>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</si>
  <si>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</si>
  <si>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</si>
  <si>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</si>
  <si>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</si>
  <si>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</si>
  <si>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</si>
  <si>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</si>
  <si>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</si>
  <si>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</si>
  <si>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</si>
  <si>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</si>
  <si>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</si>
  <si>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</si>
  <si>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</si>
  <si>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</si>
  <si>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</si>
  <si>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</si>
  <si>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</si>
  <si>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</si>
  <si>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</si>
  <si>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</si>
  <si>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</si>
  <si>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</si>
  <si>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</si>
  <si>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</si>
  <si>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</si>
  <si>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</si>
  <si>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</si>
  <si>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</si>
  <si>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</si>
  <si>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</si>
  <si>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</si>
  <si>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</si>
  <si>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</si>
  <si>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</si>
  <si>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</si>
  <si>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</si>
  <si>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</si>
  <si>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</si>
  <si>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</si>
  <si>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</si>
  <si>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</si>
  <si>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</si>
  <si>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</si>
  <si>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</si>
  <si>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</si>
  <si>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</si>
  <si>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</si>
  <si>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</si>
  <si>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</si>
  <si>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</si>
  <si>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</si>
  <si>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</si>
  <si>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</si>
  <si>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</si>
  <si>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</si>
  <si>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</si>
  <si>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</si>
  <si>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</si>
  <si>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</si>
  <si>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</si>
  <si>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</si>
  <si>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</si>
  <si>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</si>
  <si>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</si>
  <si>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</si>
  <si>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</si>
  <si>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</si>
  <si>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</si>
  <si>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</si>
  <si>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</si>
  <si>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</si>
  <si>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</si>
  <si>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</si>
  <si>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</si>
  <si>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</si>
  <si>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</si>
  <si>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</si>
  <si>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</si>
  <si>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</si>
  <si>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</si>
  <si>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</si>
  <si>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</si>
  <si>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</si>
  <si>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</si>
  <si>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</si>
  <si>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</si>
  <si>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</si>
  <si>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</si>
  <si>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</si>
  <si>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</si>
  <si>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</si>
  <si>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</si>
  <si>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</si>
  <si>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</si>
  <si>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</si>
  <si>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</si>
  <si>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</si>
  <si>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</si>
  <si>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</si>
  <si>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</si>
  <si>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</si>
  <si>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</si>
  <si>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</si>
  <si>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</si>
  <si>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</si>
  <si>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</si>
  <si>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</si>
  <si>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</si>
  <si>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</si>
  <si>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</si>
  <si>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</si>
  <si>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</si>
  <si>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</si>
  <si>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</si>
  <si>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</si>
  <si>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</si>
  <si>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</si>
  <si>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</si>
  <si>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</si>
  <si>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</si>
  <si>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</si>
  <si>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</si>
  <si>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</si>
  <si>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</si>
  <si>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</si>
  <si>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</si>
  <si>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</si>
  <si>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</si>
  <si>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</si>
  <si>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</si>
  <si>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</si>
  <si>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</si>
  <si>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</si>
  <si>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</si>
  <si>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</si>
  <si>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</si>
  <si>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</si>
  <si>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</si>
  <si>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</si>
  <si>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</si>
  <si>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</si>
  <si>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</si>
  <si>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</si>
  <si>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</si>
  <si>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</si>
  <si>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</si>
  <si>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</si>
  <si>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</si>
  <si>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</si>
  <si>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</si>
  <si>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</si>
  <si>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</si>
  <si>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</si>
  <si>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</si>
  <si>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</si>
  <si>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</si>
  <si>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</si>
  <si>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</si>
  <si>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</si>
  <si>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</si>
  <si>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</si>
  <si>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</si>
  <si>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</si>
  <si>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</si>
  <si>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</si>
  <si>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</si>
  <si>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</si>
  <si>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</si>
  <si>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</si>
  <si>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</si>
  <si>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 xml:space="preserve">Ivory &amp; black printed cotton 3-piece salwar set | M-XL </t>
  </si>
  <si>
    <t>Dark brown embroidered cotton 3-piece salwar set | M-XL</t>
  </si>
  <si>
    <t>Black cotton 3-piece salwar set with printed dupatta | M-XXL</t>
  </si>
  <si>
    <t>Off-white cotton 2-piece set with blue floral prints | M, L, XL, XXL</t>
  </si>
  <si>
    <t>Off-white printed 2-piece kurti set with multicolor pattern | M-XXXL</t>
  </si>
  <si>
    <t>Olive green cotton 2-piece kurti set with floral prints | M-XXXL</t>
  </si>
  <si>
    <t>XL, XXL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</si>
</sst>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20082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8798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-11284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185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74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70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71771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277201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239362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-42489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5131.6666666666715</v>
      </c>
      <c r="C10" s="6"/>
    </row>
    <row r="11" spans="1:6">
      <c r="A11" s="7" t="s">
        <v>47</v>
      </c>
      <c r="B11" s="53">
        <f>PartnerShares!H9</f>
        <v>-4790.993333333332</v>
      </c>
      <c r="C11" s="7"/>
    </row>
    <row r="12" spans="1:6">
      <c r="A12" s="6" t="s">
        <v>48</v>
      </c>
      <c r="B12" s="52">
        <f>PartnerShares!H10</f>
        <v>-340.67333333332499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92400.333333333328</v>
      </c>
      <c r="D18" s="6">
        <f>PartnerShares!D8</f>
        <v>18445.666666666672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5131.6666666666715</v>
      </c>
      <c r="G18" s="73" t="s">
        <v>670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92400.333333333328</v>
      </c>
      <c r="D19" s="7">
        <f>PartnerShares!D9</f>
        <v>41781.666666666672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-4790.993333333332</v>
      </c>
      <c r="G19" s="71" t="s">
        <v>669</v>
      </c>
    </row>
    <row r="20" spans="1:7">
      <c r="A20" s="6" t="str">
        <f>PartnerShares!A10</f>
        <v>Rameez</v>
      </c>
      <c r="B20" s="6">
        <f>PartnerShares!B10</f>
        <v>32173</v>
      </c>
      <c r="C20" s="6">
        <f>PartnerShares!C10</f>
        <v>92400.333333333328</v>
      </c>
      <c r="D20" s="6">
        <f>PartnerShares!D10</f>
        <v>-60227.333333333328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-340.67333333332499</v>
      </c>
      <c r="G20" s="71" t="s">
        <v>669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-124053.476</v>
      </c>
      <c r="F26" s="8">
        <f>'Cash Pool'!G4</f>
        <v>13256.543200000015</v>
      </c>
      <c r="G26" s="71" t="s">
        <v>669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64960.952000000005</v>
      </c>
      <c r="F27" s="9">
        <f>'Cash Pool'!G5</f>
        <v>-6626.0864000000001</v>
      </c>
      <c r="G27" s="72" t="s">
        <v>670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59092.524000000005</v>
      </c>
      <c r="F28" s="8">
        <f>'Cash Pool'!G6</f>
        <v>-6630.4567999999854</v>
      </c>
      <c r="G28" s="73" t="s">
        <v>670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46092</v>
      </c>
    </row>
    <row r="5" spans="1:8">
      <c r="A5" s="14" t="s">
        <v>38</v>
      </c>
      <c r="B5" s="15">
        <f>Summary!B3</f>
        <v>277201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-42489</v>
      </c>
      <c r="D6" s="14" t="s">
        <v>62</v>
      </c>
      <c r="E6" s="15">
        <f>SUMIFS(INVENTORY!K:K, INVENTORY!N:N, "&lt;&gt;Sold Out")</f>
        <v>112409.68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185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124</v>
      </c>
    </row>
    <row r="12" spans="1:8">
      <c r="A12" s="17" t="s">
        <v>73</v>
      </c>
      <c r="B12" s="15">
        <f>IFERROR(SUMPRODUCT((TEXT(Purchases!$A$2:$A$998,"MMM")=$A12)*Purchases!$C$2:$C$998),0)</f>
        <v>20082</v>
      </c>
      <c r="C12" s="15">
        <f>IFERROR(SUMPRODUCT((TEXT(Sales!$A$2:$A$998,"MMM")=$A12)*Sales!$C$2:$C$998),0)</f>
        <v>8798</v>
      </c>
      <c r="D12" s="15">
        <f t="shared" si="0"/>
        <v>-11284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SUMPRODUCT((INVENTORY!$C$2:$C$478=J47)*(INVENTORY!$D$2:$D$478)*(INVENTORY!$G$2:$G$478))</f>
        <v>71771</v>
      </c>
    </row>
    <row r="48" spans="6:11">
      <c r="F48" s="75" t="s">
        <v>135</v>
      </c>
      <c r="G48" s="76">
        <f>SUMIF(INVENTORY!C:C, F48, INVENTORY!F:F)</f>
        <v>74</v>
      </c>
      <c r="H48" s="76">
        <f>SUMIF(INVENTORY!C:C, F48, INVENTORY!G:G)</f>
        <v>70</v>
      </c>
      <c r="J48" s="76" t="s">
        <v>120</v>
      </c>
      <c r="K48" s="77" cm="1">
        <f t="array" ref="K48">SUMPRODUCT((INVENTORY!$C$2:$C$478=J48)*(INVENTORY!$D$2:$D$478)*(INVENTORY!$G$2:$G$478))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6" sqref="D56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556</v>
      </c>
    </row>
    <row r="38" spans="1:5">
      <c r="A38" s="41">
        <v>46031</v>
      </c>
      <c r="B38" s="39" t="s">
        <v>48</v>
      </c>
      <c r="C38" s="40">
        <v>1330</v>
      </c>
      <c r="D38" s="39" t="s">
        <v>557</v>
      </c>
    </row>
    <row r="39" spans="1:5">
      <c r="A39" s="36">
        <v>46035</v>
      </c>
      <c r="B39" s="37" t="s">
        <v>46</v>
      </c>
      <c r="C39" s="38">
        <v>5940</v>
      </c>
      <c r="D39" s="37" t="s">
        <v>570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570</v>
      </c>
    </row>
    <row r="43" spans="1:5">
      <c r="A43" s="36">
        <v>46045</v>
      </c>
      <c r="B43" s="37" t="s">
        <v>46</v>
      </c>
      <c r="C43" s="38">
        <v>1370</v>
      </c>
      <c r="D43" s="37" t="s">
        <v>614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615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664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693</v>
      </c>
    </row>
    <row r="50" spans="1:4">
      <c r="A50" s="41">
        <v>46087</v>
      </c>
      <c r="B50" s="39" t="s">
        <v>46</v>
      </c>
      <c r="C50" s="40">
        <v>6328</v>
      </c>
      <c r="D50" s="39" t="s">
        <v>700</v>
      </c>
    </row>
    <row r="51" spans="1:4">
      <c r="A51" s="36">
        <v>46087</v>
      </c>
      <c r="B51" s="37" t="s">
        <v>48</v>
      </c>
      <c r="C51" s="38">
        <v>3164</v>
      </c>
      <c r="D51" s="37" t="s">
        <v>700</v>
      </c>
    </row>
    <row r="52" spans="1:4">
      <c r="A52" s="41">
        <v>46090</v>
      </c>
      <c r="B52" s="39" t="s">
        <v>46</v>
      </c>
      <c r="C52" s="40">
        <v>100</v>
      </c>
      <c r="D52" s="39" t="s">
        <v>340</v>
      </c>
    </row>
    <row r="53" spans="1:4">
      <c r="A53" s="36">
        <v>46091</v>
      </c>
      <c r="B53" s="37" t="s">
        <v>46</v>
      </c>
      <c r="C53" s="38">
        <v>1400</v>
      </c>
      <c r="D53" s="37" t="s">
        <v>614</v>
      </c>
    </row>
    <row r="54" spans="1:4">
      <c r="A54" s="41">
        <v>46091</v>
      </c>
      <c r="B54" s="39" t="s">
        <v>48</v>
      </c>
      <c r="C54" s="40">
        <v>700</v>
      </c>
      <c r="D54" s="39" t="s">
        <v>614</v>
      </c>
    </row>
    <row r="55" spans="1:4">
      <c r="A55" s="36">
        <v>46092</v>
      </c>
      <c r="B55" s="37" t="s">
        <v>46</v>
      </c>
      <c r="C55" s="38">
        <v>5594</v>
      </c>
      <c r="D55" s="37" t="s">
        <v>700</v>
      </c>
    </row>
    <row r="56" spans="1:4">
      <c r="A56" s="41">
        <v>46092</v>
      </c>
      <c r="B56" s="39" t="s">
        <v>48</v>
      </c>
      <c r="C56" s="40">
        <v>2796</v>
      </c>
      <c r="D56" s="39" t="s">
        <v>700</v>
      </c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3" sqref="J133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539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540</v>
      </c>
      <c r="I81" s="50" t="s">
        <v>276</v>
      </c>
    </row>
    <row r="82" spans="1:9" ht="16">
      <c r="A82" s="46">
        <v>46024</v>
      </c>
      <c r="B82" s="47" t="s">
        <v>541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542</v>
      </c>
      <c r="I82" s="47" t="s">
        <v>276</v>
      </c>
    </row>
    <row r="83" spans="1:9">
      <c r="A83" s="43">
        <v>46024</v>
      </c>
      <c r="B83" s="50" t="s">
        <v>543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544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545</v>
      </c>
      <c r="I84" s="47" t="s">
        <v>276</v>
      </c>
    </row>
    <row r="85" spans="1:9">
      <c r="A85" s="43">
        <v>46027</v>
      </c>
      <c r="B85" s="50" t="s">
        <v>547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548</v>
      </c>
      <c r="I85" s="50" t="s">
        <v>276</v>
      </c>
    </row>
    <row r="86" spans="1:9">
      <c r="A86" s="43">
        <v>46028</v>
      </c>
      <c r="B86" s="50" t="s">
        <v>558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550</v>
      </c>
      <c r="I86" s="50" t="s">
        <v>276</v>
      </c>
    </row>
    <row r="87" spans="1:9" ht="16">
      <c r="A87" s="46">
        <v>46029</v>
      </c>
      <c r="B87" s="47" t="s">
        <v>560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559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561</v>
      </c>
      <c r="I88" s="50" t="s">
        <v>276</v>
      </c>
    </row>
    <row r="89" spans="1:9" ht="16">
      <c r="A89" s="46">
        <v>46033</v>
      </c>
      <c r="B89" s="47" t="s">
        <v>562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563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561</v>
      </c>
      <c r="I90" s="50" t="s">
        <v>276</v>
      </c>
    </row>
    <row r="91" spans="1:9" ht="16">
      <c r="A91" s="46">
        <v>46034</v>
      </c>
      <c r="B91" s="47" t="s">
        <v>564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561</v>
      </c>
      <c r="I91" s="47" t="s">
        <v>276</v>
      </c>
    </row>
    <row r="92" spans="1:9">
      <c r="A92" s="43">
        <v>46034</v>
      </c>
      <c r="B92" s="50" t="s">
        <v>565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566</v>
      </c>
      <c r="I92" s="50" t="s">
        <v>276</v>
      </c>
    </row>
    <row r="93" spans="1:9" ht="16">
      <c r="A93" s="46">
        <v>46035</v>
      </c>
      <c r="B93" s="47" t="s">
        <v>569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572</v>
      </c>
      <c r="I93" s="47" t="s">
        <v>276</v>
      </c>
    </row>
    <row r="94" spans="1:9">
      <c r="A94" s="43">
        <v>46036</v>
      </c>
      <c r="B94" s="50" t="s">
        <v>571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573</v>
      </c>
      <c r="I94" s="50" t="s">
        <v>276</v>
      </c>
    </row>
    <row r="95" spans="1:9" ht="16">
      <c r="A95" s="46">
        <v>46038</v>
      </c>
      <c r="B95" s="47" t="s">
        <v>597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561</v>
      </c>
      <c r="I95" s="47" t="s">
        <v>276</v>
      </c>
    </row>
    <row r="96" spans="1:9">
      <c r="A96" s="43">
        <v>46038</v>
      </c>
      <c r="B96" s="50" t="s">
        <v>555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587</v>
      </c>
      <c r="I96" s="50" t="s">
        <v>276</v>
      </c>
    </row>
    <row r="97" spans="1:9" ht="16">
      <c r="A97" s="46">
        <v>46039</v>
      </c>
      <c r="B97" s="47" t="s">
        <v>590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591</v>
      </c>
      <c r="I97" s="47" t="s">
        <v>276</v>
      </c>
    </row>
    <row r="98" spans="1:9">
      <c r="A98" s="43">
        <v>46040</v>
      </c>
      <c r="B98" s="50" t="s">
        <v>595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596</v>
      </c>
      <c r="I98" s="50" t="s">
        <v>276</v>
      </c>
    </row>
    <row r="99" spans="1:9" ht="16">
      <c r="A99" s="46">
        <v>46041</v>
      </c>
      <c r="B99" s="47" t="s">
        <v>604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561</v>
      </c>
      <c r="I99" s="47" t="s">
        <v>276</v>
      </c>
    </row>
    <row r="100" spans="1:9">
      <c r="A100" s="43">
        <v>46042</v>
      </c>
      <c r="B100" s="50" t="s">
        <v>606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607</v>
      </c>
      <c r="I100" s="50" t="s">
        <v>276</v>
      </c>
    </row>
    <row r="101" spans="1:9" ht="16">
      <c r="A101" s="46">
        <v>46043</v>
      </c>
      <c r="B101" s="47" t="s">
        <v>609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610</v>
      </c>
      <c r="I101" s="47" t="s">
        <v>276</v>
      </c>
    </row>
    <row r="102" spans="1:9">
      <c r="A102" s="43">
        <v>46046</v>
      </c>
      <c r="B102" s="50" t="s">
        <v>632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633</v>
      </c>
      <c r="I102" s="50" t="s">
        <v>276</v>
      </c>
    </row>
    <row r="103" spans="1:9">
      <c r="A103" s="46">
        <v>46048</v>
      </c>
      <c r="B103" s="47" t="s">
        <v>635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550</v>
      </c>
      <c r="I103" s="47" t="s">
        <v>276</v>
      </c>
    </row>
    <row r="104" spans="1:9">
      <c r="A104" s="43">
        <v>46048</v>
      </c>
      <c r="B104" s="50" t="s">
        <v>638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639</v>
      </c>
      <c r="I104" s="50" t="s">
        <v>276</v>
      </c>
    </row>
    <row r="105" spans="1:9" ht="16">
      <c r="A105" s="46">
        <v>46049</v>
      </c>
      <c r="B105" s="47" t="s">
        <v>642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645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643</v>
      </c>
      <c r="I106" s="50" t="s">
        <v>276</v>
      </c>
    </row>
    <row r="107" spans="1:9" ht="16">
      <c r="A107" s="46">
        <v>46049</v>
      </c>
      <c r="B107" s="47" t="s">
        <v>644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646</v>
      </c>
      <c r="I107" s="47" t="s">
        <v>276</v>
      </c>
    </row>
    <row r="108" spans="1:9">
      <c r="A108" s="43">
        <v>46050</v>
      </c>
      <c r="B108" s="50" t="s">
        <v>650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651</v>
      </c>
      <c r="I108" s="50" t="s">
        <v>276</v>
      </c>
    </row>
    <row r="109" spans="1:9" ht="16">
      <c r="A109" s="46">
        <v>46051</v>
      </c>
      <c r="B109" s="47" t="s">
        <v>676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550</v>
      </c>
      <c r="I109" s="47" t="s">
        <v>276</v>
      </c>
    </row>
    <row r="110" spans="1:9">
      <c r="A110" s="43">
        <v>46051</v>
      </c>
      <c r="B110" s="50" t="s">
        <v>675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550</v>
      </c>
      <c r="I110" s="50" t="s">
        <v>276</v>
      </c>
    </row>
    <row r="111" spans="1:9" ht="16">
      <c r="A111" s="46">
        <v>46051</v>
      </c>
      <c r="B111" s="47" t="s">
        <v>590</v>
      </c>
      <c r="C111" s="48">
        <v>580</v>
      </c>
      <c r="D111" s="47" t="s">
        <v>656</v>
      </c>
      <c r="E111" s="47" t="s">
        <v>48</v>
      </c>
      <c r="F111" s="49"/>
      <c r="G111" s="49"/>
      <c r="H111" s="68" t="s">
        <v>657</v>
      </c>
      <c r="I111" s="47" t="s">
        <v>276</v>
      </c>
    </row>
    <row r="112" spans="1:9">
      <c r="A112" s="43">
        <v>46054</v>
      </c>
      <c r="B112" s="50" t="s">
        <v>662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684</v>
      </c>
      <c r="I112" s="50" t="s">
        <v>276</v>
      </c>
    </row>
    <row r="113" spans="1:9" ht="16">
      <c r="A113" s="46">
        <v>46054</v>
      </c>
      <c r="B113" s="47" t="s">
        <v>663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573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665</v>
      </c>
      <c r="I115" s="47" t="s">
        <v>276</v>
      </c>
    </row>
    <row r="116" spans="1:9">
      <c r="A116" s="43">
        <v>46060</v>
      </c>
      <c r="B116" s="50" t="s">
        <v>667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668</v>
      </c>
      <c r="I116" s="50" t="s">
        <v>276</v>
      </c>
    </row>
    <row r="117" spans="1:9" ht="16">
      <c r="A117" s="46">
        <v>46062</v>
      </c>
      <c r="B117" s="47" t="s">
        <v>674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677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678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682</v>
      </c>
      <c r="C120" s="51">
        <v>1450</v>
      </c>
      <c r="D120" s="50" t="s">
        <v>683</v>
      </c>
      <c r="E120" s="50" t="s">
        <v>46</v>
      </c>
      <c r="F120" s="50"/>
      <c r="G120" s="50"/>
      <c r="H120" s="69" t="s">
        <v>603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685</v>
      </c>
      <c r="I121" s="47" t="s">
        <v>276</v>
      </c>
    </row>
    <row r="122" spans="1:9">
      <c r="A122" s="43">
        <v>46074</v>
      </c>
      <c r="B122" s="50" t="s">
        <v>686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687</v>
      </c>
      <c r="I122" s="50" t="s">
        <v>276</v>
      </c>
    </row>
    <row r="123" spans="1:9" ht="16">
      <c r="A123" s="46">
        <v>46075</v>
      </c>
      <c r="B123" s="47" t="s">
        <v>688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704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689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698</v>
      </c>
      <c r="I125" s="47" t="s">
        <v>276</v>
      </c>
    </row>
    <row r="126" spans="1:9">
      <c r="A126" s="43">
        <v>46079</v>
      </c>
      <c r="B126" s="50" t="s">
        <v>695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697</v>
      </c>
      <c r="I126" s="50" t="s">
        <v>276</v>
      </c>
    </row>
    <row r="127" spans="1:9">
      <c r="A127" s="46">
        <v>46090</v>
      </c>
      <c r="B127" s="47" t="s">
        <v>703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701</v>
      </c>
      <c r="I127" s="47" t="s">
        <v>276</v>
      </c>
    </row>
    <row r="128" spans="1:9">
      <c r="A128" s="43">
        <v>46090</v>
      </c>
      <c r="B128" s="50" t="s">
        <v>705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702</v>
      </c>
      <c r="I128" s="50" t="s">
        <v>276</v>
      </c>
    </row>
    <row r="129" spans="1:9" ht="16">
      <c r="A129" s="46">
        <v>46090</v>
      </c>
      <c r="B129" s="47" t="s">
        <v>706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711</v>
      </c>
      <c r="I129" s="47" t="s">
        <v>191</v>
      </c>
    </row>
    <row r="130" spans="1:9">
      <c r="A130" s="43">
        <v>46090</v>
      </c>
      <c r="B130" s="50" t="s">
        <v>707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715</v>
      </c>
      <c r="I130" s="50" t="s">
        <v>191</v>
      </c>
    </row>
    <row r="131" spans="1:9" ht="16">
      <c r="A131" s="46">
        <v>46091</v>
      </c>
      <c r="B131" s="47" t="s">
        <v>716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717</v>
      </c>
      <c r="I131" s="47" t="s">
        <v>276</v>
      </c>
    </row>
    <row r="132" spans="1:9">
      <c r="A132" s="43">
        <v>46092</v>
      </c>
      <c r="B132" s="50" t="s">
        <v>704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718</v>
      </c>
      <c r="I132" s="50" t="s">
        <v>191</v>
      </c>
    </row>
    <row r="133" spans="1:9" ht="16">
      <c r="A133" s="46">
        <v>46092</v>
      </c>
      <c r="B133" s="47" t="s">
        <v>719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720</v>
      </c>
      <c r="I133" s="47" t="s">
        <v>276</v>
      </c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tabSelected="1" workbookViewId="0">
      <pane ySplit="1" topLeftCell="A124" activePane="bottomLeft" state="frozen"/>
      <selection pane="bottomLeft" activeCell="C160" sqref="C160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567</v>
      </c>
      <c r="M47" s="28" t="s">
        <v>568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677</v>
      </c>
      <c r="M52" s="30"/>
      <c r="N52" s="30" t="s">
        <v>180</v>
      </c>
      <c r="O52" s="30" t="s">
        <v>536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673</v>
      </c>
      <c r="M53" s="28"/>
      <c r="N53" s="28" t="s">
        <v>191</v>
      </c>
      <c r="O53" s="28" t="s">
        <v>195</v>
      </c>
      <c r="P53" s="28" t="s">
        <v>672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671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659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613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679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592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594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692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546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537</v>
      </c>
      <c r="M80" s="30"/>
      <c r="N80" s="30" t="s">
        <v>180</v>
      </c>
      <c r="O80" s="30" t="s">
        <v>538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30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710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588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680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681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593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590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694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696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712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661</v>
      </c>
      <c r="M115" s="28"/>
      <c r="N115" s="28" t="s">
        <v>180</v>
      </c>
      <c r="O115" s="28"/>
      <c r="P115" s="89" t="s">
        <v>660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690</v>
      </c>
      <c r="M116" s="30"/>
      <c r="N116" s="30" t="s">
        <v>180</v>
      </c>
      <c r="O116" s="30"/>
      <c r="P116" s="30" t="s">
        <v>658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551</v>
      </c>
      <c r="M118" s="30"/>
      <c r="N118" s="30" t="s">
        <v>180</v>
      </c>
      <c r="O118" s="30"/>
      <c r="P118" s="30" t="s">
        <v>552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713</v>
      </c>
      <c r="M122" s="30"/>
      <c r="N122" s="30" t="s">
        <v>180</v>
      </c>
      <c r="O122" s="30" t="s">
        <v>714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666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605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608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553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549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554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555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574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575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612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630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576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699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634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631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629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709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581</v>
      </c>
      <c r="B136" s="30" t="s">
        <v>616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652</v>
      </c>
      <c r="M136" s="30"/>
      <c r="N136" s="30" t="s">
        <v>222</v>
      </c>
      <c r="O136" s="30"/>
      <c r="P136" s="30" t="s">
        <v>653</v>
      </c>
      <c r="Q136" s="30"/>
      <c r="R136" s="30"/>
      <c r="S136" s="30"/>
      <c r="T136" s="30"/>
    </row>
    <row r="137" spans="1:20" ht="15">
      <c r="A137" s="80" t="s">
        <v>582</v>
      </c>
      <c r="B137" s="28" t="s">
        <v>580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583</v>
      </c>
      <c r="B138" s="30" t="s">
        <v>579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584</v>
      </c>
      <c r="B139" s="28" t="s">
        <v>578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667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585</v>
      </c>
      <c r="B140" s="30" t="s">
        <v>589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708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586</v>
      </c>
      <c r="B141" s="28" t="s">
        <v>577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598</v>
      </c>
      <c r="B142" s="30" t="s">
        <v>611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691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599</v>
      </c>
      <c r="B143" s="28" t="s">
        <v>600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601</v>
      </c>
      <c r="B144" s="30" t="s">
        <v>628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602</v>
      </c>
      <c r="B145" s="28" t="s">
        <v>603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682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617</v>
      </c>
      <c r="B146" s="30" t="s">
        <v>641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618</v>
      </c>
      <c r="B147" s="28" t="s">
        <v>721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722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619</v>
      </c>
      <c r="B148" s="30" t="s">
        <v>640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620</v>
      </c>
      <c r="B149" s="28" t="s">
        <v>637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621</v>
      </c>
      <c r="B150" s="30" t="s">
        <v>636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622</v>
      </c>
      <c r="B151" s="28" t="s">
        <v>623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723</v>
      </c>
      <c r="M151" s="28"/>
      <c r="N151" s="28" t="s">
        <v>180</v>
      </c>
      <c r="O151" s="28" t="s">
        <v>738</v>
      </c>
      <c r="P151" s="28" t="s">
        <v>624</v>
      </c>
      <c r="Q151" s="28"/>
      <c r="R151" s="28"/>
      <c r="S151" s="28"/>
      <c r="T151" s="28"/>
    </row>
    <row r="152" spans="1:20" ht="15">
      <c r="A152" s="30" t="s">
        <v>625</v>
      </c>
      <c r="B152" s="30" t="s">
        <v>626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654</v>
      </c>
      <c r="M152" s="30"/>
      <c r="N152" s="30" t="s">
        <v>180</v>
      </c>
      <c r="O152" s="30" t="s">
        <v>655</v>
      </c>
      <c r="P152" s="30" t="s">
        <v>627</v>
      </c>
      <c r="Q152" s="30"/>
      <c r="R152" s="30"/>
      <c r="S152" s="30"/>
      <c r="T152" s="30"/>
    </row>
    <row r="153" spans="1:20" ht="15">
      <c r="A153" s="28" t="s">
        <v>647</v>
      </c>
      <c r="B153" s="28" t="s">
        <v>648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649</v>
      </c>
      <c r="Q153" s="28"/>
      <c r="R153" s="28"/>
      <c r="S153" s="28"/>
      <c r="T153" s="28"/>
    </row>
    <row r="154" spans="1:20" ht="15">
      <c r="A154" s="30" t="s">
        <v>724</v>
      </c>
      <c r="B154" s="30" t="s">
        <v>732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729</v>
      </c>
      <c r="P154" s="30"/>
      <c r="Q154" s="30"/>
      <c r="R154" s="30"/>
      <c r="S154" s="30"/>
      <c r="T154" s="30"/>
    </row>
    <row r="155" spans="1:20" ht="15">
      <c r="A155" s="28" t="s">
        <v>725</v>
      </c>
      <c r="B155" s="28" t="s">
        <v>733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729</v>
      </c>
      <c r="P155" s="28"/>
      <c r="Q155" s="28"/>
      <c r="R155" s="28"/>
      <c r="S155" s="28"/>
      <c r="T155" s="28"/>
    </row>
    <row r="156" spans="1:20" ht="15">
      <c r="A156" s="30" t="s">
        <v>726</v>
      </c>
      <c r="B156" s="30" t="s">
        <v>734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730</v>
      </c>
      <c r="P156" s="30"/>
      <c r="Q156" s="30"/>
      <c r="R156" s="30"/>
      <c r="S156" s="30"/>
      <c r="T156" s="30"/>
    </row>
    <row r="157" spans="1:20" ht="15">
      <c r="A157" s="28" t="s">
        <v>726</v>
      </c>
      <c r="B157" s="28" t="s">
        <v>735</v>
      </c>
      <c r="C157" s="28" t="s">
        <v>135</v>
      </c>
      <c r="D157" s="29">
        <v>525</v>
      </c>
      <c r="E157" s="29">
        <v>850</v>
      </c>
      <c r="F157" s="90">
        <v>0</v>
      </c>
      <c r="G157" s="90">
        <v>4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0</v>
      </c>
      <c r="K157" s="80">
        <f t="shared" si="38"/>
        <v>2100</v>
      </c>
      <c r="L157" s="28"/>
      <c r="M157" s="28"/>
      <c r="N157" s="28" t="s">
        <v>222</v>
      </c>
      <c r="O157" s="28" t="s">
        <v>730</v>
      </c>
      <c r="P157" s="28"/>
      <c r="Q157" s="28"/>
      <c r="R157" s="28"/>
      <c r="S157" s="28"/>
      <c r="T157" s="28"/>
    </row>
    <row r="158" spans="1:20" ht="15">
      <c r="A158" s="30" t="s">
        <v>727</v>
      </c>
      <c r="B158" s="30" t="s">
        <v>736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731</v>
      </c>
      <c r="P158" s="30"/>
      <c r="Q158" s="30"/>
      <c r="R158" s="30"/>
      <c r="S158" s="30"/>
      <c r="T158" s="30"/>
    </row>
    <row r="159" spans="1:20" ht="15">
      <c r="A159" s="28" t="s">
        <v>728</v>
      </c>
      <c r="B159" s="28" t="s">
        <v>737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731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92400.333333333328</v>
      </c>
      <c r="D8" s="6">
        <f>B8-C8</f>
        <v>18445.666666666672</v>
      </c>
      <c r="E8" s="6">
        <f>IF(Summary!$B$6&gt;0, Summary!$B$6*VLOOKUP($A8,$A$3:$B$5,2,FALSE),0)</f>
        <v>0</v>
      </c>
      <c r="F8" s="6">
        <f>D8+E8</f>
        <v>18445.666666666672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5131.6666666666715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92400.333333333328</v>
      </c>
      <c r="D9" s="7">
        <f>B9-C9</f>
        <v>41781.666666666672</v>
      </c>
      <c r="E9" s="7">
        <f>IF(Summary!$B$6&gt;0, Summary!$B$6*VLOOKUP($A9,$A$3:$B$5,2,FALSE),0)</f>
        <v>0</v>
      </c>
      <c r="F9" s="7">
        <f>D9+E9</f>
        <v>41781.666666666672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-4790.993333333332</v>
      </c>
    </row>
    <row r="10" spans="1:8">
      <c r="A10" s="6" t="s">
        <v>48</v>
      </c>
      <c r="B10" s="6">
        <f>IFERROR(SUMIF(Purchases!$B:$B,$A10,Purchases!$C:$C),0)</f>
        <v>32173</v>
      </c>
      <c r="C10" s="6">
        <f>SUM($B$8:$B$10)/3</f>
        <v>92400.333333333328</v>
      </c>
      <c r="D10" s="6">
        <f>B10-C10</f>
        <v>-60227.333333333328</v>
      </c>
      <c r="E10" s="6">
        <f>IF(Summary!$B$6&gt;0, Summary!$B$6*VLOOKUP($A10,$A$3:$B$5,2,FALSE),0)</f>
        <v>0</v>
      </c>
      <c r="F10" s="6">
        <f>D10+E10</f>
        <v>-60227.333333333328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-340.67333333332499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13256.543200000015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-6626.0864000000001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-6630.4567999999854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2026-03-12T01:35:36Z</dcterms:modified>
</cp:coreProperties>
</file>