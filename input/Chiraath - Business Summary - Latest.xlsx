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7232C90C-9EC3-7642-858E-61F193828792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INVENTORY!$A$1:$T$159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4" i="5" l="1"/>
  <c r="I154" i="5"/>
  <c r="J154" i="5" s="1"/>
  <c r="K154" i="5"/>
  <c r="H155" i="5"/>
  <c r="I155" i="5"/>
  <c r="K155" i="5" s="1"/>
  <c r="H156" i="5"/>
  <c r="I156" i="5"/>
  <c r="J156" i="5" s="1"/>
  <c r="H157" i="5"/>
  <c r="I157" i="5"/>
  <c r="J157" i="5" s="1"/>
  <c r="H158" i="5"/>
  <c r="I158" i="5"/>
  <c r="J158" i="5" s="1"/>
  <c r="H159" i="5"/>
  <c r="I159" i="5"/>
  <c r="J159" i="5" s="1"/>
  <c r="H153" i="5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59" i="5" l="1"/>
  <c r="K147" i="5"/>
  <c r="K157" i="5"/>
  <c r="J155" i="5"/>
  <c r="K156" i="5"/>
  <c r="K158" i="5"/>
  <c r="K153" i="5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<sst xmlns="http://schemas.openxmlformats.org/spreadsheetml/2006/main" count="1864" uniqueCount="747">
  <si>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</si>
  <si>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</si>
  <si>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</si>
  <si>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</si>
  <si>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</si>
  <si>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</si>
  <si>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</si>
  <si>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</si>
  <si>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</si>
  <si>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</si>
  <si>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</si>
  <si>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</si>
  <si>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</si>
  <si>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</si>
  <si>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</si>
  <si>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</si>
  <si>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</si>
  <si>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</si>
  <si>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</si>
  <si>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</si>
  <si>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</si>
  <si>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</si>
  <si>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</si>
  <si>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</si>
  <si>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</si>
  <si>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</si>
  <si>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</si>
  <si>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</si>
  <si>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</si>
  <si>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</si>
  <si>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</si>
  <si>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</si>
  <si>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</si>
  <si>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</si>
  <si>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</si>
  <si>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</si>
  <si>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</si>
  <si>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</si>
  <si>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</si>
  <si>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</si>
  <si>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</si>
  <si>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</si>
  <si>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</si>
  <si>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</si>
  <si>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</si>
  <si>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</si>
  <si>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</si>
  <si>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</si>
  <si>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</si>
  <si>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</si>
  <si>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</si>
  <si>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</si>
  <si>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</si>
  <si>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</si>
  <si>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</si>
  <si>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</si>
  <si>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</si>
  <si>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</si>
  <si>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</si>
  <si>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</si>
  <si>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</si>
  <si>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</si>
  <si>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</si>
  <si>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</si>
  <si>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</si>
  <si>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</si>
  <si>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</si>
  <si>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</si>
  <si>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</si>
  <si>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</si>
  <si>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</si>
  <si>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</si>
  <si>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</si>
  <si>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</si>
  <si>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</si>
  <si>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</si>
  <si>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</si>
  <si>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</si>
  <si>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</si>
  <si>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</si>
  <si>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</si>
  <si>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</si>
  <si>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</si>
  <si>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</si>
  <si>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</si>
  <si>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</si>
  <si>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</si>
  <si>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</si>
  <si>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</si>
  <si>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</si>
  <si>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</si>
  <si>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</si>
  <si>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</si>
  <si>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</si>
  <si>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</si>
  <si>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</si>
  <si>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</si>
  <si>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</si>
  <si>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</si>
  <si>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</si>
  <si>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</si>
  <si>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</si>
  <si>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</si>
  <si>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</si>
  <si>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</si>
  <si>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</si>
  <si>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</si>
  <si>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</si>
  <si>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</si>
  <si>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</si>
  <si>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</si>
  <si>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</si>
  <si>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</si>
  <si>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</si>
  <si>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</si>
  <si>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</si>
  <si>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</si>
  <si>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</si>
  <si>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</si>
  <si>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</si>
  <si>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</si>
  <si>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</si>
  <si>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</si>
  <si>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</si>
  <si>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</si>
  <si>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</si>
  <si>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</si>
  <si>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</si>
  <si>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</si>
  <si>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</si>
  <si>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</si>
  <si>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</si>
  <si>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</si>
  <si>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</si>
  <si>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</si>
  <si>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</si>
  <si>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</si>
  <si>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</si>
  <si>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</si>
  <si>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</si>
  <si>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</si>
  <si>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</si>
  <si>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</si>
  <si>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</si>
  <si>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</si>
  <si>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</si>
  <si>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</si>
  <si>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</si>
  <si>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</si>
  <si>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</si>
  <si>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</si>
  <si>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</si>
  <si>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</si>
  <si>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</si>
  <si>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</si>
  <si>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</si>
  <si>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</si>
  <si>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</si>
  <si>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</si>
  <si>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</si>
  <si>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</si>
  <si>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</si>
  <si>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</si>
  <si>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</si>
  <si>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</si>
  <si>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</si>
  <si>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</si>
  <si>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</si>
  <si>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</si>
  <si>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</si>
  <si>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</si>
  <si>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</si>
  <si>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</si>
  <si>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</si>
  <si>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</si>
  <si>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</si>
  <si>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</si>
  <si>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</si>
  <si>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</si>
  <si>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</si>
  <si>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</si>
  <si>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</si>
  <si>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</si>
  <si>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</si>
  <si>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</si>
  <si>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</si>
  <si>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</si>
  <si>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</si>
  <si>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</si>
  <si>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</si>
  <si>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</si>
  <si>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</si>
  <si>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</si>
  <si>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</si>
  <si>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</si>
  <si>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</si>
  <si>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</si>
  <si>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</si>
  <si>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</si>
  <si>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</si>
  <si>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</si>
  <si>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</si>
  <si>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</si>
  <si>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</si>
  <si>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</si>
  <si>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</si>
  <si>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</si>
  <si>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</si>
  <si>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</si>
  <si>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</si>
  <si>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</si>
  <si>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</si>
  <si>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</si>
  <si>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</si>
  <si>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</si>
  <si>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</si>
  <si>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</si>
  <si>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</si>
  <si>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</si>
  <si>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</si>
  <si>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</si>
  <si>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</si>
  <si>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</si>
  <si>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</si>
  <si>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</si>
  <si>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</si>
  <si>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</si>
  <si>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</si>
  <si>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</si>
  <si>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</si>
  <si>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</si>
  <si>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</si>
  <si>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</si>
  <si>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</si>
  <si>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</si>
  <si>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</si>
  <si>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</si>
  <si>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</si>
  <si>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</si>
  <si>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</si>
  <si>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</si>
  <si>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</si>
  <si>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</si>
  <si>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</si>
  <si>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</si>
  <si>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</si>
  <si>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</si>
  <si>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</si>
  <si>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</si>
  <si>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</si>
  <si>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</si>
  <si>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</si>
  <si>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</si>
  <si>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</si>
  <si>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</si>
  <si>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</si>
  <si>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</si>
  <si>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</si>
  <si>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</si>
  <si>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</si>
  <si>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</si>
  <si>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</si>
  <si>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</si>
  <si>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</si>
  <si>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</si>
  <si>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</si>
  <si>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</si>
  <si>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</si>
  <si>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</si>
  <si>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</si>
  <si>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</si>
  <si>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</si>
  <si>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</si>
  <si>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</si>
  <si>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</si>
  <si>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</si>
  <si>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</si>
  <si>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</si>
  <si>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</si>
  <si>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</si>
  <si>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</si>
  <si>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</si>
  <si>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</si>
  <si>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</si>
  <si>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</si>
  <si>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</si>
  <si>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</si>
  <si>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</si>
  <si>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</si>
  <si>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</si>
  <si>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</si>
  <si>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</si>
  <si>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</si>
  <si>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</si>
  <si>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</si>
  <si>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</si>
  <si>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</si>
  <si>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</si>
  <si>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</si>
  <si>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</si>
  <si>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</si>
  <si>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</si>
  <si>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</si>
  <si>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</si>
  <si>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</si>
  <si>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</si>
  <si>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</si>
  <si>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</si>
  <si>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</si>
  <si>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</si>
  <si>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</si>
  <si>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</si>
  <si>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</si>
  <si>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</si>
  <si>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</si>
  <si>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</si>
  <si>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</si>
  <si>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</si>
  <si>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</si>
  <si>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</si>
  <si>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</si>
  <si>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</si>
  <si>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</si>
  <si>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</si>
  <si>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</si>
  <si>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</si>
  <si>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</si>
  <si>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</si>
  <si>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</si>
  <si>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</si>
  <si>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</si>
  <si>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</si>
  <si>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</si>
  <si>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</si>
  <si>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</si>
  <si>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</si>
  <si>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</si>
  <si>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</si>
  <si>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</si>
  <si>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</si>
  <si>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</si>
  <si>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</si>
  <si>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</si>
  <si>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</si>
  <si>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</si>
  <si>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</si>
  <si>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</si>
  <si>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</si>
  <si>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</si>
  <si>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</si>
  <si>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</si>
  <si>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</si>
  <si>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</si>
  <si>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</si>
  <si>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</si>
  <si>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</si>
  <si>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</si>
  <si>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</si>
  <si>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</si>
  <si>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</si>
  <si>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</si>
  <si>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</si>
  <si>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</si>
  <si>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</si>
  <si>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</si>
  <si>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</si>
  <si>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</si>
  <si>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</si>
  <si>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</si>
  <si>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</si>
  <si>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</si>
  <si>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</si>
  <si>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</si>
  <si>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</si>
  <si>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</si>
  <si>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</si>
  <si>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</si>
  <si>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</si>
  <si>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</si>
  <si>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</si>
  <si>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</si>
  <si>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</si>
  <si>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</si>
  <si>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</si>
  <si>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</si>
  <si>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</si>
  <si>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</si>
  <si>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</si>
  <si>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</si>
  <si>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</si>
  <si>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</si>
  <si>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</si>
  <si>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</si>
  <si>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</si>
  <si>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</si>
  <si>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</si>
  <si>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</si>
  <si>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</si>
  <si>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</si>
  <si>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</si>
  <si>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</si>
  <si>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</si>
  <si>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</si>
  <si>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</si>
  <si>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</si>
  <si>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</si>
  <si>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</si>
  <si>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</si>
  <si>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</si>
  <si>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</si>
  <si>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</si>
  <si>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</si>
  <si>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</si>
  <si>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</si>
  <si>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</si>
  <si>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</si>
  <si>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</si>
  <si>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</si>
  <si>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</si>
  <si>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</si>
  <si>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</si>
  <si>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</si>
  <si>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</si>
  <si>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</si>
  <si>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</si>
  <si>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</si>
  <si>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</si>
  <si>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</si>
  <si>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</si>
  <si>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</si>
  <si>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</si>
  <si>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</si>
  <si>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</si>
  <si>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</si>
  <si>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</si>
  <si>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</si>
  <si>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</si>
  <si>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</si>
  <si>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</si>
  <si>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</si>
  <si>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</si>
  <si>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</si>
  <si>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</si>
  <si>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</si>
  <si>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</si>
  <si>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</si>
  <si>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</si>
  <si>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</si>
  <si>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</si>
  <si>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</si>
  <si>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</si>
  <si>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</si>
  <si>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</si>
  <si>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</si>
  <si>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</si>
  <si>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</si>
  <si>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</si>
  <si>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</si>
  <si>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</si>
  <si>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</si>
  <si>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</si>
  <si>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</si>
  <si>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</si>
  <si>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</si>
  <si>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</si>
  <si>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</si>
  <si>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</si>
  <si>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</si>
  <si>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</si>
  <si>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</si>
  <si>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</si>
  <si>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</si>
  <si>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</si>
  <si>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</si>
  <si>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</si>
  <si>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</si>
  <si>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</si>
  <si>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</si>
  <si>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</si>
  <si>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</si>
  <si>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</si>
  <si>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</si>
  <si>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</si>
  <si>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</si>
  <si>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</si>
  <si>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</si>
  <si>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</si>
  <si>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</si>
  <si>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</si>
  <si>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</si>
  <si>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</si>
  <si>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</si>
  <si>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</si>
  <si>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</si>
  <si>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</si>
  <si>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</si>
  <si>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</si>
  <si>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</si>
  <si>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</si>
  <si>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</si>
  <si>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</si>
  <si>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</si>
  <si>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</si>
  <si>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</si>
  <si>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</si>
  <si>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</si>
  <si>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</si>
  <si>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</si>
  <si>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</si>
  <si>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</si>
  <si>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</si>
  <si>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</si>
  <si>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</si>
  <si>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</si>
  <si>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</si>
  <si>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</si>
  <si>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</si>
  <si>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</si>
  <si>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</si>
  <si>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</si>
  <si>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</si>
  <si>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</si>
  <si>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</si>
  <si>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</si>
  <si>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</si>
  <si>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</si>
  <si>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</si>
  <si>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</si>
  <si>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</si>
  <si>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</si>
  <si>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</si>
  <si>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</si>
  <si>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</si>
  <si>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</si>
  <si>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</si>
  <si>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</si>
  <si>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</si>
  <si>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</si>
  <si>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</si>
  <si>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</si>
  <si>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</si>
  <si>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</si>
  <si>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</si>
  <si>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</si>
  <si>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</si>
  <si>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</si>
  <si>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</si>
  <si>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</si>
  <si>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</si>
  <si>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</si>
  <si>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</si>
  <si>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</si>
  <si>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</si>
  <si>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</si>
  <si>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</si>
  <si>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</si>
  <si>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</si>
  <si>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</si>
  <si>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</si>
  <si>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</si>
  <si>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</si>
  <si>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</si>
  <si>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</si>
  <si>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</si>
  <si>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</si>
  <si>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</si>
  <si>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</si>
  <si>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</si>
  <si>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</si>
  <si>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</si>
  <si>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</si>
  <si>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</si>
  <si>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</si>
  <si>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</si>
  <si>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</si>
  <si>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</si>
  <si>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</si>
  <si>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</si>
  <si>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</si>
  <si>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</si>
  <si>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</si>
  <si>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</si>
  <si>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</si>
  <si>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</si>
  <si>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</si>
  <si>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</si>
  <si>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</si>
  <si>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</si>
  <si>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</si>
  <si>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</si>
  <si>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</si>
  <si>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</si>
  <si>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</si>
  <si>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</si>
  <si>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</si>
  <si>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</si>
  <si>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</si>
  <si>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</si>
  <si>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</si>
  <si>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</si>
  <si>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</si>
  <si>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</si>
  <si>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</si>
  <si>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</si>
  <si>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</si>
  <si>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</si>
  <si>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</si>
  <si>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</si>
  <si>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</si>
  <si>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</si>
  <si>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</si>
  <si>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</si>
  <si>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</si>
  <si>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</si>
  <si>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</si>
  <si>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</si>
  <si>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</si>
  <si>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</si>
  <si>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</si>
  <si>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</si>
  <si>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</si>
  <si>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</si>
  <si>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</si>
  <si>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</si>
  <si>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</si>
  <si>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</si>
  <si>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</si>
  <si>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</si>
  <si>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</si>
  <si>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</si>
  <si>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</si>
  <si>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</si>
  <si>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</si>
  <si>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</si>
  <si>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</si>
  <si>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</si>
  <si>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</si>
  <si>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</si>
  <si>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</si>
  <si>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</si>
  <si>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</si>
  <si>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</si>
  <si>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</si>
  <si>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</si>
  <si>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</si>
  <si>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</si>
  <si>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</si>
  <si>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</si>
  <si>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</si>
  <si>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</si>
  <si>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</si>
  <si>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Jisha (XL), Rameez Relative(L): 900</t>
  </si>
  <si>
    <t>black/purple -1, black/yellow-1, maroon -1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</si>
  <si>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</si>
  <si>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</si>
  <si>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</si>
  <si>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</si>
  <si>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</si>
  <si>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</si>
  <si>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</si>
  <si>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</si>
  <si>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</si>
  <si>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</si>
  <si>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</si>
  <si>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</si>
  <si>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</si>
  <si>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</si>
  <si>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</si>
  <si>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</si>
  <si>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</si>
  <si>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</si>
  <si>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</si>
  <si>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</si>
  <si>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</si>
  <si>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</si>
  <si>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</si>
  <si>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</si>
  <si>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</si>
  <si>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</si>
  <si>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</si>
  <si>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</si>
  <si>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</si>
  <si>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</si>
  <si>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</si>
  <si>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</si>
  <si>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</si>
  <si>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</si>
  <si>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Saranya Gopalakrishnan(1300 pending)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</si>
  <si>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</si>
  <si>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</si>
  <si>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</si>
  <si>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</si>
  <si>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</si>
  <si>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</si>
  <si>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 maid</t>
  </si>
  <si>
    <t>Sheeja mol</t>
  </si>
  <si>
    <t>haris(ekm)</t>
  </si>
  <si>
    <t>priya(hosur)</t>
  </si>
  <si>
    <t>Jisha (1545-XL), Shiji(1370-L), Sheejamol(XXL)-850</t>
  </si>
  <si>
    <t>Aanchal Blue - 1200</t>
  </si>
  <si>
    <t>Sheeja mol maid(1200)</t>
  </si>
  <si>
    <t>Praneetha (Kochi)</t>
  </si>
  <si>
    <t>Chikkankari(L)</t>
  </si>
  <si>
    <t>Matka silk - Blue (500 transferred)</t>
  </si>
  <si>
    <t>Rameez Cousin</t>
  </si>
  <si>
    <t>Chikkankari(M)</t>
  </si>
  <si>
    <t>Praneetha (L), Rameez Cousin (M)</t>
  </si>
  <si>
    <t>CHR-153</t>
  </si>
  <si>
    <t>CHR-154</t>
  </si>
  <si>
    <t>CHR-155</t>
  </si>
  <si>
    <t>CHR-156</t>
  </si>
  <si>
    <t>CHR-157</t>
  </si>
  <si>
    <t>M, L, XL</t>
  </si>
  <si>
    <t>M, L, XL, XXL</t>
  </si>
  <si>
    <t>M, L, XL, XXL, XXXL</t>
  </si>
  <si>
    <t>XL, XXL</t>
  </si>
  <si>
    <t>Prema(XXL)</t>
  </si>
  <si>
    <t>M, XL, XXL</t>
  </si>
  <si>
    <t>M, XL</t>
  </si>
  <si>
    <t>Dilna (XL)
Girija (L), Amma (XXL)</t>
  </si>
  <si>
    <t>Ivory &amp; black printed cotton 3-piece salwar set</t>
  </si>
  <si>
    <t>Dark brown embroidered cotton 3-piece salwar set</t>
  </si>
  <si>
    <t>Black cotton 3-piece salwar set with printed dupatta</t>
  </si>
  <si>
    <t>Off-white cotton 2-piece set with blue floral prints</t>
  </si>
  <si>
    <t>Off-white printed 2-piece kurti set with multicolor pattern</t>
  </si>
  <si>
    <t>Olive green cotton 2-piece kurti set with floral prints</t>
  </si>
  <si>
    <t>Violet, navy blue, rani pink</t>
  </si>
  <si>
    <t>yellow green &amp; orange green</t>
  </si>
  <si>
    <t>Rayon Mutli colored salwar</t>
  </si>
  <si>
    <t>CHR-158</t>
  </si>
  <si>
    <t>Rust orange - 1</t>
  </si>
  <si>
    <t>Matka Silk Saree</t>
  </si>
  <si>
    <t>Blue - Sarany Hyd (Adv-500), Yellow Sudhisha ordered</t>
  </si>
  <si>
    <t xml:space="preserve">⁠​Maheswari cotton Silk saree </t>
  </si>
  <si>
    <t>Vineet (External)</t>
  </si>
  <si>
    <t>Georgette maroon</t>
  </si>
  <si>
    <t>Amalu(black/maroon), Lethy(Thiruvalla):1550, Vineet(Maroon): 1550</t>
  </si>
  <si>
    <t>Latha(Yellow), Sari(Peach)</t>
  </si>
  <si>
    <t>Rainbow saree &amp; Golden yellow with Butterfly on pallu</t>
  </si>
  <si>
    <t>Sari</t>
  </si>
  <si>
    <t>Soft Cotton Peach with butterfly design</t>
  </si>
  <si>
    <t>Coral Pink Salwar (XXL)</t>
  </si>
  <si>
    <t>Sushitha (XL-1600)</t>
  </si>
  <si>
    <t>Off-white cotton 2-piece set with blue floral prints (XXL)</t>
  </si>
  <si>
    <t>M/XL</t>
  </si>
  <si>
    <t>Deepthi - Mustard for Hokoba return</t>
  </si>
  <si>
    <t>Violet(M&amp;XL), Pink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</si>
</sst>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20509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11248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-9261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190</c:v>
                </c:pt>
                <c:pt idx="1">
                  <c:v>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112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46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70730</c:v>
                </c:pt>
                <c:pt idx="1">
                  <c:v>38851.919999999998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520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521</v>
      </c>
    </row>
    <row r="44" spans="1:1" ht="40">
      <c r="A44" s="58" t="s">
        <v>522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 activeCell="E26" sqref="E26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277628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237912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241812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-39716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-6.6666666716628242E-3</v>
      </c>
      <c r="C10" s="6"/>
    </row>
    <row r="11" spans="1:6">
      <c r="A11" s="7" t="s">
        <v>47</v>
      </c>
      <c r="B11" s="53">
        <f>PartnerShares!H9</f>
        <v>3.3333333267364651E-3</v>
      </c>
      <c r="C11" s="7"/>
    </row>
    <row r="12" spans="1:6">
      <c r="A12" s="6" t="s">
        <v>48</v>
      </c>
      <c r="B12" s="52">
        <f>PartnerShares!H10</f>
        <v>3.3333333267364651E-3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515</v>
      </c>
      <c r="E17" s="1" t="s">
        <v>513</v>
      </c>
      <c r="F17" s="1" t="s">
        <v>516</v>
      </c>
      <c r="G17" s="1" t="s">
        <v>514</v>
      </c>
    </row>
    <row r="18" spans="1:7">
      <c r="A18" s="6" t="str">
        <f>PartnerShares!A8</f>
        <v>Rajna</v>
      </c>
      <c r="B18" s="6">
        <f>PartnerShares!B8</f>
        <v>110846</v>
      </c>
      <c r="C18" s="6">
        <f>PartnerShares!C8</f>
        <v>92542.666666666672</v>
      </c>
      <c r="D18" s="6">
        <f>PartnerShares!D8</f>
        <v>18303.333333333328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8">
        <f>D18-E18</f>
        <v>-6.6666666716628242E-3</v>
      </c>
      <c r="G18" s="73"/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92542.666666666672</v>
      </c>
      <c r="D19" s="7">
        <f>PartnerShares!D9</f>
        <v>41639.333333333328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9">
        <f>D19-E19</f>
        <v>3.3333333267364651E-3</v>
      </c>
      <c r="G19" s="71"/>
    </row>
    <row r="20" spans="1:7">
      <c r="A20" s="6" t="str">
        <f>PartnerShares!A10</f>
        <v>Rameez</v>
      </c>
      <c r="B20" s="6">
        <f>PartnerShares!B10</f>
        <v>32600</v>
      </c>
      <c r="C20" s="6">
        <f>PartnerShares!C10</f>
        <v>92542.666666666672</v>
      </c>
      <c r="D20" s="6">
        <f>PartnerShares!D10</f>
        <v>-59942.666666666672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8">
        <f>D20-E20</f>
        <v>3.3333333267364651E-3</v>
      </c>
      <c r="G20" s="71"/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517</v>
      </c>
      <c r="E25" s="1" t="s">
        <v>518</v>
      </c>
      <c r="F25" s="1" t="s">
        <v>519</v>
      </c>
      <c r="G25" s="1" t="s">
        <v>514</v>
      </c>
    </row>
    <row r="26" spans="1:7">
      <c r="A26" s="6" t="str">
        <f>'Cash Pool'!A4</f>
        <v>Rajna</v>
      </c>
      <c r="B26" s="6">
        <f>'Cash Pool'!B4</f>
        <v>218763</v>
      </c>
      <c r="C26" s="6">
        <f>'Cash Pool'!D4</f>
        <v>79319.860799999995</v>
      </c>
      <c r="D26" s="6">
        <f>'Cash Pool'!E4</f>
        <v>139443.13920000001</v>
      </c>
      <c r="E26" s="6">
        <f>'Cash Pool'!F4</f>
        <v>-137310.02600000001</v>
      </c>
      <c r="F26" s="8">
        <f>'Cash Pool'!G4</f>
        <v>2133.1131999999925</v>
      </c>
      <c r="G26" s="71"/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79272.278399999996</v>
      </c>
      <c r="D27" s="7">
        <f>'Cash Pool'!E5</f>
        <v>-72653.278399999996</v>
      </c>
      <c r="E27" s="7">
        <f>'Cash Pool'!F5</f>
        <v>71587.042000000001</v>
      </c>
      <c r="F27" s="9">
        <f>'Cash Pool'!G5</f>
        <v>-1066.2363999999943</v>
      </c>
      <c r="G27" s="72"/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79319.860799999995</v>
      </c>
      <c r="D28" s="6">
        <f>'Cash Pool'!E6</f>
        <v>-66789.860799999995</v>
      </c>
      <c r="E28" s="6">
        <f>'Cash Pool'!F6</f>
        <v>65722.984000000011</v>
      </c>
      <c r="F28" s="8">
        <f>'Cash Pool'!G6</f>
        <v>-1066.8767999999836</v>
      </c>
      <c r="G28" s="73"/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17" sqref="B17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46098</v>
      </c>
    </row>
    <row r="5" spans="1:8">
      <c r="A5" s="14" t="s">
        <v>38</v>
      </c>
      <c r="B5" s="15">
        <f>Summary!B3</f>
        <v>277628</v>
      </c>
      <c r="D5" s="14" t="s">
        <v>60</v>
      </c>
      <c r="E5" s="15">
        <f>Summary!B4</f>
        <v>237912</v>
      </c>
    </row>
    <row r="6" spans="1:8">
      <c r="A6" s="14" t="s">
        <v>61</v>
      </c>
      <c r="B6" s="15">
        <f>Summary!B6</f>
        <v>-39716</v>
      </c>
      <c r="D6" s="14" t="s">
        <v>62</v>
      </c>
      <c r="E6" s="15">
        <f>SUMIFS(INVENTORY!K:K, INVENTORY!N:N, "&lt;&gt;Sold Out")</f>
        <v>110330.92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190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119</v>
      </c>
    </row>
    <row r="12" spans="1:8">
      <c r="A12" s="17" t="s">
        <v>73</v>
      </c>
      <c r="B12" s="15">
        <f>IFERROR(SUMPRODUCT((TEXT(Purchases!$A$2:$A$998,"MMM")=$A12)*Purchases!$C$2:$C$998),0)</f>
        <v>20509</v>
      </c>
      <c r="C12" s="15">
        <f>IFERROR(SUMPRODUCT((TEXT(Sales!$A$2:$A$998,"MMM")=$A12)*Sales!$C$2:$C$998),0)</f>
        <v>11248</v>
      </c>
      <c r="D12" s="15">
        <f t="shared" si="0"/>
        <v>-9261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527</v>
      </c>
    </row>
    <row r="47" spans="6:11">
      <c r="F47" s="75" t="s">
        <v>120</v>
      </c>
      <c r="G47" s="76">
        <f>SUMIF(INVENTORY!C:C, F47, INVENTORY!F:F)</f>
        <v>112</v>
      </c>
      <c r="H47" s="76">
        <f>SUMIF(INVENTORY!C:C, F47, INVENTORY!G:G)</f>
        <v>46</v>
      </c>
      <c r="J47" s="76" t="s">
        <v>135</v>
      </c>
      <c r="K47" s="77" cm="1">
        <f t="array" ref="K47">SUMPRODUCT((INVENTORY!$C$2:$C$478=J47)*(INVENTORY!$D$2:$D$478)*(INVENTORY!$G$2:$G$478))</f>
        <v>70730</v>
      </c>
    </row>
    <row r="48" spans="6:11">
      <c r="F48" s="75" t="s">
        <v>135</v>
      </c>
      <c r="G48" s="76">
        <f>SUMIF(INVENTORY!C:C, F48, INVENTORY!F:F)</f>
        <v>76</v>
      </c>
      <c r="H48" s="76">
        <f>SUMIF(INVENTORY!C:C, F48, INVENTORY!G:G)</f>
        <v>68</v>
      </c>
      <c r="J48" s="76" t="s">
        <v>120</v>
      </c>
      <c r="K48" s="77" cm="1">
        <f t="array" ref="K48">SUMPRODUCT((INVENTORY!$C$2:$C$478=J48)*(INVENTORY!$D$2:$D$478)*(INVENTORY!$G$2:$G$478))</f>
        <v>38851.919999999998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SUMPRODUCT((INVENTORY!$C$2:$C$478=J49)*(INVENTORY!$D$2:$D$478)*(INVENTORY!$G$2:$G$478))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8" sqref="D58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330</v>
      </c>
    </row>
    <row r="30" spans="1:4">
      <c r="A30" s="41">
        <v>46004</v>
      </c>
      <c r="B30" s="39" t="s">
        <v>47</v>
      </c>
      <c r="C30" s="40">
        <v>4457</v>
      </c>
      <c r="D30" s="39" t="s">
        <v>331</v>
      </c>
    </row>
    <row r="31" spans="1:4">
      <c r="A31" s="36">
        <v>46008</v>
      </c>
      <c r="B31" s="37" t="s">
        <v>46</v>
      </c>
      <c r="C31" s="38">
        <v>42</v>
      </c>
      <c r="D31" s="37" t="s">
        <v>338</v>
      </c>
    </row>
    <row r="32" spans="1:4">
      <c r="A32" s="41">
        <v>46009</v>
      </c>
      <c r="B32" s="39" t="s">
        <v>47</v>
      </c>
      <c r="C32" s="40">
        <v>2657</v>
      </c>
      <c r="D32" s="39" t="s">
        <v>331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530</v>
      </c>
    </row>
    <row r="36" spans="1:5">
      <c r="A36" s="41">
        <v>46029</v>
      </c>
      <c r="B36" s="39" t="s">
        <v>46</v>
      </c>
      <c r="C36" s="40">
        <v>2674</v>
      </c>
      <c r="D36" s="39" t="s">
        <v>331</v>
      </c>
    </row>
    <row r="37" spans="1:5">
      <c r="A37" s="36">
        <v>46029</v>
      </c>
      <c r="B37" s="37" t="s">
        <v>46</v>
      </c>
      <c r="C37" s="38">
        <v>1760</v>
      </c>
      <c r="D37" s="37" t="s">
        <v>551</v>
      </c>
    </row>
    <row r="38" spans="1:5">
      <c r="A38" s="41">
        <v>46031</v>
      </c>
      <c r="B38" s="39" t="s">
        <v>48</v>
      </c>
      <c r="C38" s="40">
        <v>1330</v>
      </c>
      <c r="D38" s="39" t="s">
        <v>552</v>
      </c>
    </row>
    <row r="39" spans="1:5">
      <c r="A39" s="36">
        <v>46035</v>
      </c>
      <c r="B39" s="37" t="s">
        <v>46</v>
      </c>
      <c r="C39" s="38">
        <v>5940</v>
      </c>
      <c r="D39" s="37" t="s">
        <v>565</v>
      </c>
    </row>
    <row r="40" spans="1:5">
      <c r="A40" s="41">
        <v>46037</v>
      </c>
      <c r="B40" s="39" t="s">
        <v>47</v>
      </c>
      <c r="C40" s="40">
        <v>5602</v>
      </c>
      <c r="D40" s="39" t="s">
        <v>331</v>
      </c>
    </row>
    <row r="41" spans="1:5">
      <c r="A41" s="36">
        <v>46038</v>
      </c>
      <c r="B41" s="37" t="s">
        <v>47</v>
      </c>
      <c r="C41" s="38">
        <v>5349</v>
      </c>
      <c r="D41" s="37" t="s">
        <v>331</v>
      </c>
    </row>
    <row r="42" spans="1:5">
      <c r="A42" s="41">
        <v>46040</v>
      </c>
      <c r="B42" s="39" t="s">
        <v>46</v>
      </c>
      <c r="C42" s="40">
        <v>4425</v>
      </c>
      <c r="D42" s="39" t="s">
        <v>565</v>
      </c>
    </row>
    <row r="43" spans="1:5">
      <c r="A43" s="36">
        <v>46045</v>
      </c>
      <c r="B43" s="37" t="s">
        <v>46</v>
      </c>
      <c r="C43" s="38">
        <v>1370</v>
      </c>
      <c r="D43" s="37" t="s">
        <v>607</v>
      </c>
    </row>
    <row r="44" spans="1:5">
      <c r="A44" s="41">
        <v>46045</v>
      </c>
      <c r="B44" s="39" t="s">
        <v>47</v>
      </c>
      <c r="C44" s="40">
        <v>16684</v>
      </c>
      <c r="D44" s="39" t="s">
        <v>331</v>
      </c>
    </row>
    <row r="45" spans="1:5">
      <c r="A45" s="36">
        <v>46043</v>
      </c>
      <c r="B45" s="37" t="s">
        <v>46</v>
      </c>
      <c r="C45" s="38">
        <v>106</v>
      </c>
      <c r="D45" s="37" t="s">
        <v>608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331</v>
      </c>
    </row>
    <row r="48" spans="1:5">
      <c r="A48" s="41">
        <v>46059</v>
      </c>
      <c r="B48" s="39" t="s">
        <v>48</v>
      </c>
      <c r="C48" s="40">
        <v>1290</v>
      </c>
      <c r="D48" s="39" t="s">
        <v>655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682</v>
      </c>
    </row>
    <row r="50" spans="1:4">
      <c r="A50" s="41">
        <v>46087</v>
      </c>
      <c r="B50" s="39" t="s">
        <v>46</v>
      </c>
      <c r="C50" s="40">
        <v>6328</v>
      </c>
      <c r="D50" s="39" t="s">
        <v>688</v>
      </c>
    </row>
    <row r="51" spans="1:4">
      <c r="A51" s="36">
        <v>46087</v>
      </c>
      <c r="B51" s="37" t="s">
        <v>48</v>
      </c>
      <c r="C51" s="38">
        <v>3164</v>
      </c>
      <c r="D51" s="37" t="s">
        <v>688</v>
      </c>
    </row>
    <row r="52" spans="1:4">
      <c r="A52" s="41">
        <v>46090</v>
      </c>
      <c r="B52" s="39" t="s">
        <v>46</v>
      </c>
      <c r="C52" s="40">
        <v>100</v>
      </c>
      <c r="D52" s="39" t="s">
        <v>338</v>
      </c>
    </row>
    <row r="53" spans="1:4">
      <c r="A53" s="36">
        <v>46091</v>
      </c>
      <c r="B53" s="37" t="s">
        <v>46</v>
      </c>
      <c r="C53" s="38">
        <v>1400</v>
      </c>
      <c r="D53" s="37" t="s">
        <v>607</v>
      </c>
    </row>
    <row r="54" spans="1:4">
      <c r="A54" s="41">
        <v>46091</v>
      </c>
      <c r="B54" s="39" t="s">
        <v>48</v>
      </c>
      <c r="C54" s="40">
        <v>700</v>
      </c>
      <c r="D54" s="39" t="s">
        <v>607</v>
      </c>
    </row>
    <row r="55" spans="1:4">
      <c r="A55" s="36">
        <v>46092</v>
      </c>
      <c r="B55" s="37" t="s">
        <v>46</v>
      </c>
      <c r="C55" s="38">
        <v>5594</v>
      </c>
      <c r="D55" s="37" t="s">
        <v>688</v>
      </c>
    </row>
    <row r="56" spans="1:4">
      <c r="A56" s="41">
        <v>46092</v>
      </c>
      <c r="B56" s="39" t="s">
        <v>48</v>
      </c>
      <c r="C56" s="40">
        <v>2796</v>
      </c>
      <c r="D56" s="39" t="s">
        <v>688</v>
      </c>
    </row>
    <row r="57" spans="1:4">
      <c r="A57" s="36">
        <v>46093</v>
      </c>
      <c r="B57" s="37" t="s">
        <v>48</v>
      </c>
      <c r="C57" s="38">
        <v>427</v>
      </c>
      <c r="D57" s="37" t="s">
        <v>338</v>
      </c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16" activePane="bottomLeft" state="frozen"/>
      <selection pane="bottomLeft" activeCell="F134" sqref="F134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507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507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506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500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501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488</v>
      </c>
      <c r="I59" s="47" t="s">
        <v>276</v>
      </c>
    </row>
    <row r="60" spans="1:9">
      <c r="A60" s="43">
        <v>46007</v>
      </c>
      <c r="B60" s="50" t="s">
        <v>334</v>
      </c>
      <c r="C60" s="51">
        <v>699</v>
      </c>
      <c r="D60" s="50" t="s">
        <v>335</v>
      </c>
      <c r="E60" s="50" t="s">
        <v>46</v>
      </c>
      <c r="F60" s="50"/>
      <c r="G60" s="50"/>
      <c r="H60" s="69" t="s">
        <v>499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498</v>
      </c>
      <c r="I61" s="47" t="s">
        <v>276</v>
      </c>
    </row>
    <row r="62" spans="1:9">
      <c r="A62" s="43">
        <v>46008</v>
      </c>
      <c r="B62" s="50" t="s">
        <v>336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497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494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496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495</v>
      </c>
      <c r="I65" s="50" t="s">
        <v>276</v>
      </c>
    </row>
    <row r="66" spans="1:9" ht="16">
      <c r="A66" s="46">
        <v>46010</v>
      </c>
      <c r="B66" s="47" t="s">
        <v>505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494</v>
      </c>
      <c r="I66" s="47" t="s">
        <v>276</v>
      </c>
    </row>
    <row r="67" spans="1:9">
      <c r="A67" s="43">
        <v>46010</v>
      </c>
      <c r="B67" s="50" t="s">
        <v>508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510</v>
      </c>
      <c r="I67" s="50" t="s">
        <v>276</v>
      </c>
    </row>
    <row r="68" spans="1:9" ht="32">
      <c r="A68" s="46">
        <v>46011</v>
      </c>
      <c r="B68" s="47" t="s">
        <v>479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492</v>
      </c>
      <c r="I68" s="47" t="s">
        <v>276</v>
      </c>
    </row>
    <row r="69" spans="1:9">
      <c r="A69" s="43">
        <v>46011</v>
      </c>
      <c r="B69" s="50" t="s">
        <v>481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489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490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491</v>
      </c>
      <c r="I71" s="47" t="s">
        <v>276</v>
      </c>
    </row>
    <row r="72" spans="1:9" ht="28">
      <c r="A72" s="43">
        <v>46011</v>
      </c>
      <c r="B72" s="50" t="s">
        <v>484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493</v>
      </c>
      <c r="I72" s="50" t="s">
        <v>276</v>
      </c>
    </row>
    <row r="73" spans="1:9" ht="32">
      <c r="A73" s="46">
        <v>46011</v>
      </c>
      <c r="B73" s="47" t="s">
        <v>485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524</v>
      </c>
      <c r="I73" s="47" t="s">
        <v>276</v>
      </c>
    </row>
    <row r="74" spans="1:9">
      <c r="A74" s="43">
        <v>46013</v>
      </c>
      <c r="B74" s="50" t="s">
        <v>487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509</v>
      </c>
      <c r="I74" s="50" t="s">
        <v>276</v>
      </c>
    </row>
    <row r="75" spans="1:9" ht="16">
      <c r="A75" s="46">
        <v>46013</v>
      </c>
      <c r="B75" s="47" t="s">
        <v>502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488</v>
      </c>
      <c r="I75" s="47" t="s">
        <v>276</v>
      </c>
    </row>
    <row r="76" spans="1:9" ht="16">
      <c r="A76" s="46">
        <v>46017</v>
      </c>
      <c r="B76" s="47" t="s">
        <v>525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511</v>
      </c>
      <c r="I76" s="47" t="s">
        <v>276</v>
      </c>
    </row>
    <row r="77" spans="1:9">
      <c r="A77" s="43">
        <v>46017</v>
      </c>
      <c r="B77" s="50" t="s">
        <v>526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512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523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523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529</v>
      </c>
      <c r="I80" s="47" t="s">
        <v>276</v>
      </c>
    </row>
    <row r="81" spans="1:9">
      <c r="A81" s="43">
        <v>46024</v>
      </c>
      <c r="B81" s="50" t="s">
        <v>534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535</v>
      </c>
      <c r="I81" s="50" t="s">
        <v>276</v>
      </c>
    </row>
    <row r="82" spans="1:9" ht="16">
      <c r="A82" s="46">
        <v>46024</v>
      </c>
      <c r="B82" s="47" t="s">
        <v>536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537</v>
      </c>
      <c r="I82" s="47" t="s">
        <v>276</v>
      </c>
    </row>
    <row r="83" spans="1:9">
      <c r="A83" s="43">
        <v>46024</v>
      </c>
      <c r="B83" s="50" t="s">
        <v>538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539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540</v>
      </c>
      <c r="I84" s="47" t="s">
        <v>276</v>
      </c>
    </row>
    <row r="85" spans="1:9">
      <c r="A85" s="43">
        <v>46027</v>
      </c>
      <c r="B85" s="50" t="s">
        <v>542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543</v>
      </c>
      <c r="I85" s="50" t="s">
        <v>276</v>
      </c>
    </row>
    <row r="86" spans="1:9">
      <c r="A86" s="43">
        <v>46028</v>
      </c>
      <c r="B86" s="50" t="s">
        <v>553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545</v>
      </c>
      <c r="I86" s="50" t="s">
        <v>276</v>
      </c>
    </row>
    <row r="87" spans="1:9" ht="16">
      <c r="A87" s="46">
        <v>46029</v>
      </c>
      <c r="B87" s="47" t="s">
        <v>555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512</v>
      </c>
      <c r="I87" s="47" t="s">
        <v>276</v>
      </c>
    </row>
    <row r="88" spans="1:9">
      <c r="A88" s="43">
        <v>46032</v>
      </c>
      <c r="B88" s="50" t="s">
        <v>554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556</v>
      </c>
      <c r="I88" s="50" t="s">
        <v>276</v>
      </c>
    </row>
    <row r="89" spans="1:9" ht="16">
      <c r="A89" s="46">
        <v>46033</v>
      </c>
      <c r="B89" s="47" t="s">
        <v>557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488</v>
      </c>
      <c r="I89" s="47" t="s">
        <v>276</v>
      </c>
    </row>
    <row r="90" spans="1:9">
      <c r="A90" s="43">
        <v>46033</v>
      </c>
      <c r="B90" s="50" t="s">
        <v>558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556</v>
      </c>
      <c r="I90" s="50" t="s">
        <v>276</v>
      </c>
    </row>
    <row r="91" spans="1:9" ht="16">
      <c r="A91" s="46">
        <v>46034</v>
      </c>
      <c r="B91" s="47" t="s">
        <v>559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556</v>
      </c>
      <c r="I91" s="47" t="s">
        <v>276</v>
      </c>
    </row>
    <row r="92" spans="1:9">
      <c r="A92" s="43">
        <v>46034</v>
      </c>
      <c r="B92" s="50" t="s">
        <v>560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561</v>
      </c>
      <c r="I92" s="50" t="s">
        <v>276</v>
      </c>
    </row>
    <row r="93" spans="1:9" ht="16">
      <c r="A93" s="46">
        <v>46035</v>
      </c>
      <c r="B93" s="47" t="s">
        <v>564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567</v>
      </c>
      <c r="I93" s="47" t="s">
        <v>276</v>
      </c>
    </row>
    <row r="94" spans="1:9">
      <c r="A94" s="43">
        <v>46036</v>
      </c>
      <c r="B94" s="50" t="s">
        <v>566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568</v>
      </c>
      <c r="I94" s="50" t="s">
        <v>276</v>
      </c>
    </row>
    <row r="95" spans="1:9" ht="16">
      <c r="A95" s="46">
        <v>46038</v>
      </c>
      <c r="B95" s="47" t="s">
        <v>591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556</v>
      </c>
      <c r="I95" s="47" t="s">
        <v>276</v>
      </c>
    </row>
    <row r="96" spans="1:9">
      <c r="A96" s="43">
        <v>46038</v>
      </c>
      <c r="B96" s="50" t="s">
        <v>550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582</v>
      </c>
      <c r="I96" s="50" t="s">
        <v>276</v>
      </c>
    </row>
    <row r="97" spans="1:9" ht="16">
      <c r="A97" s="46">
        <v>46039</v>
      </c>
      <c r="B97" s="47" t="s">
        <v>584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585</v>
      </c>
      <c r="I97" s="47" t="s">
        <v>276</v>
      </c>
    </row>
    <row r="98" spans="1:9">
      <c r="A98" s="43">
        <v>46040</v>
      </c>
      <c r="B98" s="50" t="s">
        <v>589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590</v>
      </c>
      <c r="I98" s="50" t="s">
        <v>276</v>
      </c>
    </row>
    <row r="99" spans="1:9" ht="16">
      <c r="A99" s="46">
        <v>46041</v>
      </c>
      <c r="B99" s="47" t="s">
        <v>598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556</v>
      </c>
      <c r="I99" s="47" t="s">
        <v>276</v>
      </c>
    </row>
    <row r="100" spans="1:9">
      <c r="A100" s="43">
        <v>46042</v>
      </c>
      <c r="B100" s="50" t="s">
        <v>600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601</v>
      </c>
      <c r="I100" s="50" t="s">
        <v>276</v>
      </c>
    </row>
    <row r="101" spans="1:9" ht="16">
      <c r="A101" s="46">
        <v>46043</v>
      </c>
      <c r="B101" s="47" t="s">
        <v>603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604</v>
      </c>
      <c r="I101" s="47" t="s">
        <v>276</v>
      </c>
    </row>
    <row r="102" spans="1:9">
      <c r="A102" s="43">
        <v>46046</v>
      </c>
      <c r="B102" s="50" t="s">
        <v>625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626</v>
      </c>
      <c r="I102" s="50" t="s">
        <v>276</v>
      </c>
    </row>
    <row r="103" spans="1:9">
      <c r="A103" s="46">
        <v>46048</v>
      </c>
      <c r="B103" s="47" t="s">
        <v>628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545</v>
      </c>
      <c r="I103" s="47" t="s">
        <v>276</v>
      </c>
    </row>
    <row r="104" spans="1:9">
      <c r="A104" s="43">
        <v>46048</v>
      </c>
      <c r="B104" s="50" t="s">
        <v>631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632</v>
      </c>
      <c r="I104" s="50" t="s">
        <v>276</v>
      </c>
    </row>
    <row r="105" spans="1:9" ht="16">
      <c r="A105" s="46">
        <v>46049</v>
      </c>
      <c r="B105" s="47" t="s">
        <v>635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512</v>
      </c>
      <c r="I105" s="47" t="s">
        <v>276</v>
      </c>
    </row>
    <row r="106" spans="1:9">
      <c r="A106" s="43">
        <v>46049</v>
      </c>
      <c r="B106" s="50" t="s">
        <v>638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636</v>
      </c>
      <c r="I106" s="50" t="s">
        <v>276</v>
      </c>
    </row>
    <row r="107" spans="1:9" ht="16">
      <c r="A107" s="46">
        <v>46049</v>
      </c>
      <c r="B107" s="47" t="s">
        <v>637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639</v>
      </c>
      <c r="I107" s="47" t="s">
        <v>276</v>
      </c>
    </row>
    <row r="108" spans="1:9">
      <c r="A108" s="43">
        <v>46050</v>
      </c>
      <c r="B108" s="50" t="s">
        <v>643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644</v>
      </c>
      <c r="I108" s="50" t="s">
        <v>276</v>
      </c>
    </row>
    <row r="109" spans="1:9" ht="16">
      <c r="A109" s="46">
        <v>46051</v>
      </c>
      <c r="B109" s="47" t="s">
        <v>665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545</v>
      </c>
      <c r="I109" s="47" t="s">
        <v>276</v>
      </c>
    </row>
    <row r="110" spans="1:9">
      <c r="A110" s="43">
        <v>46051</v>
      </c>
      <c r="B110" s="50" t="s">
        <v>664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545</v>
      </c>
      <c r="I110" s="50" t="s">
        <v>276</v>
      </c>
    </row>
    <row r="111" spans="1:9" ht="16">
      <c r="A111" s="46">
        <v>46051</v>
      </c>
      <c r="B111" s="47" t="s">
        <v>584</v>
      </c>
      <c r="C111" s="48">
        <v>580</v>
      </c>
      <c r="D111" s="47" t="s">
        <v>649</v>
      </c>
      <c r="E111" s="47" t="s">
        <v>48</v>
      </c>
      <c r="F111" s="49"/>
      <c r="G111" s="49"/>
      <c r="H111" s="68" t="s">
        <v>650</v>
      </c>
      <c r="I111" s="47" t="s">
        <v>276</v>
      </c>
    </row>
    <row r="112" spans="1:9">
      <c r="A112" s="43">
        <v>46054</v>
      </c>
      <c r="B112" s="50" t="s">
        <v>653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673</v>
      </c>
      <c r="I112" s="50" t="s">
        <v>276</v>
      </c>
    </row>
    <row r="113" spans="1:9" ht="16">
      <c r="A113" s="46">
        <v>46054</v>
      </c>
      <c r="B113" s="47" t="s">
        <v>654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568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512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656</v>
      </c>
      <c r="I115" s="47" t="s">
        <v>276</v>
      </c>
    </row>
    <row r="116" spans="1:9">
      <c r="A116" s="43">
        <v>46060</v>
      </c>
      <c r="B116" s="50" t="s">
        <v>658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659</v>
      </c>
      <c r="I116" s="50" t="s">
        <v>276</v>
      </c>
    </row>
    <row r="117" spans="1:9" ht="16">
      <c r="A117" s="46">
        <v>46062</v>
      </c>
      <c r="B117" s="47" t="s">
        <v>663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666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667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671</v>
      </c>
      <c r="C120" s="51">
        <v>1450</v>
      </c>
      <c r="D120" s="50" t="s">
        <v>672</v>
      </c>
      <c r="E120" s="50" t="s">
        <v>46</v>
      </c>
      <c r="F120" s="50"/>
      <c r="G120" s="50"/>
      <c r="H120" s="69" t="s">
        <v>597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674</v>
      </c>
      <c r="I121" s="47" t="s">
        <v>276</v>
      </c>
    </row>
    <row r="122" spans="1:9">
      <c r="A122" s="43">
        <v>46074</v>
      </c>
      <c r="B122" s="50" t="s">
        <v>675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676</v>
      </c>
      <c r="I122" s="50" t="s">
        <v>276</v>
      </c>
    </row>
    <row r="123" spans="1:9" ht="16">
      <c r="A123" s="46">
        <v>46075</v>
      </c>
      <c r="B123" s="47" t="s">
        <v>677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488</v>
      </c>
      <c r="I123" s="47" t="s">
        <v>276</v>
      </c>
    </row>
    <row r="124" spans="1:9">
      <c r="A124" s="43">
        <v>46075</v>
      </c>
      <c r="B124" s="50" t="s">
        <v>692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678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738</v>
      </c>
      <c r="I125" s="47" t="s">
        <v>276</v>
      </c>
    </row>
    <row r="126" spans="1:9">
      <c r="A126" s="43">
        <v>46079</v>
      </c>
      <c r="B126" s="50" t="s">
        <v>684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686</v>
      </c>
      <c r="I126" s="50" t="s">
        <v>276</v>
      </c>
    </row>
    <row r="127" spans="1:9">
      <c r="A127" s="46">
        <v>46090</v>
      </c>
      <c r="B127" s="47" t="s">
        <v>691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689</v>
      </c>
      <c r="I127" s="47" t="s">
        <v>276</v>
      </c>
    </row>
    <row r="128" spans="1:9">
      <c r="A128" s="43">
        <v>46090</v>
      </c>
      <c r="B128" s="50" t="s">
        <v>693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690</v>
      </c>
      <c r="I128" s="50" t="s">
        <v>276</v>
      </c>
    </row>
    <row r="129" spans="1:9" ht="16">
      <c r="A129" s="46">
        <v>46090</v>
      </c>
      <c r="B129" s="47" t="s">
        <v>694</v>
      </c>
      <c r="C129" s="48">
        <v>1200</v>
      </c>
      <c r="D129" s="47" t="s">
        <v>281</v>
      </c>
      <c r="E129" s="47" t="s">
        <v>46</v>
      </c>
      <c r="F129" s="49"/>
      <c r="G129" s="49"/>
      <c r="H129" s="68" t="s">
        <v>699</v>
      </c>
      <c r="I129" s="47" t="s">
        <v>191</v>
      </c>
    </row>
    <row r="130" spans="1:9">
      <c r="A130" s="43">
        <v>46090</v>
      </c>
      <c r="B130" s="50" t="s">
        <v>695</v>
      </c>
      <c r="C130" s="51">
        <v>800</v>
      </c>
      <c r="D130" s="50" t="s">
        <v>281</v>
      </c>
      <c r="E130" s="50" t="s">
        <v>46</v>
      </c>
      <c r="F130" s="50"/>
      <c r="G130" s="50"/>
      <c r="H130" s="69" t="s">
        <v>741</v>
      </c>
      <c r="I130" s="50" t="s">
        <v>276</v>
      </c>
    </row>
    <row r="131" spans="1:9" ht="16">
      <c r="A131" s="46">
        <v>46091</v>
      </c>
      <c r="B131" s="47" t="s">
        <v>701</v>
      </c>
      <c r="C131" s="48">
        <v>1099</v>
      </c>
      <c r="D131" s="47" t="s">
        <v>281</v>
      </c>
      <c r="E131" s="47" t="s">
        <v>46</v>
      </c>
      <c r="F131" s="49"/>
      <c r="G131" s="49"/>
      <c r="H131" s="68" t="s">
        <v>702</v>
      </c>
      <c r="I131" s="47" t="s">
        <v>276</v>
      </c>
    </row>
    <row r="132" spans="1:9">
      <c r="A132" s="43">
        <v>46092</v>
      </c>
      <c r="B132" s="50" t="s">
        <v>692</v>
      </c>
      <c r="C132" s="51">
        <v>1200</v>
      </c>
      <c r="D132" s="50" t="s">
        <v>281</v>
      </c>
      <c r="E132" s="50" t="s">
        <v>46</v>
      </c>
      <c r="F132" s="50"/>
      <c r="G132" s="50"/>
      <c r="H132" s="69" t="s">
        <v>703</v>
      </c>
      <c r="I132" s="50" t="s">
        <v>191</v>
      </c>
    </row>
    <row r="133" spans="1:9" ht="16">
      <c r="A133" s="46">
        <v>46092</v>
      </c>
      <c r="B133" s="47" t="s">
        <v>704</v>
      </c>
      <c r="C133" s="48">
        <v>1099</v>
      </c>
      <c r="D133" s="47" t="s">
        <v>281</v>
      </c>
      <c r="E133" s="47" t="s">
        <v>46</v>
      </c>
      <c r="F133" s="49"/>
      <c r="G133" s="49"/>
      <c r="H133" s="68" t="s">
        <v>705</v>
      </c>
      <c r="I133" s="47" t="s">
        <v>276</v>
      </c>
    </row>
    <row r="134" spans="1:9">
      <c r="A134" s="43">
        <v>46093</v>
      </c>
      <c r="B134" s="50" t="s">
        <v>508</v>
      </c>
      <c r="C134" s="51">
        <v>850</v>
      </c>
      <c r="D134" s="50" t="s">
        <v>281</v>
      </c>
      <c r="E134" s="50" t="s">
        <v>46</v>
      </c>
      <c r="F134" s="50"/>
      <c r="G134" s="50"/>
      <c r="H134" s="69" t="s">
        <v>743</v>
      </c>
      <c r="I134" s="50" t="s">
        <v>191</v>
      </c>
    </row>
    <row r="135" spans="1:9" ht="16">
      <c r="A135" s="46">
        <v>46093</v>
      </c>
      <c r="B135" s="47" t="s">
        <v>324</v>
      </c>
      <c r="C135" s="48">
        <v>650</v>
      </c>
      <c r="D135" s="47" t="s">
        <v>281</v>
      </c>
      <c r="E135" s="47" t="s">
        <v>46</v>
      </c>
      <c r="F135" s="49"/>
      <c r="G135" s="49"/>
      <c r="H135" s="68" t="s">
        <v>728</v>
      </c>
      <c r="I135" s="47" t="s">
        <v>191</v>
      </c>
    </row>
    <row r="136" spans="1:9">
      <c r="A136" s="43">
        <v>46097</v>
      </c>
      <c r="B136" s="50" t="s">
        <v>734</v>
      </c>
      <c r="C136" s="51">
        <v>1550</v>
      </c>
      <c r="D136" s="50" t="s">
        <v>281</v>
      </c>
      <c r="E136" s="50" t="s">
        <v>46</v>
      </c>
      <c r="F136" s="50"/>
      <c r="G136" s="50"/>
      <c r="H136" s="69" t="s">
        <v>735</v>
      </c>
      <c r="I136" s="50" t="s">
        <v>276</v>
      </c>
    </row>
    <row r="137" spans="1:9" ht="16">
      <c r="A137" s="46">
        <v>46097</v>
      </c>
      <c r="B137" s="47" t="s">
        <v>739</v>
      </c>
      <c r="C137" s="48">
        <v>850</v>
      </c>
      <c r="D137" s="47" t="s">
        <v>281</v>
      </c>
      <c r="E137" s="47" t="s">
        <v>46</v>
      </c>
      <c r="F137" s="49"/>
      <c r="G137" s="49"/>
      <c r="H137" s="68" t="s">
        <v>740</v>
      </c>
      <c r="I137" s="47" t="s">
        <v>276</v>
      </c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5"/>
  <sheetViews>
    <sheetView workbookViewId="0">
      <pane ySplit="1" topLeftCell="A41" activePane="bottomLeft" state="frozen"/>
      <selection pane="bottomLeft" activeCell="P61" sqref="P61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59" style="2" customWidth="1"/>
    <col min="13" max="13" width="20.6640625" style="2" bestFit="1" customWidth="1"/>
    <col min="14" max="14" width="13" style="2" customWidth="1"/>
    <col min="15" max="15" width="22.33203125" style="2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342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343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344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345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346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347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348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349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350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351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352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353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354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355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356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357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358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359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360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361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362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363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364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365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366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367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368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369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370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371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372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373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374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375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376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377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378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379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380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381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382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383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384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122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385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386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387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562</v>
      </c>
      <c r="M47" s="28" t="s">
        <v>563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388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389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390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391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392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666</v>
      </c>
      <c r="M52" s="30"/>
      <c r="N52" s="30" t="s">
        <v>180</v>
      </c>
      <c r="O52" s="30" t="s">
        <v>531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393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662</v>
      </c>
      <c r="M53" s="28"/>
      <c r="N53" s="28" t="s">
        <v>191</v>
      </c>
      <c r="O53" s="28" t="s">
        <v>195</v>
      </c>
      <c r="P53" s="28" t="s">
        <v>661</v>
      </c>
      <c r="Q53" s="28"/>
      <c r="R53" s="28"/>
      <c r="S53" s="28"/>
      <c r="T53" s="28"/>
    </row>
    <row r="54" spans="1:20" s="64" customFormat="1" ht="15" customHeight="1">
      <c r="A54" s="26" t="s">
        <v>394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395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660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396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397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528</v>
      </c>
      <c r="P57" s="28"/>
      <c r="Q57" s="28"/>
      <c r="R57" s="28"/>
      <c r="S57" s="28"/>
      <c r="T57" s="28"/>
    </row>
    <row r="58" spans="1:20" ht="15" customHeight="1">
      <c r="A58" s="26" t="s">
        <v>398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482</v>
      </c>
      <c r="P58" s="30"/>
      <c r="Q58" s="30"/>
      <c r="R58" s="30"/>
      <c r="S58" s="30"/>
      <c r="T58" s="30"/>
    </row>
    <row r="59" spans="1:20" ht="15" customHeight="1">
      <c r="A59" s="28" t="s">
        <v>399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480</v>
      </c>
      <c r="M59" s="28"/>
      <c r="N59" s="28" t="s">
        <v>180</v>
      </c>
      <c r="O59" s="28" t="s">
        <v>718</v>
      </c>
      <c r="P59" s="28" t="s">
        <v>203</v>
      </c>
      <c r="Q59" s="28"/>
      <c r="R59" s="28"/>
      <c r="S59" s="28"/>
      <c r="T59" s="28"/>
    </row>
    <row r="60" spans="1:20" ht="15">
      <c r="A60" s="26" t="s">
        <v>400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651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45">
      <c r="A61" s="28" t="s">
        <v>401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2</v>
      </c>
      <c r="G61" s="29">
        <v>4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2192</v>
      </c>
      <c r="K61" s="28">
        <f t="shared" si="5"/>
        <v>4384</v>
      </c>
      <c r="L61" s="28" t="s">
        <v>745</v>
      </c>
      <c r="M61" s="28"/>
      <c r="N61" s="28" t="s">
        <v>180</v>
      </c>
      <c r="O61" s="28" t="s">
        <v>744</v>
      </c>
      <c r="P61" s="28" t="s">
        <v>746</v>
      </c>
      <c r="Q61" s="28" t="s">
        <v>478</v>
      </c>
      <c r="R61" s="28"/>
      <c r="S61" s="28"/>
      <c r="T61" s="28"/>
    </row>
    <row r="62" spans="1:20" ht="15" customHeight="1">
      <c r="A62" s="26" t="s">
        <v>402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668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403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404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405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15">
      <c r="A66" s="26" t="s">
        <v>406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586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407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122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408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409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410</v>
      </c>
      <c r="B70" s="30" t="s">
        <v>588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681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411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412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485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413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/>
      <c r="Q73" s="28"/>
      <c r="R73" s="28"/>
      <c r="S73" s="28"/>
      <c r="T73" s="28"/>
    </row>
    <row r="74" spans="1:20" ht="15" customHeight="1">
      <c r="A74" s="26" t="s">
        <v>414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/>
      <c r="Q74" s="30"/>
      <c r="R74" s="30"/>
      <c r="S74" s="30"/>
      <c r="T74" s="30"/>
    </row>
    <row r="75" spans="1:20" ht="15" customHeight="1">
      <c r="A75" s="28" t="s">
        <v>415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/>
      <c r="Q75" s="28"/>
      <c r="R75" s="28"/>
      <c r="S75" s="28"/>
      <c r="T75" s="28"/>
    </row>
    <row r="76" spans="1:20" ht="15" customHeight="1">
      <c r="A76" s="26" t="s">
        <v>416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/>
      <c r="Q76" s="30"/>
      <c r="R76" s="30"/>
      <c r="S76" s="30"/>
      <c r="T76" s="30"/>
    </row>
    <row r="77" spans="1:20" ht="15" customHeight="1">
      <c r="A77" s="28" t="s">
        <v>417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541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418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419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420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532</v>
      </c>
      <c r="M80" s="30"/>
      <c r="N80" s="30" t="s">
        <v>180</v>
      </c>
      <c r="O80" s="30" t="s">
        <v>533</v>
      </c>
      <c r="P80" s="30"/>
      <c r="Q80" s="30"/>
      <c r="R80" s="30"/>
      <c r="S80" s="30"/>
      <c r="T80" s="30"/>
    </row>
    <row r="81" spans="1:20" ht="37" customHeight="1">
      <c r="A81" s="28" t="s">
        <v>421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3</v>
      </c>
      <c r="G81" s="29">
        <v>0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1785</v>
      </c>
      <c r="K81" s="28">
        <f t="shared" si="8"/>
        <v>0</v>
      </c>
      <c r="L81" s="28" t="s">
        <v>719</v>
      </c>
      <c r="M81" s="28"/>
      <c r="N81" s="28" t="s">
        <v>122</v>
      </c>
      <c r="O81" s="28"/>
      <c r="P81" s="28"/>
      <c r="Q81" s="28"/>
      <c r="R81" s="28"/>
      <c r="S81" s="28"/>
      <c r="T81" s="28"/>
    </row>
    <row r="82" spans="1:20" ht="15">
      <c r="A82" s="26" t="s">
        <v>422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698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423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424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583</v>
      </c>
      <c r="P84" s="30"/>
      <c r="Q84" s="30"/>
      <c r="R84" s="30"/>
      <c r="S84" s="30"/>
      <c r="T84" s="30"/>
    </row>
    <row r="85" spans="1:20" ht="30" customHeight="1">
      <c r="A85" s="28" t="s">
        <v>425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669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426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670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427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428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476</v>
      </c>
      <c r="M88" s="30"/>
      <c r="N88" s="30" t="s">
        <v>180</v>
      </c>
      <c r="O88" s="30" t="s">
        <v>475</v>
      </c>
      <c r="P88" s="30"/>
      <c r="Q88" s="30"/>
      <c r="R88" s="30"/>
      <c r="S88" s="30"/>
      <c r="T88" s="30"/>
    </row>
    <row r="89" spans="1:20" ht="15" customHeight="1">
      <c r="A89" s="28" t="s">
        <v>429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587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584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430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683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431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685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432</v>
      </c>
      <c r="B93" s="28" t="s">
        <v>477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503</v>
      </c>
      <c r="M93" s="28"/>
      <c r="N93" s="30" t="s">
        <v>180</v>
      </c>
      <c r="O93" s="28" t="s">
        <v>504</v>
      </c>
      <c r="P93" s="28"/>
      <c r="Q93" s="28"/>
      <c r="R93" s="28"/>
      <c r="S93" s="28"/>
      <c r="T93" s="28"/>
    </row>
    <row r="94" spans="1:20" ht="15" customHeight="1">
      <c r="A94" s="26" t="s">
        <v>433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434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483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435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436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437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438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439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440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441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442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479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443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444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445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1</v>
      </c>
      <c r="G106" s="31">
        <v>0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976</v>
      </c>
      <c r="K106" s="30">
        <f t="shared" si="11"/>
        <v>0</v>
      </c>
      <c r="L106" s="30" t="s">
        <v>700</v>
      </c>
      <c r="M106" s="30"/>
      <c r="N106" s="30" t="s">
        <v>122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446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447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448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449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450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451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452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479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453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484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454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3</v>
      </c>
      <c r="G115" s="29">
        <v>2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3764.2799999999997</v>
      </c>
      <c r="K115" s="28">
        <f t="shared" si="11"/>
        <v>2509.52</v>
      </c>
      <c r="L115" s="28" t="s">
        <v>736</v>
      </c>
      <c r="M115" s="28"/>
      <c r="N115" s="28" t="s">
        <v>180</v>
      </c>
      <c r="O115" s="28"/>
      <c r="P115" s="89" t="s">
        <v>652</v>
      </c>
      <c r="Q115" s="28"/>
      <c r="R115" s="28"/>
      <c r="S115" s="28"/>
      <c r="T115" s="28"/>
    </row>
    <row r="116" spans="1:20" ht="135">
      <c r="A116" s="26" t="s">
        <v>455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679</v>
      </c>
      <c r="M116" s="30"/>
      <c r="N116" s="30" t="s">
        <v>180</v>
      </c>
      <c r="O116" s="30"/>
      <c r="P116" s="30" t="s">
        <v>730</v>
      </c>
      <c r="Q116" s="30"/>
      <c r="R116" s="30"/>
      <c r="S116" s="30"/>
      <c r="T116" s="30"/>
    </row>
    <row r="117" spans="1:20" ht="15" customHeight="1">
      <c r="A117" s="28" t="s">
        <v>456</v>
      </c>
      <c r="B117" s="28" t="s">
        <v>329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336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457</v>
      </c>
      <c r="B118" s="30" t="s">
        <v>327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546</v>
      </c>
      <c r="M118" s="30"/>
      <c r="N118" s="30" t="s">
        <v>180</v>
      </c>
      <c r="O118" s="30"/>
      <c r="P118" s="30" t="s">
        <v>547</v>
      </c>
      <c r="Q118" s="30"/>
      <c r="R118" s="30"/>
      <c r="S118" s="30"/>
      <c r="T118" s="30"/>
    </row>
    <row r="119" spans="1:20" ht="15" customHeight="1">
      <c r="A119" s="28" t="s">
        <v>458</v>
      </c>
      <c r="B119" s="28" t="s">
        <v>328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459</v>
      </c>
      <c r="B120" s="30" t="s">
        <v>326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337</v>
      </c>
      <c r="M120" s="30" t="s">
        <v>46</v>
      </c>
      <c r="N120" s="30" t="s">
        <v>122</v>
      </c>
      <c r="O120" s="30"/>
      <c r="P120" s="30" t="s">
        <v>726</v>
      </c>
      <c r="Q120" s="30"/>
      <c r="R120" s="30"/>
      <c r="S120" s="30"/>
      <c r="T120" s="30"/>
    </row>
    <row r="121" spans="1:20" ht="15">
      <c r="A121" s="28" t="s">
        <v>460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486</v>
      </c>
      <c r="M121" s="28"/>
      <c r="N121" s="28" t="s">
        <v>122</v>
      </c>
      <c r="O121" s="28"/>
      <c r="P121" s="28" t="s">
        <v>727</v>
      </c>
      <c r="Q121" s="28"/>
      <c r="R121" s="28"/>
      <c r="S121" s="28"/>
      <c r="T121" s="28"/>
    </row>
    <row r="122" spans="1:20" ht="15">
      <c r="A122" s="26" t="s">
        <v>461</v>
      </c>
      <c r="B122" s="30" t="s">
        <v>332</v>
      </c>
      <c r="C122" s="30" t="s">
        <v>135</v>
      </c>
      <c r="D122" s="31">
        <v>1175</v>
      </c>
      <c r="E122" s="31">
        <v>1600</v>
      </c>
      <c r="F122" s="31">
        <v>1</v>
      </c>
      <c r="G122" s="31">
        <v>3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1175</v>
      </c>
      <c r="K122" s="30">
        <f t="shared" si="11"/>
        <v>3525</v>
      </c>
      <c r="L122" s="30" t="s">
        <v>742</v>
      </c>
      <c r="M122" s="30"/>
      <c r="N122" s="30" t="s">
        <v>180</v>
      </c>
      <c r="O122" s="30" t="s">
        <v>531</v>
      </c>
      <c r="P122" s="30"/>
      <c r="Q122" s="30"/>
      <c r="R122" s="30"/>
      <c r="S122" s="30"/>
      <c r="T122" s="30"/>
    </row>
    <row r="123" spans="1:20" s="3" customFormat="1" ht="75">
      <c r="A123" s="80" t="s">
        <v>462</v>
      </c>
      <c r="B123" s="81" t="s">
        <v>333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657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30">
      <c r="A124" s="83" t="s">
        <v>463</v>
      </c>
      <c r="B124" s="84" t="s">
        <v>339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599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464</v>
      </c>
      <c r="B125" s="81" t="s">
        <v>340</v>
      </c>
      <c r="C125" s="81" t="s">
        <v>120</v>
      </c>
      <c r="D125" s="82">
        <v>908.25</v>
      </c>
      <c r="E125" s="82">
        <v>1450</v>
      </c>
      <c r="F125" s="82">
        <v>2</v>
      </c>
      <c r="G125" s="82">
        <v>0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1816.5</v>
      </c>
      <c r="K125" s="81">
        <f t="shared" si="11"/>
        <v>0</v>
      </c>
      <c r="L125" s="81" t="s">
        <v>602</v>
      </c>
      <c r="M125" s="81"/>
      <c r="N125" s="81" t="s">
        <v>122</v>
      </c>
      <c r="O125" s="81"/>
      <c r="P125" s="81" t="s">
        <v>341</v>
      </c>
      <c r="Q125" s="81"/>
      <c r="R125" s="81"/>
      <c r="S125" s="81"/>
      <c r="T125" s="81"/>
    </row>
    <row r="126" spans="1:20" ht="15" customHeight="1">
      <c r="A126" s="83" t="s">
        <v>465</v>
      </c>
      <c r="B126" s="30" t="s">
        <v>548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544</v>
      </c>
      <c r="P126" s="30"/>
      <c r="Q126" s="30"/>
      <c r="R126" s="30"/>
      <c r="S126" s="30"/>
      <c r="T126" s="30"/>
    </row>
    <row r="127" spans="1:20" ht="15" customHeight="1">
      <c r="A127" s="80" t="s">
        <v>466</v>
      </c>
      <c r="B127" s="28" t="s">
        <v>549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550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467</v>
      </c>
      <c r="B128" s="30" t="s">
        <v>569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468</v>
      </c>
      <c r="B129" s="28" t="s">
        <v>570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469</v>
      </c>
      <c r="B130" s="30" t="s">
        <v>606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470</v>
      </c>
      <c r="B131" s="28" t="s">
        <v>623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471</v>
      </c>
      <c r="B132" s="30" t="s">
        <v>571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687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472</v>
      </c>
      <c r="B133" s="28" t="s">
        <v>627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473</v>
      </c>
      <c r="B134" s="30" t="s">
        <v>624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474</v>
      </c>
      <c r="B135" s="28" t="s">
        <v>622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697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576</v>
      </c>
      <c r="B136" s="30" t="s">
        <v>609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645</v>
      </c>
      <c r="M136" s="30"/>
      <c r="N136" s="30" t="s">
        <v>180</v>
      </c>
      <c r="O136" s="30"/>
      <c r="P136" s="30" t="s">
        <v>646</v>
      </c>
      <c r="Q136" s="30"/>
      <c r="R136" s="30"/>
      <c r="S136" s="30"/>
      <c r="T136" s="30"/>
    </row>
    <row r="137" spans="1:20" ht="15">
      <c r="A137" s="80" t="s">
        <v>577</v>
      </c>
      <c r="B137" s="28" t="s">
        <v>575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578</v>
      </c>
      <c r="B138" s="30" t="s">
        <v>574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579</v>
      </c>
      <c r="B139" s="28" t="s">
        <v>573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658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580</v>
      </c>
      <c r="B140" s="30" t="s">
        <v>733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696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581</v>
      </c>
      <c r="B141" s="28" t="s">
        <v>572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15">
      <c r="A142" s="30" t="s">
        <v>592</v>
      </c>
      <c r="B142" s="30" t="s">
        <v>605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680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593</v>
      </c>
      <c r="B143" s="28" t="s">
        <v>594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595</v>
      </c>
      <c r="B144" s="30" t="s">
        <v>621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596</v>
      </c>
      <c r="B145" s="28" t="s">
        <v>597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671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610</v>
      </c>
      <c r="B146" s="30" t="s">
        <v>634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611</v>
      </c>
      <c r="B147" s="28" t="s">
        <v>731</v>
      </c>
      <c r="C147" s="28" t="s">
        <v>120</v>
      </c>
      <c r="D147" s="29">
        <v>719</v>
      </c>
      <c r="E147" s="29">
        <v>1200</v>
      </c>
      <c r="F147" s="82">
        <v>0</v>
      </c>
      <c r="G147" s="82">
        <v>3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0</v>
      </c>
      <c r="K147" s="81">
        <f t="shared" si="29"/>
        <v>2157</v>
      </c>
      <c r="L147" s="28" t="s">
        <v>732</v>
      </c>
      <c r="M147" s="28"/>
      <c r="N147" s="28" t="s">
        <v>180</v>
      </c>
      <c r="O147" s="28"/>
      <c r="P147" s="28"/>
      <c r="Q147" s="28"/>
      <c r="R147" s="28"/>
      <c r="S147" s="28"/>
      <c r="T147" s="28"/>
    </row>
    <row r="148" spans="1:20" ht="15">
      <c r="A148" s="30" t="s">
        <v>612</v>
      </c>
      <c r="B148" s="30" t="s">
        <v>633</v>
      </c>
      <c r="C148" s="30" t="s">
        <v>120</v>
      </c>
      <c r="D148" s="31">
        <v>502</v>
      </c>
      <c r="E148" s="31">
        <v>850</v>
      </c>
      <c r="F148" s="85">
        <v>2</v>
      </c>
      <c r="G148" s="85">
        <v>1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1004</v>
      </c>
      <c r="K148" s="84">
        <f t="shared" si="29"/>
        <v>502</v>
      </c>
      <c r="L148" s="30" t="s">
        <v>737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613</v>
      </c>
      <c r="B149" s="28" t="s">
        <v>630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614</v>
      </c>
      <c r="B150" s="30" t="s">
        <v>629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615</v>
      </c>
      <c r="B151" s="28" t="s">
        <v>616</v>
      </c>
      <c r="C151" s="28" t="s">
        <v>135</v>
      </c>
      <c r="D151" s="31">
        <v>645</v>
      </c>
      <c r="E151" s="31">
        <v>1099</v>
      </c>
      <c r="F151" s="85">
        <v>2</v>
      </c>
      <c r="G151" s="85">
        <v>2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1290</v>
      </c>
      <c r="K151" s="84">
        <f t="shared" ref="K151:K152" si="32">IF(LEN(G151)=0,0,G151)*I151</f>
        <v>1290</v>
      </c>
      <c r="L151" s="28" t="s">
        <v>706</v>
      </c>
      <c r="M151" s="28"/>
      <c r="N151" s="28" t="s">
        <v>180</v>
      </c>
      <c r="O151" s="28" t="s">
        <v>715</v>
      </c>
      <c r="P151" s="28" t="s">
        <v>617</v>
      </c>
      <c r="Q151" s="28"/>
      <c r="R151" s="28"/>
      <c r="S151" s="28"/>
      <c r="T151" s="28"/>
    </row>
    <row r="152" spans="1:20" ht="15">
      <c r="A152" s="30" t="s">
        <v>618</v>
      </c>
      <c r="B152" s="30" t="s">
        <v>619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647</v>
      </c>
      <c r="M152" s="30"/>
      <c r="N152" s="30" t="s">
        <v>180</v>
      </c>
      <c r="O152" s="30" t="s">
        <v>648</v>
      </c>
      <c r="P152" s="30" t="s">
        <v>620</v>
      </c>
      <c r="Q152" s="30"/>
      <c r="R152" s="30"/>
      <c r="S152" s="30"/>
      <c r="T152" s="30"/>
    </row>
    <row r="153" spans="1:20" ht="15">
      <c r="A153" s="28" t="s">
        <v>640</v>
      </c>
      <c r="B153" s="28" t="s">
        <v>641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:H154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:J154" si="34">F153*I153</f>
        <v>0</v>
      </c>
      <c r="K153" s="80">
        <f t="shared" ref="K153:K154" si="35">IF(LEN(G153)=0,0,G153)*I153</f>
        <v>1783</v>
      </c>
      <c r="L153" s="28"/>
      <c r="M153" s="28"/>
      <c r="N153" s="28" t="s">
        <v>222</v>
      </c>
      <c r="O153" s="28"/>
      <c r="P153" s="28" t="s">
        <v>642</v>
      </c>
      <c r="Q153" s="28"/>
      <c r="R153" s="28"/>
      <c r="S153" s="28"/>
      <c r="T153" s="28"/>
    </row>
    <row r="154" spans="1:20" ht="15">
      <c r="A154" s="30" t="s">
        <v>707</v>
      </c>
      <c r="B154" s="30" t="s">
        <v>720</v>
      </c>
      <c r="C154" s="30" t="s">
        <v>135</v>
      </c>
      <c r="D154" s="31">
        <v>949</v>
      </c>
      <c r="E154" s="31">
        <v>1450</v>
      </c>
      <c r="F154" s="85">
        <v>0</v>
      </c>
      <c r="G154" s="85">
        <v>3</v>
      </c>
      <c r="H154" s="86">
        <f t="shared" si="33"/>
        <v>3</v>
      </c>
      <c r="I154" s="84">
        <f>IF(D154&lt;&gt;"",D154,IFERROR(E154/(IFERROR(SUM([1]Sales!C:C),0))*(IFERROR(SUM([1]Purchases!C:C),0)),0))</f>
        <v>949</v>
      </c>
      <c r="J154" s="84">
        <f t="shared" si="34"/>
        <v>0</v>
      </c>
      <c r="K154" s="84">
        <f t="shared" si="35"/>
        <v>2847</v>
      </c>
      <c r="L154" s="30"/>
      <c r="M154" s="30"/>
      <c r="N154" s="30" t="s">
        <v>222</v>
      </c>
      <c r="O154" s="30" t="s">
        <v>717</v>
      </c>
      <c r="P154" s="30"/>
      <c r="Q154" s="30"/>
      <c r="R154" s="30"/>
      <c r="S154" s="30"/>
      <c r="T154" s="30"/>
    </row>
    <row r="155" spans="1:20" ht="15">
      <c r="A155" s="28" t="s">
        <v>708</v>
      </c>
      <c r="B155" s="28" t="s">
        <v>721</v>
      </c>
      <c r="C155" s="28" t="s">
        <v>135</v>
      </c>
      <c r="D155" s="29">
        <v>949</v>
      </c>
      <c r="E155" s="29">
        <v>1450</v>
      </c>
      <c r="F155" s="90">
        <v>0</v>
      </c>
      <c r="G155" s="90">
        <v>3</v>
      </c>
      <c r="H155" s="81">
        <f t="shared" ref="H155:H159" si="36">F155+IF(LEN(G155)=0,0,G155)</f>
        <v>3</v>
      </c>
      <c r="I155" s="80">
        <f>IF(D155&lt;&gt;"",D155,IFERROR(E155/(IFERROR(SUM([1]Sales!C:C),0))*(IFERROR(SUM([1]Purchases!C:C),0)),0))</f>
        <v>949</v>
      </c>
      <c r="J155" s="80">
        <f t="shared" ref="J155:J159" si="37">F155*I155</f>
        <v>0</v>
      </c>
      <c r="K155" s="80">
        <f t="shared" ref="K155:K159" si="38">IF(LEN(G155)=0,0,G155)*I155</f>
        <v>2847</v>
      </c>
      <c r="L155" s="28"/>
      <c r="M155" s="28"/>
      <c r="N155" s="28" t="s">
        <v>222</v>
      </c>
      <c r="O155" s="28" t="s">
        <v>717</v>
      </c>
      <c r="P155" s="28"/>
      <c r="Q155" s="28"/>
      <c r="R155" s="28"/>
      <c r="S155" s="28"/>
      <c r="T155" s="28"/>
    </row>
    <row r="156" spans="1:20" ht="15">
      <c r="A156" s="30" t="s">
        <v>709</v>
      </c>
      <c r="B156" s="30" t="s">
        <v>722</v>
      </c>
      <c r="C156" s="30" t="s">
        <v>135</v>
      </c>
      <c r="D156" s="31">
        <v>950</v>
      </c>
      <c r="E156" s="31">
        <v>1550</v>
      </c>
      <c r="F156" s="85">
        <v>0</v>
      </c>
      <c r="G156" s="85">
        <v>4</v>
      </c>
      <c r="H156" s="86">
        <f t="shared" si="36"/>
        <v>4</v>
      </c>
      <c r="I156" s="84">
        <f>IF(D156&lt;&gt;"",D156,IFERROR(E156/(IFERROR(SUM([1]Sales!C:C),0))*(IFERROR(SUM([1]Purchases!C:C),0)),0))</f>
        <v>950</v>
      </c>
      <c r="J156" s="84">
        <f t="shared" si="37"/>
        <v>0</v>
      </c>
      <c r="K156" s="84">
        <f t="shared" si="38"/>
        <v>3800</v>
      </c>
      <c r="L156" s="30"/>
      <c r="M156" s="30"/>
      <c r="N156" s="30" t="s">
        <v>222</v>
      </c>
      <c r="O156" s="30" t="s">
        <v>713</v>
      </c>
      <c r="P156" s="30"/>
      <c r="Q156" s="30"/>
      <c r="R156" s="30"/>
      <c r="S156" s="30"/>
      <c r="T156" s="30"/>
    </row>
    <row r="157" spans="1:20" ht="15">
      <c r="A157" s="28" t="s">
        <v>710</v>
      </c>
      <c r="B157" s="28" t="s">
        <v>723</v>
      </c>
      <c r="C157" s="28" t="s">
        <v>135</v>
      </c>
      <c r="D157" s="29">
        <v>525</v>
      </c>
      <c r="E157" s="29">
        <v>850</v>
      </c>
      <c r="F157" s="90">
        <v>1</v>
      </c>
      <c r="G157" s="90">
        <v>3</v>
      </c>
      <c r="H157" s="81">
        <f t="shared" si="36"/>
        <v>4</v>
      </c>
      <c r="I157" s="80">
        <f>IF(D157&lt;&gt;"",D157,IFERROR(E157/(IFERROR(SUM([1]Sales!C:C),0))*(IFERROR(SUM([1]Purchases!C:C),0)),0))</f>
        <v>525</v>
      </c>
      <c r="J157" s="80">
        <f t="shared" si="37"/>
        <v>525</v>
      </c>
      <c r="K157" s="80">
        <f t="shared" si="38"/>
        <v>1575</v>
      </c>
      <c r="L157" s="28" t="s">
        <v>716</v>
      </c>
      <c r="M157" s="28"/>
      <c r="N157" s="28" t="s">
        <v>180</v>
      </c>
      <c r="O157" s="28" t="s">
        <v>712</v>
      </c>
      <c r="P157" s="28"/>
      <c r="Q157" s="28"/>
      <c r="R157" s="28"/>
      <c r="S157" s="28"/>
      <c r="T157" s="28"/>
    </row>
    <row r="158" spans="1:20" ht="15">
      <c r="A158" s="30" t="s">
        <v>711</v>
      </c>
      <c r="B158" s="30" t="s">
        <v>724</v>
      </c>
      <c r="C158" s="30" t="s">
        <v>135</v>
      </c>
      <c r="D158" s="31">
        <v>839</v>
      </c>
      <c r="E158" s="31">
        <v>1450</v>
      </c>
      <c r="F158" s="85">
        <v>0</v>
      </c>
      <c r="G158" s="85">
        <v>5</v>
      </c>
      <c r="H158" s="86">
        <f t="shared" si="36"/>
        <v>5</v>
      </c>
      <c r="I158" s="84">
        <f>IF(D158&lt;&gt;"",D158,IFERROR(E158/(IFERROR(SUM([1]Sales!C:C),0))*(IFERROR(SUM([1]Purchases!C:C),0)),0))</f>
        <v>839</v>
      </c>
      <c r="J158" s="84">
        <f t="shared" si="37"/>
        <v>0</v>
      </c>
      <c r="K158" s="84">
        <f t="shared" si="38"/>
        <v>4195</v>
      </c>
      <c r="L158" s="30"/>
      <c r="M158" s="30"/>
      <c r="N158" s="30" t="s">
        <v>222</v>
      </c>
      <c r="O158" s="30" t="s">
        <v>714</v>
      </c>
      <c r="P158" s="30"/>
      <c r="Q158" s="30"/>
      <c r="R158" s="30"/>
      <c r="S158" s="30"/>
      <c r="T158" s="30"/>
    </row>
    <row r="159" spans="1:20" ht="15">
      <c r="A159" s="28" t="s">
        <v>729</v>
      </c>
      <c r="B159" s="28" t="s">
        <v>725</v>
      </c>
      <c r="C159" s="28" t="s">
        <v>135</v>
      </c>
      <c r="D159" s="29">
        <v>839</v>
      </c>
      <c r="E159" s="29">
        <v>1450</v>
      </c>
      <c r="F159" s="90">
        <v>0</v>
      </c>
      <c r="G159" s="90">
        <v>5</v>
      </c>
      <c r="H159" s="81">
        <f t="shared" si="36"/>
        <v>5</v>
      </c>
      <c r="I159" s="80">
        <f>IF(D159&lt;&gt;"",D159,IFERROR(E159/(IFERROR(SUM([1]Sales!C:C),0))*(IFERROR(SUM([1]Purchases!C:C),0)),0))</f>
        <v>839</v>
      </c>
      <c r="J159" s="80">
        <f t="shared" si="37"/>
        <v>0</v>
      </c>
      <c r="K159" s="80">
        <f t="shared" si="38"/>
        <v>4195</v>
      </c>
      <c r="L159" s="28"/>
      <c r="M159" s="28"/>
      <c r="N159" s="28" t="s">
        <v>222</v>
      </c>
      <c r="O159" s="28" t="s">
        <v>714</v>
      </c>
      <c r="P159" s="28"/>
      <c r="Q159" s="28"/>
      <c r="R159" s="28"/>
      <c r="S159" s="28"/>
      <c r="T159" s="28"/>
    </row>
    <row r="160" spans="1:20">
      <c r="A160" s="30"/>
      <c r="B160" s="30"/>
      <c r="C160" s="30"/>
      <c r="D160" s="31"/>
      <c r="E160" s="31"/>
      <c r="F160" s="31"/>
      <c r="G160" s="31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spans="1:20">
      <c r="A161" s="28"/>
      <c r="B161" s="28"/>
      <c r="C161" s="28"/>
      <c r="D161" s="29"/>
      <c r="E161" s="29"/>
      <c r="F161" s="29"/>
      <c r="G161" s="29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</row>
    <row r="162" spans="1:20">
      <c r="A162" s="30"/>
      <c r="B162" s="30"/>
      <c r="C162" s="30"/>
      <c r="D162" s="31"/>
      <c r="E162" s="31"/>
      <c r="F162" s="31"/>
      <c r="G162" s="31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spans="1:20">
      <c r="A163" s="28"/>
      <c r="B163" s="28"/>
      <c r="C163" s="28"/>
      <c r="D163" s="29"/>
      <c r="E163" s="29"/>
      <c r="F163" s="29"/>
      <c r="G163" s="29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</row>
    <row r="164" spans="1:20">
      <c r="A164" s="30"/>
      <c r="B164" s="30"/>
      <c r="C164" s="30"/>
      <c r="D164" s="31"/>
      <c r="E164" s="31"/>
      <c r="F164" s="31"/>
      <c r="G164" s="31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spans="1:20">
      <c r="A165" s="28"/>
      <c r="B165" s="28"/>
      <c r="C165" s="28"/>
      <c r="D165" s="29"/>
      <c r="E165" s="29"/>
      <c r="F165" s="29"/>
      <c r="G165" s="29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</row>
    <row r="166" spans="1:20">
      <c r="A166" s="30"/>
      <c r="B166" s="30"/>
      <c r="C166" s="30"/>
      <c r="D166" s="31"/>
      <c r="E166" s="31"/>
      <c r="F166" s="31"/>
      <c r="G166" s="31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28"/>
      <c r="B168" s="28"/>
      <c r="C168" s="28"/>
      <c r="D168" s="29"/>
      <c r="E168" s="29"/>
      <c r="F168" s="29"/>
      <c r="G168" s="29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</row>
    <row r="169" spans="1:20">
      <c r="A169" s="30"/>
      <c r="B169" s="30"/>
      <c r="C169" s="30"/>
      <c r="D169" s="31"/>
      <c r="E169" s="31"/>
      <c r="F169" s="31"/>
      <c r="G169" s="31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spans="1:20">
      <c r="A170" s="28"/>
      <c r="B170" s="28"/>
      <c r="C170" s="28"/>
      <c r="D170" s="29"/>
      <c r="E170" s="29"/>
      <c r="F170" s="29"/>
      <c r="G170" s="29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</row>
    <row r="171" spans="1:20">
      <c r="A171" s="30"/>
      <c r="B171" s="30"/>
      <c r="C171" s="30"/>
      <c r="D171" s="31"/>
      <c r="E171" s="31"/>
      <c r="F171" s="31"/>
      <c r="G171" s="31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spans="1:20">
      <c r="A172" s="28"/>
      <c r="B172" s="28"/>
      <c r="C172" s="28"/>
      <c r="D172" s="29"/>
      <c r="E172" s="29"/>
      <c r="F172" s="29"/>
      <c r="G172" s="29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</row>
    <row r="173" spans="1:20">
      <c r="A173" s="30"/>
      <c r="B173" s="30"/>
      <c r="C173" s="30"/>
      <c r="D173" s="31"/>
      <c r="E173" s="31"/>
      <c r="F173" s="31"/>
      <c r="G173" s="31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spans="1:20">
      <c r="A174" s="28"/>
      <c r="B174" s="28"/>
      <c r="C174" s="28"/>
      <c r="D174" s="29"/>
      <c r="E174" s="29"/>
      <c r="F174" s="29"/>
      <c r="G174" s="29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</row>
    <row r="175" spans="1:20">
      <c r="A175" s="30"/>
      <c r="B175" s="30"/>
      <c r="C175" s="30"/>
      <c r="D175" s="31"/>
      <c r="E175" s="31"/>
      <c r="F175" s="31"/>
      <c r="G175" s="31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</sheetData>
  <phoneticPr fontId="13" type="noConversion"/>
  <dataValidations count="1">
    <dataValidation type="list" allowBlank="1" showInputMessage="1" showErrorMessage="1" sqref="N2:N989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110846</v>
      </c>
      <c r="C8" s="6">
        <f>SUM($B$8:$B$10)/3</f>
        <v>92542.666666666672</v>
      </c>
      <c r="D8" s="6">
        <f>B8-C8</f>
        <v>18303.333333333328</v>
      </c>
      <c r="E8" s="6">
        <f>IF(Summary!$B$6&gt;0, Summary!$B$6*VLOOKUP($A8,$A$3:$B$5,2,FALSE),0)</f>
        <v>0</v>
      </c>
      <c r="F8" s="6">
        <f>D8+E8</f>
        <v>18303.333333333328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">
        <f>F8-G8</f>
        <v>-6.6666666716628242E-3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92542.666666666672</v>
      </c>
      <c r="D9" s="7">
        <f>B9-C9</f>
        <v>41639.333333333328</v>
      </c>
      <c r="E9" s="7">
        <f>IF(Summary!$B$6&gt;0, Summary!$B$6*VLOOKUP($A9,$A$3:$B$5,2,FALSE),0)</f>
        <v>0</v>
      </c>
      <c r="F9" s="7">
        <f>D9+E9</f>
        <v>41639.333333333328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9">
        <f>F9-G9</f>
        <v>3.3333333267364651E-3</v>
      </c>
    </row>
    <row r="10" spans="1:8">
      <c r="A10" s="6" t="s">
        <v>48</v>
      </c>
      <c r="B10" s="6">
        <f>IFERROR(SUMIF(Purchases!$B:$B,$A10,Purchases!$C:$C),0)</f>
        <v>32600</v>
      </c>
      <c r="C10" s="6">
        <f>SUM($B$8:$B$10)/3</f>
        <v>92542.666666666672</v>
      </c>
      <c r="D10" s="6">
        <f>B10-C10</f>
        <v>-59942.666666666672</v>
      </c>
      <c r="E10" s="6">
        <f>IF(Summary!$B$6&gt;0, Summary!$B$6*VLOOKUP($A10,$A$3:$B$5,2,FALSE),0)</f>
        <v>0</v>
      </c>
      <c r="F10" s="6">
        <f>D10+E10</f>
        <v>-59942.666666666672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">
        <f>F10-G10</f>
        <v>3.3333333267364651E-3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12">
        <v>46093</v>
      </c>
      <c r="B26" s="6" t="s">
        <v>304</v>
      </c>
      <c r="C26" s="6" t="s">
        <v>47</v>
      </c>
      <c r="D26" s="6" t="s">
        <v>46</v>
      </c>
      <c r="E26" s="10">
        <v>4933.33</v>
      </c>
      <c r="F26" s="6"/>
    </row>
    <row r="27" spans="1:6">
      <c r="A27" s="13">
        <v>46093</v>
      </c>
      <c r="B27" s="7" t="s">
        <v>304</v>
      </c>
      <c r="C27" s="7" t="s">
        <v>48</v>
      </c>
      <c r="D27" s="7" t="s">
        <v>46</v>
      </c>
      <c r="E27" s="11">
        <v>56.01</v>
      </c>
      <c r="F27" s="7"/>
    </row>
    <row r="28" spans="1:6">
      <c r="A28" s="12">
        <v>46093</v>
      </c>
      <c r="B28" s="6" t="s">
        <v>277</v>
      </c>
      <c r="C28" s="6" t="s">
        <v>46</v>
      </c>
      <c r="D28" s="6" t="s">
        <v>48</v>
      </c>
      <c r="E28" s="10">
        <v>6630.46</v>
      </c>
      <c r="F28" s="6"/>
    </row>
    <row r="29" spans="1:6">
      <c r="A29" s="13">
        <v>46093</v>
      </c>
      <c r="B29" s="7" t="s">
        <v>277</v>
      </c>
      <c r="C29" s="7" t="s">
        <v>46</v>
      </c>
      <c r="D29" s="7" t="s">
        <v>47</v>
      </c>
      <c r="E29" s="11">
        <v>6626.09</v>
      </c>
      <c r="F29" s="7"/>
    </row>
    <row r="30" spans="1:6">
      <c r="A30" s="6"/>
      <c r="B30" s="6"/>
      <c r="C30" s="6"/>
      <c r="D30" s="6"/>
      <c r="E30" s="6"/>
      <c r="F30" s="6"/>
    </row>
    <row r="31" spans="1:6">
      <c r="A31" s="7"/>
      <c r="B31" s="7"/>
      <c r="C31" s="7"/>
      <c r="D31" s="7"/>
      <c r="E31" s="7"/>
      <c r="F31" s="7"/>
    </row>
    <row r="32" spans="1:6">
      <c r="A32" s="6"/>
      <c r="B32" s="6"/>
      <c r="C32" s="6"/>
      <c r="D32" s="6"/>
      <c r="E32" s="6"/>
      <c r="F32" s="6"/>
    </row>
    <row r="33" spans="1:6">
      <c r="A33" s="7"/>
      <c r="B33" s="7"/>
      <c r="C33" s="7"/>
      <c r="D33" s="7"/>
      <c r="E33" s="7"/>
      <c r="F33" s="7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218763</v>
      </c>
      <c r="C4" s="6">
        <f>VLOOKUP($A4,PartnerShares!$A$3:$B$5,2,FALSE)</f>
        <v>0.33339999999999997</v>
      </c>
      <c r="D4" s="6">
        <f>Summary!$B$4*C4</f>
        <v>79319.860799999995</v>
      </c>
      <c r="E4" s="6">
        <f>B4-D4</f>
        <v>139443.13920000001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">
        <f>E4+F4</f>
        <v>2133.1131999999925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79272.278399999996</v>
      </c>
      <c r="E5" s="7">
        <f>B5-D5</f>
        <v>-72653.278399999996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9">
        <f>E5+F5</f>
        <v>-1066.2363999999943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79319.860799999995</v>
      </c>
      <c r="E6" s="6">
        <f>B6-D6</f>
        <v>-66789.860799999995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">
        <f>E6+F6</f>
        <v>-1066.8767999999836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2026-03-18T02:21:49Z</dcterms:modified>
</cp:coreProperties>
</file>