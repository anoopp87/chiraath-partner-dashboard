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777281BD-5DEB-BC45-8C82-B42B31633FF8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<sst xmlns="http://schemas.openxmlformats.org/spreadsheetml/2006/main" count="1742" uniqueCount="701">
  <si>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</si>
  <si>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</si>
  <si>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</si>
  <si>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</si>
  <si>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</si>
  <si>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</si>
  <si>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</si>
  <si>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</si>
  <si>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</si>
  <si>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</si>
  <si>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</si>
  <si>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</si>
  <si>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</si>
  <si>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</si>
  <si>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</si>
  <si>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</si>
  <si>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</si>
  <si>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</si>
  <si>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</si>
  <si>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</si>
  <si>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</si>
  <si>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</si>
  <si>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</si>
  <si>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</si>
  <si>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</si>
  <si>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</si>
  <si>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</si>
  <si>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</si>
  <si>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</si>
  <si>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</si>
  <si>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</si>
  <si>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</si>
  <si>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</si>
  <si>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</si>
  <si>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</si>
  <si>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</si>
  <si>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</si>
  <si>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</si>
  <si>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</si>
  <si>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</si>
  <si>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</si>
  <si>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</si>
  <si>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</si>
  <si>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</si>
  <si>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</si>
  <si>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</si>
  <si>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</si>
  <si>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</si>
  <si>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</si>
  <si>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</si>
  <si>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</si>
  <si>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</si>
  <si>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</si>
  <si>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</si>
  <si>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</si>
  <si>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</si>
  <si>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</si>
  <si>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</si>
  <si>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</si>
  <si>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</si>
  <si>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</si>
  <si>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</si>
  <si>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</si>
  <si>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</si>
  <si>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</si>
  <si>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</si>
  <si>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</si>
  <si>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</si>
  <si>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</si>
  <si>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</si>
  <si>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</si>
  <si>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</si>
  <si>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</si>
  <si>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</si>
  <si>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</si>
  <si>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</si>
  <si>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</si>
  <si>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</si>
  <si>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</si>
  <si>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</si>
  <si>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</si>
  <si>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</si>
  <si>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</si>
  <si>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</si>
  <si>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</si>
  <si>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</si>
  <si>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</si>
  <si>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</si>
  <si>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</si>
  <si>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</si>
  <si>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</si>
  <si>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</si>
  <si>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</si>
  <si>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</si>
  <si>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</si>
  <si>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</si>
  <si>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</si>
  <si>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</si>
  <si>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</si>
  <si>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</si>
  <si>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</si>
  <si>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</si>
  <si>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</si>
  <si>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</si>
  <si>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</si>
  <si>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</si>
  <si>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</si>
  <si>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</si>
  <si>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</si>
  <si>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</si>
  <si>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</si>
  <si>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</si>
  <si>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</si>
  <si>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</si>
  <si>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</si>
  <si>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</si>
  <si>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</si>
  <si>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</si>
  <si>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</si>
  <si>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</si>
  <si>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</si>
  <si>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</si>
  <si>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</si>
  <si>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</si>
  <si>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</si>
  <si>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</si>
  <si>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</si>
  <si>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</si>
  <si>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</si>
  <si>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</si>
  <si>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</si>
  <si>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</si>
  <si>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</si>
  <si>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</si>
  <si>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</si>
  <si>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</si>
  <si>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</si>
  <si>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</si>
  <si>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</si>
  <si>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</si>
  <si>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</si>
  <si>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</si>
  <si>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</si>
  <si>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</si>
  <si>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</si>
  <si>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</si>
  <si>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</si>
  <si>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</si>
  <si>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</si>
  <si>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</si>
  <si>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</si>
  <si>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</si>
  <si>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</si>
  <si>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</si>
  <si>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</si>
  <si>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</si>
  <si>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</si>
  <si>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</si>
  <si>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</si>
  <si>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</si>
  <si>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</si>
  <si>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</si>
  <si>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</si>
  <si>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</si>
  <si>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</si>
  <si>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</si>
  <si>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</si>
  <si>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</si>
  <si>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</si>
  <si>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</si>
  <si>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</si>
  <si>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</si>
  <si>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</si>
  <si>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</si>
  <si>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</si>
  <si>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</si>
  <si>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</si>
  <si>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</si>
  <si>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</si>
  <si>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</si>
  <si>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</si>
  <si>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</si>
  <si>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</si>
  <si>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</si>
  <si>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</si>
  <si>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</si>
  <si>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</si>
  <si>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</si>
  <si>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</si>
  <si>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</si>
  <si>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</si>
  <si>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</si>
  <si>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</si>
  <si>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</si>
  <si>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</si>
  <si>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</si>
  <si>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</si>
  <si>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</si>
  <si>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</si>
  <si>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</si>
  <si>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</si>
  <si>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</si>
  <si>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</si>
  <si>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</si>
  <si>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</si>
  <si>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</si>
  <si>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</si>
  <si>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</si>
  <si>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</si>
  <si>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</si>
  <si>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</si>
  <si>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</si>
  <si>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</si>
  <si>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</si>
  <si>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</si>
  <si>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</si>
  <si>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</si>
  <si>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</si>
  <si>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</si>
  <si>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</si>
  <si>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</si>
  <si>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</si>
  <si>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</si>
  <si>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</si>
  <si>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</si>
  <si>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</si>
  <si>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</si>
  <si>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</si>
  <si>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</si>
  <si>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</si>
  <si>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</si>
  <si>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</si>
  <si>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</si>
  <si>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</si>
  <si>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</si>
  <si>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</si>
  <si>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</si>
  <si>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</si>
  <si>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</si>
  <si>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</si>
  <si>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</si>
  <si>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</si>
  <si>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</si>
  <si>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</si>
  <si>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</si>
  <si>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</si>
  <si>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</si>
  <si>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</si>
  <si>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</si>
  <si>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</si>
  <si>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</si>
  <si>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</si>
  <si>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</si>
  <si>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</si>
  <si>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</si>
  <si>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</si>
  <si>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</si>
  <si>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</si>
  <si>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</si>
  <si>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</si>
  <si>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</si>
  <si>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</si>
  <si>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</si>
  <si>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</si>
  <si>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</si>
  <si>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</si>
  <si>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</si>
  <si>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</si>
  <si>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</si>
  <si>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</si>
  <si>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</si>
  <si>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</si>
  <si>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</si>
  <si>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</si>
  <si>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</si>
  <si>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</si>
  <si>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</si>
  <si>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</si>
  <si>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</si>
  <si>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</si>
  <si>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</si>
  <si>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</si>
  <si>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</si>
  <si>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</si>
  <si>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</si>
  <si>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</si>
  <si>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</si>
  <si>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</si>
  <si>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</si>
  <si>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</si>
  <si>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</si>
  <si>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</si>
  <si>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</si>
  <si>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</si>
  <si>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</si>
  <si>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</si>
  <si>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</si>
  <si>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</si>
  <si>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</si>
  <si>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</si>
  <si>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</si>
  <si>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</si>
  <si>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</si>
  <si>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</si>
  <si>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</si>
  <si>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</si>
  <si>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</si>
  <si>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</si>
  <si>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</si>
  <si>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</si>
  <si>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</si>
  <si>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</si>
  <si>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</si>
  <si>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</si>
  <si>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</si>
  <si>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</si>
  <si>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</si>
  <si>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</si>
  <si>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</si>
  <si>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</si>
  <si>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</si>
  <si>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</si>
  <si>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</si>
  <si>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</si>
  <si>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</si>
  <si>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</si>
  <si>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</si>
  <si>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</si>
  <si>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</si>
  <si>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</si>
  <si>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</si>
  <si>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</si>
  <si>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</si>
  <si>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</si>
  <si>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</si>
  <si>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</si>
  <si>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</si>
  <si>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</si>
  <si>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</si>
  <si>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</si>
  <si>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</si>
  <si>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</si>
  <si>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</si>
  <si>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</si>
  <si>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</si>
  <si>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</si>
  <si>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</si>
  <si>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</si>
  <si>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</si>
  <si>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</si>
  <si>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</si>
  <si>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</si>
  <si>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</si>
  <si>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</si>
  <si>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</si>
  <si>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</si>
  <si>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</si>
  <si>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</si>
  <si>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</si>
  <si>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</si>
  <si>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</si>
  <si>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</si>
  <si>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</si>
  <si>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</si>
  <si>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</si>
  <si>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</si>
  <si>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</si>
  <si>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</si>
  <si>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</si>
  <si>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</si>
  <si>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</si>
  <si>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</si>
  <si>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</si>
  <si>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</si>
  <si>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</si>
  <si>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</si>
  <si>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</si>
  <si>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</si>
  <si>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</si>
  <si>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</si>
  <si>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</si>
  <si>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</si>
  <si>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</si>
  <si>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</si>
  <si>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</si>
  <si>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</si>
  <si>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</si>
  <si>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</si>
  <si>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</si>
  <si>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</si>
  <si>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</si>
  <si>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</si>
  <si>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</si>
  <si>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</si>
  <si>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</si>
  <si>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</si>
  <si>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</si>
  <si>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</si>
  <si>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</si>
  <si>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</si>
  <si>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</si>
  <si>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</si>
  <si>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</si>
  <si>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</si>
  <si>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</si>
  <si>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</si>
  <si>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</si>
  <si>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</si>
  <si>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</si>
  <si>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</si>
  <si>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</si>
  <si>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</si>
  <si>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</si>
  <si>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</si>
  <si>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</si>
  <si>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</si>
  <si>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</si>
  <si>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</si>
  <si>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</si>
  <si>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</si>
  <si>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</si>
  <si>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</si>
  <si>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</si>
  <si>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</si>
  <si>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</si>
  <si>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</si>
  <si>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</si>
  <si>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</si>
  <si>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</si>
  <si>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</si>
  <si>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</si>
  <si>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</si>
  <si>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</si>
  <si>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</si>
  <si>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</si>
  <si>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</si>
  <si>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</si>
  <si>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</si>
  <si>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</si>
  <si>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</si>
  <si>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</si>
  <si>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</si>
  <si>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</si>
  <si>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</si>
  <si>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</si>
  <si>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</si>
  <si>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</si>
  <si>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</si>
  <si>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</si>
  <si>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</si>
  <si>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</si>
  <si>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</si>
  <si>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</si>
  <si>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</si>
  <si>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</si>
  <si>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</si>
  <si>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</si>
  <si>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</si>
  <si>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</si>
  <si>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</si>
  <si>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</si>
  <si>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</si>
  <si>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</si>
  <si>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</si>
  <si>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</si>
  <si>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</si>
  <si>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</si>
  <si>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</si>
  <si>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</si>
  <si>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</si>
  <si>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</si>
  <si>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</si>
  <si>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</si>
  <si>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</si>
  <si>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</si>
  <si>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</si>
  <si>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</si>
  <si>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</si>
  <si>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</si>
  <si>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</si>
  <si>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</si>
  <si>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</si>
  <si>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</si>
  <si>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</si>
  <si>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</si>
  <si>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</si>
  <si>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</si>
  <si>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</si>
  <si>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</si>
  <si>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</si>
  <si>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</si>
  <si>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</si>
  <si>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</si>
  <si>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</si>
  <si>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</si>
  <si>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</si>
  <si>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</si>
  <si>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</si>
  <si>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</si>
  <si>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</si>
  <si>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</si>
  <si>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</si>
  <si>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</si>
  <si>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</si>
  <si>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</si>
  <si>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</si>
  <si>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</si>
  <si>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</si>
  <si>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</si>
  <si>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</si>
  <si>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</si>
  <si>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</si>
  <si>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</si>
  <si>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</si>
  <si>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</si>
  <si>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</si>
  <si>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</si>
  <si>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</si>
  <si>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</si>
  <si>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</si>
  <si>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</si>
  <si>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</si>
  <si>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</si>
  <si>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</si>
  <si>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</si>
  <si>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</si>
  <si>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</si>
  <si>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</si>
  <si>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</si>
  <si>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</si>
  <si>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</si>
  <si>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</si>
  <si>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</si>
  <si>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</si>
  <si>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</si>
  <si>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</si>
  <si>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Jisha (1545-XL), Shiji(1370-L)</t>
  </si>
  <si>
    <t>Sushitha (XL-1600)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</si>
  <si>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</si>
  <si>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</si>
  <si>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</si>
  <si>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</si>
  <si>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</si>
  <si>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</si>
  <si>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</si>
  <si>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</si>
  <si>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</si>
  <si>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</si>
  <si>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</si>
  <si>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</si>
  <si>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</si>
  <si>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</si>
  <si>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</si>
  <si>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</si>
  <si>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</si>
  <si>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</si>
  <si>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</si>
  <si>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</si>
  <si>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</si>
  <si>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</si>
  <si>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</si>
  <si>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</si>
  <si>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</si>
  <si>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</si>
  <si>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</si>
  <si>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</si>
  <si>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</si>
  <si>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</si>
  <si>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</si>
  <si>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Athulya (brick red)-789, Annie-600(Yellow)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</si>
  <si>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</si>
  <si>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</si>
  <si>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</si>
  <si>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</si>
  <si>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</si>
  <si>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</si>
  <si>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</si>
  <si>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</si>
  <si>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</si>
  <si>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</si>
  <si>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</si>
  <si>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</si>
  <si>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</si>
  <si>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</si>
  <si>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</si>
  <si>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</si>
  <si>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</si>
  <si>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</si>
  <si>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</si>
  <si>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</si>
  <si>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</si>
  <si>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</si>
  <si>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</si>
  <si>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</si>
  <si>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</si>
  <si>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</si>
  <si>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</si>
  <si>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</si>
  <si>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</si>
  <si>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</si>
  <si>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</si>
  <si>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</si>
  <si>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</si>
  <si>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</si>
  <si>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</si>
  <si>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</si>
  <si>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</si>
  <si>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</si>
  <si>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</si>
  <si>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</si>
  <si>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</si>
  <si>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</si>
  <si>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</si>
  <si>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</si>
  <si>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</si>
  <si>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</si>
  <si>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</si>
  <si>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</si>
  <si>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</si>
  <si>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</si>
  <si>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</si>
  <si>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</si>
  <si>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</si>
  <si>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</si>
  <si>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</si>
  <si>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</si>
  <si>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</si>
  <si>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</si>
  <si>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M,L,Xl,XXL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</si>
  <si>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</si>
  <si>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</si>
  <si>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</si>
  <si>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</si>
  <si>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</si>
  <si>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</si>
  <si>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</si>
  <si>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</si>
  <si>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</si>
  <si>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</si>
  <si>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</si>
  <si>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</si>
  <si>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</si>
  <si>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</si>
  <si>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</si>
  <si>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</si>
  <si>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 xml:space="preserve">Linen Saree (Mustard/gree, Blue/Green, Blue/Red) 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</si>
  <si>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</si>
  <si>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</si>
  <si>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</si>
  <si>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</si>
  <si>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</si>
  <si>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</si>
  <si>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</si>
  <si>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</si>
  <si>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</si>
  <si>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</si>
  <si>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</si>
  <si>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</si>
  <si>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</si>
  <si>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</si>
  <si>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</si>
  <si>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</si>
  <si>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</si>
  <si>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</si>
  <si>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</si>
  <si>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</si>
  <si>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</si>
  <si>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</si>
  <si>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</si>
  <si>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</si>
  <si>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</si>
  <si>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</si>
  <si>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</si>
  <si>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</si>
  <si>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</si>
  <si>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</si>
  <si>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</si>
  <si>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</si>
  <si>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</si>
  <si>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</si>
  <si>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</si>
  <si>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</si>
  <si>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</si>
  <si>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</si>
  <si>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</si>
  <si>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</si>
  <si>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</si>
  <si>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</si>
  <si>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</si>
  <si>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</si>
  <si>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</si>
  <si>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</si>
  <si>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</si>
  <si>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</si>
  <si>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Saranya Gopalakrishnan</t>
  </si>
  <si>
    <t>Gpau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</si>
  <si>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</si>
  <si>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</si>
  <si>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</si>
  <si>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</si>
  <si>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Saranya Gopalakrishnan(1250 pending)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</si>
</sst>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0" fontId="14" fillId="4" borderId="1" xfId="0" applyFont="1" applyFill="1" applyBorder="1" applyAlignment="1">
      <alignment horizontal="left" vertical="center"/>
    </xf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1290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17189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15899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172</c:v>
                </c:pt>
                <c:pt idx="1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103</c:v>
                </c:pt>
                <c:pt idx="1">
                  <c:v>67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55</c:v>
                </c:pt>
                <c:pt idx="1">
                  <c:v>53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58255</c:v>
                </c:pt>
                <c:pt idx="1">
                  <c:v>44954.18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253619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223404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228664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-30215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-429.66666666667152</v>
      </c>
      <c r="C10" s="6"/>
    </row>
    <row r="11" spans="1:6">
      <c r="A11" s="7" t="s">
        <v>47</v>
      </c>
      <c r="B11" s="53">
        <f>PartnerShares!H9</f>
        <v>-430.32666666667501</v>
      </c>
      <c r="C11" s="7"/>
    </row>
    <row r="12" spans="1:6">
      <c r="A12" s="6" t="s">
        <v>48</v>
      </c>
      <c r="B12" s="52">
        <f>PartnerShares!H10</f>
        <v>859.99333333333198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97424</v>
      </c>
      <c r="C18" s="6">
        <f>PartnerShares!C8</f>
        <v>84539.666666666672</v>
      </c>
      <c r="D18" s="6">
        <f>PartnerShares!D8</f>
        <v>12884.333333333328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-429.66666666667152</v>
      </c>
      <c r="G18" s="71" t="s">
        <v>674</v>
      </c>
    </row>
    <row r="19" spans="1:7">
      <c r="A19" s="7" t="str">
        <f>PartnerShares!A9</f>
        <v>Anoop</v>
      </c>
      <c r="B19" s="7">
        <f>PartnerShares!B9</f>
        <v>130682</v>
      </c>
      <c r="C19" s="7">
        <f>PartnerShares!C9</f>
        <v>84539.666666666672</v>
      </c>
      <c r="D19" s="7">
        <f>PartnerShares!D9</f>
        <v>46142.333333333328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-430.32666666667501</v>
      </c>
      <c r="G19" s="92" t="s">
        <v>674</v>
      </c>
    </row>
    <row r="20" spans="1:7">
      <c r="A20" s="6" t="str">
        <f>PartnerShares!A10</f>
        <v>Rameez</v>
      </c>
      <c r="B20" s="6">
        <f>PartnerShares!B10</f>
        <v>25513</v>
      </c>
      <c r="C20" s="6">
        <f>PartnerShares!C10</f>
        <v>84539.666666666672</v>
      </c>
      <c r="D20" s="6">
        <f>PartnerShares!D10</f>
        <v>-59026.666666666672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859.99333333333198</v>
      </c>
      <c r="G20" s="73" t="s">
        <v>675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204255</v>
      </c>
      <c r="C26" s="6">
        <f>'Cash Pool'!D4</f>
        <v>74482.893599999996</v>
      </c>
      <c r="D26" s="6">
        <f>'Cash Pool'!E4</f>
        <v>129772.1064</v>
      </c>
      <c r="E26" s="6">
        <f>'Cash Pool'!F4</f>
        <v>-124053.476</v>
      </c>
      <c r="F26" s="8">
        <f>'Cash Pool'!G4</f>
        <v>5718.6304000000091</v>
      </c>
      <c r="G26" s="71" t="s">
        <v>674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74438.212799999994</v>
      </c>
      <c r="D27" s="7">
        <f>'Cash Pool'!E5</f>
        <v>-67819.212799999994</v>
      </c>
      <c r="E27" s="7">
        <f>'Cash Pool'!F5</f>
        <v>64960.952000000005</v>
      </c>
      <c r="F27" s="9">
        <f>'Cash Pool'!G5</f>
        <v>-2858.2607999999891</v>
      </c>
      <c r="G27" s="72" t="s">
        <v>675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74482.893599999996</v>
      </c>
      <c r="D28" s="6">
        <f>'Cash Pool'!E6</f>
        <v>-61952.893599999996</v>
      </c>
      <c r="E28" s="6">
        <f>'Cash Pool'!F6</f>
        <v>59092.524000000005</v>
      </c>
      <c r="F28" s="8">
        <f>'Cash Pool'!G6</f>
        <v>-2860.3695999999909</v>
      </c>
      <c r="G28" s="73" t="s">
        <v>675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7" t="s">
        <v>58</v>
      </c>
      <c r="B1" s="98"/>
      <c r="C1" s="98"/>
      <c r="D1" s="98"/>
      <c r="E1" s="98"/>
      <c r="F1" s="98"/>
      <c r="G1" s="98"/>
      <c r="H1" s="98"/>
    </row>
    <row r="3" spans="1:8">
      <c r="A3" s="14" t="s">
        <v>59</v>
      </c>
      <c r="B3">
        <f ca="1">TODAY()</f>
        <v>46077</v>
      </c>
    </row>
    <row r="5" spans="1:8">
      <c r="A5" s="14" t="s">
        <v>38</v>
      </c>
      <c r="B5" s="15">
        <f>Summary!B3</f>
        <v>253619</v>
      </c>
      <c r="D5" s="14" t="s">
        <v>60</v>
      </c>
      <c r="E5" s="15">
        <f>Summary!B4</f>
        <v>223404</v>
      </c>
    </row>
    <row r="6" spans="1:8">
      <c r="A6" s="14" t="s">
        <v>61</v>
      </c>
      <c r="B6" s="15">
        <f>Summary!B6</f>
        <v>-30215</v>
      </c>
      <c r="D6" s="14" t="s">
        <v>62</v>
      </c>
      <c r="E6" s="15">
        <f>SUMIFS(INVENTORY!K:K, INVENTORY!N:N, "&lt;&gt;Sold Out")</f>
        <v>100189.68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172</v>
      </c>
    </row>
    <row r="11" spans="1:8">
      <c r="A11" s="18" t="s">
        <v>71</v>
      </c>
      <c r="B11" s="19">
        <f>IFERROR(SUMPRODUCT((TEXT(Purchases!$A$2:$A$998,"MMM")=$A11)*Purchases!$C$2:$C$998),0)</f>
        <v>1290</v>
      </c>
      <c r="C11" s="19">
        <f>IFERROR(SUMPRODUCT((TEXT(Sales!$A$2:$A$998,"MMM")=$A11)*Sales!$C$2:$C$998),0)</f>
        <v>17189</v>
      </c>
      <c r="D11" s="19">
        <f t="shared" si="0"/>
        <v>15899</v>
      </c>
      <c r="F11" s="18" t="s">
        <v>72</v>
      </c>
      <c r="G11" s="19">
        <f>SUM(INVENTORY!G:G)</f>
        <v>113</v>
      </c>
    </row>
    <row r="12" spans="1:8">
      <c r="A12" s="17" t="s">
        <v>73</v>
      </c>
      <c r="B12" s="15">
        <f>IFERROR(SUMPRODUCT((TEXT(Purchases!$A$2:$A$998,"MMM")=$A12)*Purchases!$C$2:$C$998),0)</f>
        <v>0</v>
      </c>
      <c r="C12" s="15">
        <f>IFERROR(SUMPRODUCT((TEXT(Sales!$A$2:$A$998,"MMM")=$A12)*Sales!$C$2:$C$998),0)</f>
        <v>0</v>
      </c>
      <c r="D12" s="15">
        <f t="shared" si="0"/>
        <v>0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103</v>
      </c>
      <c r="H47" s="76">
        <f>SUMIF(INVENTORY!C:C, F47, INVENTORY!G:G)</f>
        <v>55</v>
      </c>
      <c r="J47" s="76" t="s">
        <v>135</v>
      </c>
      <c r="K47" s="77" cm="1">
        <f t="array" ref="K47">SUMPRODUCT((INVENTORY!$C$2:$C$479=J47)*(INVENTORY!$D$2:$D$479)*(INVENTORY!$G$2:$G$479))</f>
        <v>58255</v>
      </c>
    </row>
    <row r="48" spans="6:11">
      <c r="F48" s="75" t="s">
        <v>135</v>
      </c>
      <c r="G48" s="76">
        <f>SUMIF(INVENTORY!C:C, F48, INVENTORY!F:F)</f>
        <v>67</v>
      </c>
      <c r="H48" s="76">
        <f>SUMIF(INVENTORY!C:C, F48, INVENTORY!G:G)</f>
        <v>53</v>
      </c>
      <c r="J48" s="76" t="s">
        <v>120</v>
      </c>
      <c r="K48" s="77" cm="1">
        <f t="array" ref="K48">SUMPRODUCT((INVENTORY!$C$2:$C$479=J48)*(INVENTORY!$D$2:$D$479)*(INVENTORY!$G$2:$G$479))</f>
        <v>44954.18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2" activePane="bottomLeft" state="frozen"/>
      <selection pane="bottomLeft" activeCell="D48" sqref="A1:D4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3" t="s">
        <v>83</v>
      </c>
      <c r="B1" s="94" t="s">
        <v>39</v>
      </c>
      <c r="C1" s="94" t="s">
        <v>84</v>
      </c>
      <c r="D1" s="94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558</v>
      </c>
    </row>
    <row r="38" spans="1:5">
      <c r="A38" s="41">
        <v>46031</v>
      </c>
      <c r="B38" s="39" t="s">
        <v>48</v>
      </c>
      <c r="C38" s="40">
        <v>1330</v>
      </c>
      <c r="D38" s="39" t="s">
        <v>559</v>
      </c>
    </row>
    <row r="39" spans="1:5">
      <c r="A39" s="36">
        <v>46035</v>
      </c>
      <c r="B39" s="37" t="s">
        <v>46</v>
      </c>
      <c r="C39" s="38">
        <v>5940</v>
      </c>
      <c r="D39" s="37" t="s">
        <v>573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573</v>
      </c>
    </row>
    <row r="43" spans="1:5">
      <c r="A43" s="36">
        <v>46045</v>
      </c>
      <c r="B43" s="37" t="s">
        <v>46</v>
      </c>
      <c r="C43" s="38">
        <v>1370</v>
      </c>
      <c r="D43" s="37" t="s">
        <v>617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618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669</v>
      </c>
      <c r="E48" s="91"/>
    </row>
    <row r="49" spans="1:4">
      <c r="A49" s="36"/>
      <c r="B49" s="37"/>
      <c r="C49" s="38"/>
      <c r="D49" s="37"/>
    </row>
    <row r="50" spans="1:4">
      <c r="A50" s="41"/>
      <c r="B50" s="39"/>
      <c r="C50" s="40"/>
      <c r="D50" s="39"/>
    </row>
    <row r="51" spans="1:4">
      <c r="A51" s="36"/>
      <c r="B51" s="37"/>
      <c r="C51" s="38"/>
      <c r="D51" s="37"/>
    </row>
    <row r="52" spans="1:4">
      <c r="A52" s="41"/>
      <c r="B52" s="39"/>
      <c r="C52" s="40"/>
      <c r="D52" s="39"/>
    </row>
    <row r="53" spans="1:4">
      <c r="A53" s="36"/>
      <c r="B53" s="37"/>
      <c r="C53" s="38"/>
      <c r="D53" s="37"/>
    </row>
    <row r="54" spans="1:4">
      <c r="A54" s="41"/>
      <c r="B54" s="39"/>
      <c r="C54" s="40"/>
      <c r="D54" s="39"/>
    </row>
    <row r="55" spans="1:4">
      <c r="A55" s="36"/>
      <c r="B55" s="37"/>
      <c r="C55" s="38"/>
      <c r="D55" s="37"/>
    </row>
    <row r="56" spans="1:4">
      <c r="A56" s="41"/>
      <c r="B56" s="39"/>
      <c r="C56" s="40"/>
      <c r="D56" s="39"/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00" activePane="bottomLeft" state="frozen"/>
      <selection pane="bottomLeft" activeCell="J124" sqref="J124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541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542</v>
      </c>
      <c r="I81" s="50" t="s">
        <v>276</v>
      </c>
    </row>
    <row r="82" spans="1:9" ht="16">
      <c r="A82" s="46">
        <v>46024</v>
      </c>
      <c r="B82" s="47" t="s">
        <v>543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544</v>
      </c>
      <c r="I82" s="47" t="s">
        <v>276</v>
      </c>
    </row>
    <row r="83" spans="1:9">
      <c r="A83" s="43">
        <v>46024</v>
      </c>
      <c r="B83" s="50" t="s">
        <v>545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546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547</v>
      </c>
      <c r="I84" s="47" t="s">
        <v>276</v>
      </c>
    </row>
    <row r="85" spans="1:9">
      <c r="A85" s="43">
        <v>46027</v>
      </c>
      <c r="B85" s="50" t="s">
        <v>549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550</v>
      </c>
      <c r="I85" s="50" t="s">
        <v>276</v>
      </c>
    </row>
    <row r="86" spans="1:9">
      <c r="A86" s="43">
        <v>46028</v>
      </c>
      <c r="B86" s="50" t="s">
        <v>560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552</v>
      </c>
      <c r="I86" s="50" t="s">
        <v>276</v>
      </c>
    </row>
    <row r="87" spans="1:9" ht="16">
      <c r="A87" s="46">
        <v>46029</v>
      </c>
      <c r="B87" s="47" t="s">
        <v>562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561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563</v>
      </c>
      <c r="I88" s="50" t="s">
        <v>276</v>
      </c>
    </row>
    <row r="89" spans="1:9" ht="16">
      <c r="A89" s="46">
        <v>46033</v>
      </c>
      <c r="B89" s="47" t="s">
        <v>564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565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563</v>
      </c>
      <c r="I90" s="50" t="s">
        <v>276</v>
      </c>
    </row>
    <row r="91" spans="1:9" ht="16">
      <c r="A91" s="46">
        <v>46034</v>
      </c>
      <c r="B91" s="47" t="s">
        <v>566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563</v>
      </c>
      <c r="I91" s="47" t="s">
        <v>276</v>
      </c>
    </row>
    <row r="92" spans="1:9">
      <c r="A92" s="43">
        <v>46034</v>
      </c>
      <c r="B92" s="50" t="s">
        <v>567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568</v>
      </c>
      <c r="I92" s="50" t="s">
        <v>276</v>
      </c>
    </row>
    <row r="93" spans="1:9" ht="16">
      <c r="A93" s="46">
        <v>46035</v>
      </c>
      <c r="B93" s="47" t="s">
        <v>572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575</v>
      </c>
      <c r="I93" s="47" t="s">
        <v>276</v>
      </c>
    </row>
    <row r="94" spans="1:9">
      <c r="A94" s="43">
        <v>46036</v>
      </c>
      <c r="B94" s="50" t="s">
        <v>574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576</v>
      </c>
      <c r="I94" s="50" t="s">
        <v>276</v>
      </c>
    </row>
    <row r="95" spans="1:9" ht="16">
      <c r="A95" s="46">
        <v>46038</v>
      </c>
      <c r="B95" s="47" t="s">
        <v>600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563</v>
      </c>
      <c r="I95" s="47" t="s">
        <v>276</v>
      </c>
    </row>
    <row r="96" spans="1:9">
      <c r="A96" s="43">
        <v>46038</v>
      </c>
      <c r="B96" s="50" t="s">
        <v>557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590</v>
      </c>
      <c r="I96" s="50" t="s">
        <v>276</v>
      </c>
    </row>
    <row r="97" spans="1:9" ht="16">
      <c r="A97" s="46">
        <v>46039</v>
      </c>
      <c r="B97" s="47" t="s">
        <v>593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594</v>
      </c>
      <c r="I97" s="47" t="s">
        <v>276</v>
      </c>
    </row>
    <row r="98" spans="1:9">
      <c r="A98" s="43">
        <v>46040</v>
      </c>
      <c r="B98" s="50" t="s">
        <v>598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599</v>
      </c>
      <c r="I98" s="50" t="s">
        <v>276</v>
      </c>
    </row>
    <row r="99" spans="1:9" ht="16">
      <c r="A99" s="46">
        <v>46041</v>
      </c>
      <c r="B99" s="47" t="s">
        <v>607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563</v>
      </c>
      <c r="I99" s="47" t="s">
        <v>276</v>
      </c>
    </row>
    <row r="100" spans="1:9">
      <c r="A100" s="43">
        <v>46042</v>
      </c>
      <c r="B100" s="50" t="s">
        <v>609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610</v>
      </c>
      <c r="I100" s="50" t="s">
        <v>276</v>
      </c>
    </row>
    <row r="101" spans="1:9" ht="16">
      <c r="A101" s="46">
        <v>46043</v>
      </c>
      <c r="B101" s="47" t="s">
        <v>612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613</v>
      </c>
      <c r="I101" s="47" t="s">
        <v>276</v>
      </c>
    </row>
    <row r="102" spans="1:9">
      <c r="A102" s="43">
        <v>46046</v>
      </c>
      <c r="B102" s="50" t="s">
        <v>636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637</v>
      </c>
      <c r="I102" s="50" t="s">
        <v>276</v>
      </c>
    </row>
    <row r="103" spans="1:9">
      <c r="A103" s="46">
        <v>46048</v>
      </c>
      <c r="B103" s="47" t="s">
        <v>639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552</v>
      </c>
      <c r="I103" s="47" t="s">
        <v>276</v>
      </c>
    </row>
    <row r="104" spans="1:9">
      <c r="A104" s="43">
        <v>46048</v>
      </c>
      <c r="B104" s="50" t="s">
        <v>642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643</v>
      </c>
      <c r="I104" s="50" t="s">
        <v>276</v>
      </c>
    </row>
    <row r="105" spans="1:9" ht="16">
      <c r="A105" s="46">
        <v>46049</v>
      </c>
      <c r="B105" s="47" t="s">
        <v>647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650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648</v>
      </c>
      <c r="I106" s="50" t="s">
        <v>276</v>
      </c>
    </row>
    <row r="107" spans="1:9" ht="16">
      <c r="A107" s="46">
        <v>46049</v>
      </c>
      <c r="B107" s="47" t="s">
        <v>649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651</v>
      </c>
      <c r="I107" s="47" t="s">
        <v>276</v>
      </c>
    </row>
    <row r="108" spans="1:9">
      <c r="A108" s="43">
        <v>46050</v>
      </c>
      <c r="B108" s="50" t="s">
        <v>655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656</v>
      </c>
      <c r="I108" s="50" t="s">
        <v>276</v>
      </c>
    </row>
    <row r="109" spans="1:9" ht="16">
      <c r="A109" s="46">
        <v>46051</v>
      </c>
      <c r="B109" s="47" t="s">
        <v>681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552</v>
      </c>
      <c r="I109" s="47" t="s">
        <v>276</v>
      </c>
    </row>
    <row r="110" spans="1:9">
      <c r="A110" s="43">
        <v>46051</v>
      </c>
      <c r="B110" s="50" t="s">
        <v>680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552</v>
      </c>
      <c r="I110" s="50" t="s">
        <v>276</v>
      </c>
    </row>
    <row r="111" spans="1:9" ht="16">
      <c r="A111" s="46">
        <v>46051</v>
      </c>
      <c r="B111" s="47" t="s">
        <v>593</v>
      </c>
      <c r="C111" s="48">
        <v>580</v>
      </c>
      <c r="D111" s="47" t="s">
        <v>661</v>
      </c>
      <c r="E111" s="47" t="s">
        <v>48</v>
      </c>
      <c r="F111" s="49"/>
      <c r="G111" s="49"/>
      <c r="H111" s="68" t="s">
        <v>662</v>
      </c>
      <c r="I111" s="47" t="s">
        <v>276</v>
      </c>
    </row>
    <row r="112" spans="1:9">
      <c r="A112" s="43">
        <v>46054</v>
      </c>
      <c r="B112" s="50" t="s">
        <v>667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689</v>
      </c>
      <c r="I112" s="50" t="s">
        <v>276</v>
      </c>
    </row>
    <row r="113" spans="1:9" ht="16">
      <c r="A113" s="46">
        <v>46054</v>
      </c>
      <c r="B113" s="47" t="s">
        <v>668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576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670</v>
      </c>
      <c r="I115" s="47" t="s">
        <v>191</v>
      </c>
    </row>
    <row r="116" spans="1:9">
      <c r="A116" s="43">
        <v>46060</v>
      </c>
      <c r="B116" s="50" t="s">
        <v>672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673</v>
      </c>
      <c r="I116" s="50" t="s">
        <v>276</v>
      </c>
    </row>
    <row r="117" spans="1:9" ht="16">
      <c r="A117" s="46">
        <v>46062</v>
      </c>
      <c r="B117" s="47" t="s">
        <v>679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682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683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687</v>
      </c>
      <c r="C120" s="51">
        <v>1450</v>
      </c>
      <c r="D120" s="50" t="s">
        <v>688</v>
      </c>
      <c r="E120" s="50" t="s">
        <v>46</v>
      </c>
      <c r="F120" s="50"/>
      <c r="G120" s="50"/>
      <c r="H120" s="69" t="s">
        <v>606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690</v>
      </c>
      <c r="I121" s="47" t="s">
        <v>276</v>
      </c>
    </row>
    <row r="122" spans="1:9">
      <c r="A122" s="43">
        <v>46074</v>
      </c>
      <c r="B122" s="50" t="s">
        <v>691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692</v>
      </c>
      <c r="I122" s="50" t="s">
        <v>276</v>
      </c>
    </row>
    <row r="123" spans="1:9" ht="16">
      <c r="A123" s="46">
        <v>46075</v>
      </c>
      <c r="B123" s="47" t="s">
        <v>693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191</v>
      </c>
    </row>
    <row r="124" spans="1:9">
      <c r="A124" s="43">
        <v>46075</v>
      </c>
      <c r="B124" s="50" t="s">
        <v>694</v>
      </c>
      <c r="C124" s="51">
        <v>2500</v>
      </c>
      <c r="D124" s="50" t="s">
        <v>695</v>
      </c>
      <c r="E124" s="50" t="s">
        <v>46</v>
      </c>
      <c r="F124" s="50"/>
      <c r="G124" s="50"/>
      <c r="H124" s="69" t="s">
        <v>696</v>
      </c>
      <c r="I124" s="50" t="s">
        <v>191</v>
      </c>
    </row>
    <row r="125" spans="1:9">
      <c r="A125" s="46"/>
      <c r="B125" s="47"/>
      <c r="C125" s="48"/>
      <c r="D125" s="47"/>
      <c r="E125" s="47"/>
      <c r="F125" s="49"/>
      <c r="G125" s="49"/>
      <c r="H125" s="68"/>
      <c r="I125" s="47"/>
    </row>
    <row r="126" spans="1:9">
      <c r="A126" s="43"/>
      <c r="B126" s="50"/>
      <c r="C126" s="51"/>
      <c r="D126" s="50"/>
      <c r="E126" s="50"/>
      <c r="F126" s="50"/>
      <c r="G126" s="50"/>
      <c r="H126" s="69"/>
      <c r="I126" s="50"/>
    </row>
    <row r="127" spans="1:9">
      <c r="A127" s="46"/>
      <c r="B127" s="47"/>
      <c r="C127" s="48"/>
      <c r="D127" s="47"/>
      <c r="E127" s="47"/>
      <c r="F127" s="49"/>
      <c r="G127" s="49"/>
      <c r="H127" s="68"/>
      <c r="I127" s="47"/>
    </row>
    <row r="128" spans="1:9">
      <c r="A128" s="43"/>
      <c r="B128" s="50"/>
      <c r="C128" s="51"/>
      <c r="D128" s="50"/>
      <c r="E128" s="50"/>
      <c r="F128" s="50"/>
      <c r="G128" s="50"/>
      <c r="H128" s="69"/>
      <c r="I128" s="50"/>
    </row>
    <row r="129" spans="1:9">
      <c r="A129" s="46"/>
      <c r="B129" s="47"/>
      <c r="C129" s="48"/>
      <c r="D129" s="47"/>
      <c r="E129" s="47"/>
      <c r="F129" s="49"/>
      <c r="G129" s="49"/>
      <c r="H129" s="68"/>
      <c r="I129" s="47"/>
    </row>
    <row r="130" spans="1:9">
      <c r="A130" s="43"/>
      <c r="B130" s="50"/>
      <c r="C130" s="51"/>
      <c r="D130" s="50"/>
      <c r="E130" s="50"/>
      <c r="F130" s="50"/>
      <c r="G130" s="50"/>
      <c r="H130" s="69"/>
      <c r="I130" s="50"/>
    </row>
    <row r="131" spans="1:9">
      <c r="A131" s="46"/>
      <c r="B131" s="47"/>
      <c r="C131" s="48"/>
      <c r="D131" s="47"/>
      <c r="E131" s="47"/>
      <c r="F131" s="49"/>
      <c r="G131" s="49"/>
      <c r="H131" s="68"/>
      <c r="I131" s="47"/>
    </row>
    <row r="132" spans="1:9">
      <c r="A132" s="43"/>
      <c r="B132" s="50"/>
      <c r="C132" s="51"/>
      <c r="D132" s="50"/>
      <c r="E132" s="50"/>
      <c r="F132" s="50"/>
      <c r="G132" s="50"/>
      <c r="H132" s="69"/>
      <c r="I132" s="50"/>
    </row>
    <row r="133" spans="1:9">
      <c r="A133" s="46"/>
      <c r="B133" s="47"/>
      <c r="C133" s="48"/>
      <c r="D133" s="47"/>
      <c r="E133" s="47"/>
      <c r="F133" s="49"/>
      <c r="G133" s="49"/>
      <c r="H133" s="68"/>
      <c r="I133" s="47"/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workbookViewId="0">
      <pane ySplit="1" topLeftCell="A123" activePane="bottomLeft" state="frozen"/>
      <selection pane="bottomLeft" activeCell="B132" sqref="B132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1.6640625" style="2" bestFit="1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6" customFormat="1" ht="31" customHeight="1">
      <c r="A1" s="95" t="s">
        <v>102</v>
      </c>
      <c r="B1" s="95" t="s">
        <v>103</v>
      </c>
      <c r="C1" s="95" t="s">
        <v>104</v>
      </c>
      <c r="D1" s="95" t="s">
        <v>105</v>
      </c>
      <c r="E1" s="95" t="s">
        <v>106</v>
      </c>
      <c r="F1" s="95" t="s">
        <v>70</v>
      </c>
      <c r="G1" s="95" t="s">
        <v>72</v>
      </c>
      <c r="H1" s="95" t="s">
        <v>107</v>
      </c>
      <c r="I1" s="95" t="s">
        <v>108</v>
      </c>
      <c r="J1" s="95" t="s">
        <v>109</v>
      </c>
      <c r="K1" s="95" t="s">
        <v>110</v>
      </c>
      <c r="L1" s="95" t="s">
        <v>111</v>
      </c>
      <c r="M1" s="95" t="s">
        <v>112</v>
      </c>
      <c r="N1" s="95" t="s">
        <v>52</v>
      </c>
      <c r="O1" s="95" t="s">
        <v>113</v>
      </c>
      <c r="P1" s="95" t="s">
        <v>114</v>
      </c>
      <c r="Q1" s="95" t="s">
        <v>115</v>
      </c>
      <c r="R1" s="95" t="s">
        <v>116</v>
      </c>
      <c r="S1" s="95" t="s">
        <v>117</v>
      </c>
      <c r="T1" s="95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570</v>
      </c>
      <c r="M47" s="28" t="s">
        <v>571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682</v>
      </c>
      <c r="M52" s="30"/>
      <c r="N52" s="30" t="s">
        <v>180</v>
      </c>
      <c r="O52" s="30" t="s">
        <v>538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678</v>
      </c>
      <c r="M53" s="28"/>
      <c r="N53" s="28" t="s">
        <v>191</v>
      </c>
      <c r="O53" s="28" t="s">
        <v>195</v>
      </c>
      <c r="P53" s="28" t="s">
        <v>677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676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664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616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684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595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15" customHeight="1">
      <c r="A70" s="26" t="s">
        <v>412</v>
      </c>
      <c r="B70" s="30" t="s">
        <v>597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699</v>
      </c>
      <c r="M70" s="30"/>
      <c r="N70" s="30" t="s">
        <v>191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548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539</v>
      </c>
      <c r="M80" s="30"/>
      <c r="N80" s="30" t="s">
        <v>180</v>
      </c>
      <c r="O80" s="30" t="s">
        <v>540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15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2</v>
      </c>
      <c r="G82" s="31">
        <v>1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2150</v>
      </c>
      <c r="K82" s="30">
        <f t="shared" si="8"/>
        <v>1075</v>
      </c>
      <c r="L82" s="30" t="s">
        <v>536</v>
      </c>
      <c r="M82" s="30"/>
      <c r="N82" s="30" t="s">
        <v>222</v>
      </c>
      <c r="O82" s="30" t="s">
        <v>497</v>
      </c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591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685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686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596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593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0</v>
      </c>
      <c r="G91" s="29">
        <v>2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0</v>
      </c>
      <c r="K91" s="28">
        <f t="shared" si="8"/>
        <v>778</v>
      </c>
      <c r="L91" s="28"/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2</v>
      </c>
      <c r="G92" s="31">
        <v>1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978</v>
      </c>
      <c r="K92" s="30">
        <f t="shared" si="8"/>
        <v>489</v>
      </c>
      <c r="L92" s="30" t="s">
        <v>569</v>
      </c>
      <c r="M92" s="30"/>
      <c r="N92" s="30" t="s">
        <v>180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0</v>
      </c>
      <c r="G104" s="31">
        <v>1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0</v>
      </c>
      <c r="K104" s="30">
        <f t="shared" si="11"/>
        <v>976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0</v>
      </c>
      <c r="G105" s="29">
        <v>1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0</v>
      </c>
      <c r="K105" s="28">
        <f t="shared" si="11"/>
        <v>976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0</v>
      </c>
      <c r="G106" s="31">
        <v>1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0</v>
      </c>
      <c r="K106" s="30">
        <f t="shared" si="11"/>
        <v>976</v>
      </c>
      <c r="L106" s="30" t="s">
        <v>261</v>
      </c>
      <c r="M106" s="30"/>
      <c r="N106" s="30" t="s">
        <v>222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666</v>
      </c>
      <c r="M115" s="28"/>
      <c r="N115" s="28" t="s">
        <v>180</v>
      </c>
      <c r="O115" s="28"/>
      <c r="P115" s="89" t="s">
        <v>665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697</v>
      </c>
      <c r="M116" s="30"/>
      <c r="N116" s="30" t="s">
        <v>180</v>
      </c>
      <c r="O116" s="30"/>
      <c r="P116" s="30" t="s">
        <v>663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553</v>
      </c>
      <c r="M118" s="30"/>
      <c r="N118" s="30" t="s">
        <v>180</v>
      </c>
      <c r="O118" s="30"/>
      <c r="P118" s="30" t="s">
        <v>554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537</v>
      </c>
      <c r="M122" s="30"/>
      <c r="N122" s="30" t="s">
        <v>180</v>
      </c>
      <c r="O122" s="30" t="s">
        <v>538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671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608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611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555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551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556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557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577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578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615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634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579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700</v>
      </c>
      <c r="M132" s="30"/>
      <c r="N132" s="30" t="s">
        <v>191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638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635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633</v>
      </c>
      <c r="C135" s="28" t="s">
        <v>120</v>
      </c>
      <c r="D135" s="29">
        <v>450</v>
      </c>
      <c r="E135" s="29">
        <v>850</v>
      </c>
      <c r="F135" s="82">
        <v>0</v>
      </c>
      <c r="G135" s="82">
        <v>1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0</v>
      </c>
      <c r="K135" s="81">
        <f t="shared" si="17"/>
        <v>450</v>
      </c>
      <c r="L135" s="28"/>
      <c r="M135" s="28"/>
      <c r="N135" s="28" t="s">
        <v>222</v>
      </c>
      <c r="O135" s="28"/>
      <c r="P135" s="28"/>
      <c r="Q135" s="28"/>
      <c r="R135" s="28"/>
      <c r="S135" s="28"/>
      <c r="T135" s="28"/>
    </row>
    <row r="136" spans="1:20" ht="15">
      <c r="A136" s="83" t="s">
        <v>584</v>
      </c>
      <c r="B136" s="30" t="s">
        <v>619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657</v>
      </c>
      <c r="M136" s="30"/>
      <c r="N136" s="30" t="s">
        <v>222</v>
      </c>
      <c r="O136" s="30"/>
      <c r="P136" s="30" t="s">
        <v>658</v>
      </c>
      <c r="Q136" s="30"/>
      <c r="R136" s="30"/>
      <c r="S136" s="30"/>
      <c r="T136" s="30"/>
    </row>
    <row r="137" spans="1:20" ht="15">
      <c r="A137" s="80" t="s">
        <v>585</v>
      </c>
      <c r="B137" s="28" t="s">
        <v>583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586</v>
      </c>
      <c r="B138" s="30" t="s">
        <v>582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587</v>
      </c>
      <c r="B139" s="28" t="s">
        <v>581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672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588</v>
      </c>
      <c r="B140" s="30" t="s">
        <v>592</v>
      </c>
      <c r="C140" s="30" t="s">
        <v>120</v>
      </c>
      <c r="D140" s="31">
        <v>699</v>
      </c>
      <c r="E140" s="31">
        <v>1100</v>
      </c>
      <c r="F140" s="85">
        <v>0</v>
      </c>
      <c r="G140" s="85">
        <v>2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0</v>
      </c>
      <c r="K140" s="84">
        <f t="shared" si="20"/>
        <v>1398</v>
      </c>
      <c r="L140" s="30"/>
      <c r="M140" s="30"/>
      <c r="N140" s="30" t="s">
        <v>222</v>
      </c>
      <c r="O140" s="30"/>
      <c r="P140" s="30"/>
      <c r="Q140" s="30"/>
      <c r="R140" s="30"/>
      <c r="S140" s="30"/>
      <c r="T140" s="30"/>
    </row>
    <row r="141" spans="1:20" ht="15">
      <c r="A141" s="80" t="s">
        <v>589</v>
      </c>
      <c r="B141" s="28" t="s">
        <v>580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601</v>
      </c>
      <c r="B142" s="30" t="s">
        <v>614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698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602</v>
      </c>
      <c r="B143" s="28" t="s">
        <v>603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604</v>
      </c>
      <c r="B144" s="30" t="s">
        <v>632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605</v>
      </c>
      <c r="B145" s="28" t="s">
        <v>606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687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620</v>
      </c>
      <c r="B146" s="30" t="s">
        <v>646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621</v>
      </c>
      <c r="B147" s="28" t="s">
        <v>645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/>
      <c r="M147" s="28"/>
      <c r="N147" s="28" t="s">
        <v>222</v>
      </c>
      <c r="O147" s="28"/>
      <c r="P147" s="28"/>
      <c r="Q147" s="28"/>
      <c r="R147" s="28"/>
      <c r="S147" s="28"/>
      <c r="T147" s="28"/>
    </row>
    <row r="148" spans="1:20" ht="15">
      <c r="A148" s="30" t="s">
        <v>622</v>
      </c>
      <c r="B148" s="30" t="s">
        <v>644</v>
      </c>
      <c r="C148" s="30" t="s">
        <v>120</v>
      </c>
      <c r="D148" s="31">
        <v>502</v>
      </c>
      <c r="E148" s="31">
        <v>850</v>
      </c>
      <c r="F148" s="85">
        <v>0</v>
      </c>
      <c r="G148" s="85">
        <v>3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0</v>
      </c>
      <c r="K148" s="84">
        <f t="shared" si="29"/>
        <v>1506</v>
      </c>
      <c r="L148" s="30"/>
      <c r="M148" s="30"/>
      <c r="N148" s="30" t="s">
        <v>222</v>
      </c>
      <c r="O148" s="30"/>
      <c r="P148" s="30"/>
      <c r="Q148" s="30"/>
      <c r="R148" s="30"/>
      <c r="S148" s="30"/>
      <c r="T148" s="30"/>
    </row>
    <row r="149" spans="1:20" ht="15">
      <c r="A149" s="28" t="s">
        <v>623</v>
      </c>
      <c r="B149" s="28" t="s">
        <v>641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624</v>
      </c>
      <c r="B150" s="30" t="s">
        <v>640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625</v>
      </c>
      <c r="B151" s="28" t="s">
        <v>626</v>
      </c>
      <c r="C151" s="28" t="s">
        <v>135</v>
      </c>
      <c r="D151" s="31">
        <v>645</v>
      </c>
      <c r="E151" s="31">
        <v>1099</v>
      </c>
      <c r="F151" s="85">
        <v>0</v>
      </c>
      <c r="G151" s="85">
        <v>4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0</v>
      </c>
      <c r="K151" s="84">
        <f t="shared" ref="K151:K152" si="32">IF(LEN(G151)=0,0,G151)*I151</f>
        <v>2580</v>
      </c>
      <c r="L151" s="28"/>
      <c r="M151" s="28"/>
      <c r="N151" s="28" t="s">
        <v>222</v>
      </c>
      <c r="O151" s="28" t="s">
        <v>628</v>
      </c>
      <c r="P151" s="28" t="s">
        <v>627</v>
      </c>
      <c r="Q151" s="28"/>
      <c r="R151" s="28"/>
      <c r="S151" s="28"/>
      <c r="T151" s="28"/>
    </row>
    <row r="152" spans="1:20" ht="15">
      <c r="A152" s="30" t="s">
        <v>629</v>
      </c>
      <c r="B152" s="30" t="s">
        <v>630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659</v>
      </c>
      <c r="M152" s="30"/>
      <c r="N152" s="30" t="s">
        <v>180</v>
      </c>
      <c r="O152" s="30" t="s">
        <v>660</v>
      </c>
      <c r="P152" s="30" t="s">
        <v>631</v>
      </c>
      <c r="Q152" s="30"/>
      <c r="R152" s="30"/>
      <c r="S152" s="30"/>
      <c r="T152" s="30"/>
    </row>
    <row r="153" spans="1:20" ht="15">
      <c r="A153" s="28" t="s">
        <v>652</v>
      </c>
      <c r="B153" s="28" t="s">
        <v>653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654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9" t="s">
        <v>291</v>
      </c>
      <c r="B1" s="100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97424</v>
      </c>
      <c r="C8" s="6">
        <f>SUM($B$8:$B$10)/3</f>
        <v>84539.666666666672</v>
      </c>
      <c r="D8" s="6">
        <f>B8-C8</f>
        <v>12884.333333333328</v>
      </c>
      <c r="E8" s="6">
        <f>IF(Summary!$B$6&gt;0, Summary!$B$6*VLOOKUP($A8,$A$3:$B$5,2,FALSE),0)</f>
        <v>0</v>
      </c>
      <c r="F8" s="6">
        <f>D8+E8</f>
        <v>12884.333333333328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-429.66666666667152</v>
      </c>
    </row>
    <row r="9" spans="1:8">
      <c r="A9" s="7" t="s">
        <v>47</v>
      </c>
      <c r="B9" s="7">
        <f>IFERROR(SUMIF(Purchases!$B:$B,$A9,Purchases!$C:$C),0)</f>
        <v>130682</v>
      </c>
      <c r="C9" s="7">
        <f>SUM($B$8:$B$10)/3</f>
        <v>84539.666666666672</v>
      </c>
      <c r="D9" s="7">
        <f>B9-C9</f>
        <v>46142.333333333328</v>
      </c>
      <c r="E9" s="7">
        <f>IF(Summary!$B$6&gt;0, Summary!$B$6*VLOOKUP($A9,$A$3:$B$5,2,FALSE),0)</f>
        <v>0</v>
      </c>
      <c r="F9" s="7">
        <f>D9+E9</f>
        <v>46142.333333333328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-430.32666666667501</v>
      </c>
    </row>
    <row r="10" spans="1:8">
      <c r="A10" s="6" t="s">
        <v>48</v>
      </c>
      <c r="B10" s="6">
        <f>IFERROR(SUMIF(Purchases!$B:$B,$A10,Purchases!$C:$C),0)</f>
        <v>25513</v>
      </c>
      <c r="C10" s="6">
        <f>SUM($B$8:$B$10)/3</f>
        <v>84539.666666666672</v>
      </c>
      <c r="D10" s="6">
        <f>B10-C10</f>
        <v>-59026.666666666672</v>
      </c>
      <c r="E10" s="6">
        <f>IF(Summary!$B$6&gt;0, Summary!$B$6*VLOOKUP($A10,$A$3:$B$5,2,FALSE),0)</f>
        <v>0</v>
      </c>
      <c r="F10" s="6">
        <f>D10+E10</f>
        <v>-59026.666666666672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859.99333333333198</v>
      </c>
    </row>
    <row r="12" spans="1:8" s="22" customFormat="1" ht="16" customHeight="1">
      <c r="A12" s="101" t="s">
        <v>300</v>
      </c>
      <c r="B12" s="100"/>
      <c r="C12" s="100"/>
      <c r="D12" s="100"/>
      <c r="E12" s="100"/>
      <c r="F12" s="100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204255</v>
      </c>
      <c r="C4" s="6">
        <f>VLOOKUP($A4,PartnerShares!$A$3:$B$5,2,FALSE)</f>
        <v>0.33339999999999997</v>
      </c>
      <c r="D4" s="6">
        <f>Summary!$B$4*C4</f>
        <v>74482.893599999996</v>
      </c>
      <c r="E4" s="6">
        <f>B4-D4</f>
        <v>129772.1064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5718.6304000000091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74438.212799999994</v>
      </c>
      <c r="E5" s="7">
        <f>B5-D5</f>
        <v>-67819.212799999994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-2858.2607999999891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74482.893599999996</v>
      </c>
      <c r="E6" s="6">
        <f>B6-D6</f>
        <v>-61952.893599999996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-2860.3695999999909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2026-02-25T03:22:06Z</dcterms:modified>
</cp:coreProperties>
</file>