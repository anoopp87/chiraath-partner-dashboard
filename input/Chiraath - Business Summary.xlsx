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33750477-B688-0F43-BCF9-9BF39C848ABD}"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INVENTORY!$A$1:$T$262</definedName>
    <definedName name="_xlnm._FilterDatabase" localSheetId="3" hidden="1">Purchases!$A$1:$D$32</definedName>
    <definedName name="_xlnm._FilterDatabase" localSheetId="4" hidden="1">Sales!$A$1:$I$326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62" i="6" l="1"/>
  <c r="I262" i="6"/>
  <c r="J262" i="6"/>
  <c r="K262" i="6"/>
  <c r="H263" i="6"/>
  <c r="I263" i="6"/>
  <c r="H264" i="6"/>
  <c r="I264" i="6"/>
  <c r="J264" i="6" s="1"/>
  <c r="K264" i="6"/>
  <c r="H265" i="6"/>
  <c r="I265" i="6"/>
  <c r="J265" i="6"/>
  <c r="K265" i="6"/>
  <c r="H266" i="6"/>
  <c r="I266" i="6"/>
  <c r="J266" i="6"/>
  <c r="K266" i="6"/>
  <c r="H267" i="6"/>
  <c r="I267" i="6"/>
  <c r="J267" i="6"/>
  <c r="K267" i="6"/>
  <c r="H268" i="6"/>
  <c r="I268" i="6"/>
  <c r="J268" i="6"/>
  <c r="K268" i="6"/>
  <c r="H269" i="6"/>
  <c r="I269" i="6"/>
  <c r="J269" i="6"/>
  <c r="K269" i="6"/>
  <c r="H270" i="6"/>
  <c r="I270" i="6"/>
  <c r="J270" i="6"/>
  <c r="K270" i="6"/>
  <c r="H271" i="6"/>
  <c r="I271" i="6"/>
  <c r="J271" i="6"/>
  <c r="K271" i="6"/>
  <c r="H272" i="6"/>
  <c r="I272" i="6"/>
  <c r="J272" i="6"/>
  <c r="K272" i="6"/>
  <c r="H273" i="6"/>
  <c r="I273" i="6"/>
  <c r="J273" i="6"/>
  <c r="K273" i="6"/>
  <c r="H260" i="6"/>
  <c r="I260" i="6"/>
  <c r="J260" i="6" s="1"/>
  <c r="K260" i="6"/>
  <c r="H261" i="6"/>
  <c r="I261" i="6"/>
  <c r="J261" i="6" s="1"/>
  <c r="K261" i="6"/>
  <c r="H225" i="6"/>
  <c r="H233" i="6"/>
  <c r="H238" i="6"/>
  <c r="I238" i="6"/>
  <c r="J238" i="6" s="1"/>
  <c r="K238" i="6"/>
  <c r="H239" i="6"/>
  <c r="I239" i="6"/>
  <c r="J239" i="6" s="1"/>
  <c r="K239" i="6"/>
  <c r="H240" i="6"/>
  <c r="I240" i="6"/>
  <c r="J240" i="6"/>
  <c r="K240" i="6"/>
  <c r="H241" i="6"/>
  <c r="I241" i="6"/>
  <c r="J241" i="6"/>
  <c r="K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26" i="6"/>
  <c r="I226" i="6"/>
  <c r="J226" i="6"/>
  <c r="K226" i="6"/>
  <c r="H227" i="6"/>
  <c r="I227" i="6"/>
  <c r="J227" i="6"/>
  <c r="K227" i="6"/>
  <c r="H228" i="6"/>
  <c r="I228" i="6"/>
  <c r="J228" i="6"/>
  <c r="K228" i="6"/>
  <c r="H229" i="6"/>
  <c r="I229" i="6"/>
  <c r="J229" i="6"/>
  <c r="K229" i="6"/>
  <c r="H230" i="6"/>
  <c r="I230" i="6"/>
  <c r="J230" i="6"/>
  <c r="K230" i="6"/>
  <c r="H231" i="6"/>
  <c r="I231" i="6"/>
  <c r="J231" i="6"/>
  <c r="K231" i="6"/>
  <c r="H232" i="6"/>
  <c r="I232" i="6"/>
  <c r="J232" i="6"/>
  <c r="K232" i="6"/>
  <c r="I233" i="6"/>
  <c r="J233" i="6"/>
  <c r="K233" i="6"/>
  <c r="H234" i="6"/>
  <c r="I234" i="6"/>
  <c r="J234" i="6"/>
  <c r="K234" i="6"/>
  <c r="H235" i="6"/>
  <c r="I235" i="6"/>
  <c r="H236" i="6"/>
  <c r="I236" i="6"/>
  <c r="J236" i="6"/>
  <c r="K236" i="6"/>
  <c r="H237" i="6"/>
  <c r="I237" i="6"/>
  <c r="H222" i="6"/>
  <c r="I222" i="6"/>
  <c r="J222" i="6"/>
  <c r="K222" i="6"/>
  <c r="H223" i="6"/>
  <c r="I223" i="6"/>
  <c r="H224" i="6"/>
  <c r="I224" i="6"/>
  <c r="J224" i="6"/>
  <c r="K224" i="6"/>
  <c r="I225" i="6"/>
  <c r="J225" i="6"/>
  <c r="K225"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J263" i="6" l="1"/>
  <c r="K263" i="6"/>
  <c r="K223" i="6"/>
  <c r="J223" i="6"/>
  <c r="K242" i="6"/>
  <c r="J242" i="6"/>
  <c r="J243" i="6"/>
  <c r="K243" i="6"/>
  <c r="J244" i="6"/>
  <c r="K244" i="6"/>
  <c r="K245" i="6"/>
  <c r="J245" i="6"/>
  <c r="K246" i="6"/>
  <c r="J246" i="6"/>
  <c r="J247" i="6"/>
  <c r="K247" i="6"/>
  <c r="K248" i="6"/>
  <c r="J248" i="6"/>
  <c r="K249" i="6"/>
  <c r="J249" i="6"/>
  <c r="J250" i="6"/>
  <c r="K250" i="6"/>
  <c r="K251" i="6"/>
  <c r="J251" i="6"/>
  <c r="K252" i="6"/>
  <c r="J252" i="6"/>
  <c r="J253" i="6"/>
  <c r="K253" i="6"/>
  <c r="K254" i="6"/>
  <c r="J254" i="6"/>
  <c r="K255" i="6"/>
  <c r="J255" i="6"/>
  <c r="K256" i="6"/>
  <c r="J256" i="6"/>
  <c r="K257" i="6"/>
  <c r="J257" i="6"/>
  <c r="J258" i="6"/>
  <c r="K258" i="6"/>
  <c r="K259" i="6"/>
  <c r="J259" i="6"/>
  <c r="J235" i="6"/>
  <c r="K235" i="6"/>
  <c r="K237" i="6"/>
  <c r="J237"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<sst xmlns="http://schemas.openxmlformats.org/spreadsheetml/2006/main" count="3507" uniqueCount="1395">
  <si>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</si>
  <si>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</si>
  <si>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</si>
  <si>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</si>
  <si>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</si>
  <si>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</si>
  <si>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</si>
  <si>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</si>
  <si>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</si>
  <si>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</si>
  <si>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</si>
  <si>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</si>
  <si>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</si>
  <si>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</si>
  <si>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</si>
  <si>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</si>
  <si>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</si>
  <si>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</si>
  <si>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</si>
  <si>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</si>
  <si>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</si>
  <si>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</si>
  <si>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</si>
  <si>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</si>
  <si>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</si>
  <si>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</si>
  <si>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</si>
  <si>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</si>
  <si>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</si>
  <si>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</si>
  <si>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</si>
  <si>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</si>
  <si>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</si>
  <si>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</si>
  <si>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</si>
  <si>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</si>
  <si>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</si>
  <si>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</si>
  <si>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</si>
  <si>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</si>
  <si>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</si>
  <si>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</si>
  <si>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</si>
  <si>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</si>
  <si>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</si>
  <si>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</si>
  <si>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</si>
  <si>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</si>
  <si>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</si>
  <si>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</si>
  <si>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</si>
  <si>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</si>
  <si>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</si>
  <si>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</si>
  <si>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</si>
  <si>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</si>
  <si>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</si>
  <si>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</si>
  <si>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</si>
  <si>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</si>
  <si>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</si>
  <si>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</si>
  <si>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</si>
  <si>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</si>
  <si>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</si>
  <si>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</si>
  <si>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</si>
  <si>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</si>
  <si>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</si>
  <si>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</si>
  <si>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</si>
  <si>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</si>
  <si>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</si>
  <si>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</si>
  <si>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</si>
  <si>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</si>
  <si>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</si>
  <si>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</si>
  <si>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</si>
  <si>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</si>
  <si>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</si>
  <si>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</si>
  <si>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</si>
  <si>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</si>
  <si>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</si>
  <si>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</si>
  <si>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</si>
  <si>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</si>
  <si>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</si>
  <si>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</si>
  <si>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</si>
  <si>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</si>
  <si>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</si>
  <si>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</si>
  <si>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</si>
  <si>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</si>
  <si>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</si>
  <si>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</si>
  <si>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</si>
  <si>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</si>
  <si>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</si>
  <si>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</si>
  <si>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</si>
  <si>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</si>
  <si>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</si>
  <si>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</si>
  <si>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</si>
  <si>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</si>
  <si>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</si>
  <si>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</si>
  <si>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</si>
  <si>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</si>
  <si>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</si>
  <si>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</si>
  <si>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</si>
  <si>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</si>
  <si>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</si>
  <si>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</si>
  <si>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</si>
  <si>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</si>
  <si>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</si>
  <si>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</si>
  <si>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</si>
  <si>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</si>
  <si>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</si>
  <si>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</si>
  <si>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</si>
  <si>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</si>
  <si>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</si>
  <si>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</si>
  <si>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</si>
  <si>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</si>
  <si>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</si>
  <si>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</si>
  <si>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</si>
  <si>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</si>
  <si>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</si>
  <si>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</si>
  <si>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</si>
  <si>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</si>
  <si>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</si>
  <si>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</si>
  <si>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</si>
  <si>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</si>
  <si>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</si>
  <si>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</si>
  <si>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</si>
  <si>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</si>
  <si>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</si>
  <si>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</si>
  <si>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</si>
  <si>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</si>
  <si>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</si>
  <si>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</si>
  <si>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</si>
  <si>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</si>
  <si>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</si>
  <si>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</si>
  <si>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</si>
  <si>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</si>
  <si>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</si>
  <si>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</si>
  <si>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</si>
  <si>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</si>
  <si>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</si>
  <si>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</si>
  <si>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</si>
  <si>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</si>
  <si>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</si>
  <si>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</si>
  <si>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</si>
  <si>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</si>
  <si>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</si>
  <si>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</si>
  <si>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</si>
  <si>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</si>
  <si>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</si>
  <si>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</si>
  <si>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</si>
  <si>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</si>
  <si>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</si>
  <si>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</si>
  <si>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</si>
  <si>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</si>
  <si>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</si>
  <si>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</si>
  <si>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</si>
  <si>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</si>
  <si>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</si>
  <si>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</si>
  <si>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</si>
  <si>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</si>
  <si>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</si>
  <si>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</si>
  <si>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</si>
  <si>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</si>
  <si>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</si>
  <si>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</si>
  <si>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</si>
  <si>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</si>
  <si>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</si>
  <si>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</si>
  <si>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</si>
  <si>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</si>
  <si>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</si>
  <si>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</si>
  <si>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</si>
  <si>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</si>
  <si>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</si>
  <si>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</si>
  <si>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</si>
  <si>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</si>
  <si>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</si>
  <si>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</si>
  <si>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</si>
  <si>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</si>
  <si>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</si>
  <si>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</si>
  <si>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</si>
  <si>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</si>
  <si>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</si>
  <si>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</si>
  <si>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</si>
  <si>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</si>
  <si>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</si>
  <si>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</si>
  <si>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</si>
  <si>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</si>
  <si>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</si>
  <si>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</si>
  <si>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</si>
  <si>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</si>
  <si>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</si>
  <si>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</si>
  <si>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</si>
  <si>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</si>
  <si>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</si>
  <si>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</si>
  <si>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</si>
  <si>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</si>
  <si>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</si>
  <si>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</si>
  <si>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</si>
  <si>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</si>
  <si>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</si>
  <si>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</si>
  <si>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</si>
  <si>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</si>
  <si>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</si>
  <si>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</si>
  <si>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</si>
  <si>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</si>
  <si>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</si>
  <si>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</si>
  <si>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</si>
  <si>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</si>
  <si>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</si>
  <si>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</si>
  <si>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</si>
  <si>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</si>
  <si>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</si>
  <si>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</si>
  <si>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</si>
  <si>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</si>
  <si>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</si>
  <si>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</si>
  <si>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</si>
  <si>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</si>
  <si>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</si>
  <si>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</si>
  <si>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</si>
  <si>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</si>
  <si>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</si>
  <si>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</si>
  <si>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</si>
  <si>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</si>
  <si>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</si>
  <si>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</si>
  <si>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</si>
  <si>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</si>
  <si>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</si>
  <si>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</si>
  <si>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</si>
  <si>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</si>
  <si>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</si>
  <si>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</si>
  <si>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</si>
  <si>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</si>
  <si>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</si>
  <si>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</si>
  <si>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</si>
  <si>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</si>
  <si>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</si>
  <si>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</si>
  <si>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</si>
  <si>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</si>
  <si>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</si>
  <si>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</si>
  <si>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</si>
  <si>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</si>
  <si>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</si>
  <si>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</si>
  <si>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</si>
  <si>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</si>
  <si>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</si>
  <si>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</si>
  <si>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</si>
  <si>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</si>
  <si>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</si>
  <si>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</si>
  <si>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</si>
  <si>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</si>
  <si>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</si>
  <si>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</si>
  <si>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</si>
  <si>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</si>
  <si>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</si>
  <si>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</si>
  <si>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</si>
  <si>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</si>
  <si>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</si>
  <si>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</si>
  <si>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</si>
  <si>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</si>
  <si>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</si>
  <si>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</si>
  <si>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</si>
  <si>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</si>
  <si>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</si>
  <si>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</si>
  <si>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</si>
  <si>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</si>
  <si>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</si>
  <si>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</si>
  <si>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</si>
  <si>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</si>
  <si>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</si>
  <si>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</si>
  <si>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</si>
  <si>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</si>
  <si>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</si>
  <si>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</si>
  <si>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</si>
  <si>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</si>
  <si>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</si>
  <si>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</si>
  <si>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</si>
  <si>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</si>
  <si>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</si>
  <si>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</si>
  <si>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</si>
  <si>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</si>
  <si>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</si>
  <si>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</si>
  <si>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</si>
  <si>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</si>
  <si>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</si>
  <si>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</si>
  <si>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</si>
  <si>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</si>
  <si>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</si>
  <si>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</si>
  <si>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</si>
  <si>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</si>
  <si>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</si>
  <si>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</si>
  <si>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</si>
  <si>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</si>
  <si>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</si>
  <si>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</si>
  <si>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</si>
  <si>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</si>
  <si>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</si>
  <si>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</si>
  <si>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</si>
  <si>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</si>
  <si>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</si>
  <si>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</si>
  <si>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</si>
  <si>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</si>
  <si>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</si>
  <si>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</si>
  <si>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</si>
  <si>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</si>
  <si>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</si>
  <si>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</si>
  <si>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</si>
  <si>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</si>
  <si>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</si>
  <si>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</si>
  <si>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</si>
  <si>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</si>
  <si>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</si>
  <si>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</si>
  <si>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</si>
  <si>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</si>
  <si>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</si>
  <si>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</si>
  <si>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</si>
  <si>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</si>
  <si>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</si>
  <si>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</si>
  <si>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</si>
  <si>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</si>
  <si>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</si>
  <si>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</si>
  <si>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</si>
  <si>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</si>
  <si>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</si>
  <si>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</si>
  <si>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</si>
  <si>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</si>
  <si>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</si>
  <si>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</si>
  <si>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</si>
  <si>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</si>
  <si>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</si>
  <si>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</si>
  <si>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</si>
  <si>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</si>
  <si>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</si>
  <si>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</si>
  <si>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</si>
  <si>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</si>
  <si>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</si>
  <si>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</si>
  <si>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</si>
  <si>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</si>
  <si>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</si>
  <si>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</si>
  <si>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</si>
  <si>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</si>
  <si>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</si>
  <si>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</si>
  <si>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</si>
  <si>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</si>
  <si>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</si>
  <si>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</si>
  <si>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</si>
  <si>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</si>
  <si>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</si>
  <si>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</si>
  <si>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</si>
  <si>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</si>
  <si>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</si>
  <si>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</si>
  <si>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</si>
  <si>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</si>
  <si>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</si>
  <si>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</si>
  <si>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</si>
  <si>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</si>
  <si>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</si>
  <si>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</si>
  <si>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</si>
  <si>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</si>
  <si>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</si>
  <si>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</si>
  <si>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</si>
  <si>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</si>
  <si>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</si>
  <si>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</si>
  <si>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</si>
  <si>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</si>
  <si>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</si>
  <si>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</si>
  <si>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</si>
  <si>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</si>
  <si>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</si>
  <si>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</si>
  <si>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</si>
  <si>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</si>
  <si>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</si>
  <si>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</si>
  <si>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</si>
  <si>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</si>
  <si>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</si>
  <si>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</si>
  <si>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</si>
  <si>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</si>
  <si>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</si>
  <si>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</si>
  <si>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</si>
  <si>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</si>
  <si>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</si>
  <si>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</si>
  <si>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</si>
  <si>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</si>
  <si>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</si>
  <si>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</si>
  <si>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</si>
  <si>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</si>
  <si>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</si>
  <si>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</si>
  <si>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</si>
  <si>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</si>
  <si>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</si>
  <si>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</si>
  <si>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</si>
  <si>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</si>
  <si>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</si>
  <si>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</si>
  <si>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</si>
  <si>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</si>
  <si>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</si>
  <si>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</si>
  <si>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</si>
  <si>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</si>
  <si>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</si>
  <si>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</si>
  <si>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</si>
  <si>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</si>
  <si>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</si>
  <si>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</si>
  <si>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</si>
  <si>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</si>
  <si>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</si>
  <si>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</si>
  <si>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</si>
  <si>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</si>
  <si>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</si>
  <si>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</si>
  <si>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</si>
  <si>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</si>
  <si>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</si>
  <si>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</si>
  <si>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</si>
  <si>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</si>
  <si>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</si>
  <si>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</si>
  <si>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</si>
  <si>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</si>
  <si>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</si>
  <si>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</si>
  <si>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</si>
  <si>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</si>
  <si>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</si>
  <si>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</si>
  <si>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</si>
  <si>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</si>
  <si>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</si>
  <si>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</si>
  <si>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</si>
  <si>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</si>
  <si>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</si>
  <si>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</si>
  <si>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</si>
  <si>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</si>
  <si>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</si>
  <si>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</si>
  <si>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</si>
  <si>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</si>
  <si>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</si>
  <si>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</si>
  <si>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</si>
  <si>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</si>
  <si>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</si>
  <si>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</si>
  <si>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</si>
  <si>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</si>
  <si>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</si>
  <si>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</si>
  <si>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</si>
  <si>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</si>
  <si>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</si>
  <si>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</si>
  <si>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</si>
  <si>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</si>
  <si>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</si>
  <si>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</si>
  <si>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</si>
  <si>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</si>
  <si>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</si>
  <si>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</si>
  <si>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</si>
  <si>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</si>
  <si>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</si>
  <si>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</si>
  <si>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</si>
  <si>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</si>
  <si>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</si>
  <si>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</si>
  <si>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</si>
  <si>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</si>
  <si>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</si>
  <si>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</si>
  <si>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</si>
  <si>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</si>
  <si>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</si>
  <si>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</si>
  <si>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</si>
  <si>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</si>
  <si>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</si>
  <si>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</si>
  <si>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</si>
  <si>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</si>
  <si>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</si>
  <si>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</si>
  <si>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</si>
  <si>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</si>
  <si>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</si>
  <si>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</si>
  <si>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</si>
  <si>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</si>
  <si>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</si>
  <si>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</si>
  <si>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</si>
  <si>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</si>
  <si>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</si>
  <si>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</si>
  <si>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</si>
  <si>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</si>
  <si>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</si>
  <si>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</si>
  <si>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</si>
  <si>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</si>
  <si>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</si>
  <si>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</si>
  <si>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</si>
  <si>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</si>
  <si>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</si>
  <si>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</si>
  <si>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</si>
  <si>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</si>
  <si>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</si>
  <si>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</si>
  <si>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</si>
  <si>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</si>
  <si>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</si>
  <si>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</si>
  <si>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</si>
  <si>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</si>
  <si>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</si>
  <si>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</si>
  <si>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</si>
  <si>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</si>
  <si>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</si>
  <si>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</si>
  <si>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</si>
  <si>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</si>
  <si>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</si>
  <si>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</si>
  <si>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</si>
  <si>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</si>
  <si>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</si>
  <si>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</si>
  <si>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</si>
  <si>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</si>
  <si>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</si>
  <si>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</si>
  <si>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</si>
  <si>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</si>
  <si>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</si>
  <si>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</si>
  <si>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</si>
  <si>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</si>
  <si>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</si>
  <si>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</si>
  <si>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</si>
  <si>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</si>
  <si>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</si>
  <si>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</si>
  <si>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</si>
  <si>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</si>
  <si>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</si>
  <si>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</si>
  <si>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</si>
  <si>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</si>
  <si>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</si>
  <si>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</si>
  <si>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</si>
  <si>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</si>
  <si>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</si>
  <si>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</si>
  <si>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</si>
  <si>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</si>
  <si>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</si>
  <si>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</si>
  <si>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</si>
  <si>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</si>
  <si>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</si>
  <si>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</si>
  <si>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</si>
  <si>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</si>
  <si>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</si>
  <si>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</si>
  <si>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</si>
  <si>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</si>
  <si>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</si>
  <si>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</si>
  <si>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</si>
  <si>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</si>
  <si>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</si>
  <si>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</si>
  <si>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</si>
  <si>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</si>
  <si>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</si>
  <si>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</si>
  <si>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</si>
  <si>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</si>
  <si>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</si>
  <si>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</si>
  <si>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</si>
  <si>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</si>
  <si>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</si>
  <si>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</si>
  <si>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</si>
  <si>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</si>
  <si>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</si>
  <si>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</si>
  <si>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</si>
  <si>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</si>
  <si>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</si>
  <si>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</si>
  <si>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</si>
  <si>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</si>
  <si>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</si>
  <si>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</si>
  <si>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</si>
  <si>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</si>
  <si>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</si>
  <si>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</si>
  <si>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</si>
  <si>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</si>
  <si>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</si>
  <si>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</si>
  <si>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</si>
  <si>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</si>
  <si>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</si>
  <si>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</si>
  <si>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</si>
  <si>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</si>
  <si>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</si>
  <si>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</si>
  <si>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</si>
  <si>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</si>
  <si>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</si>
  <si>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</si>
  <si>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</si>
  <si>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</si>
  <si>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</si>
  <si>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</si>
  <si>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</si>
  <si>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</si>
  <si>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</si>
  <si>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</si>
  <si>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</si>
  <si>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</si>
  <si>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</si>
  <si>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</si>
  <si>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</si>
  <si>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</si>
  <si>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</si>
  <si>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</si>
  <si>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</si>
  <si>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</si>
  <si>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</si>
  <si>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</si>
  <si>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</si>
  <si>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</si>
  <si>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</si>
  <si>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</si>
  <si>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</si>
  <si>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</si>
  <si>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</si>
  <si>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</si>
  <si>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</si>
  <si>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</si>
  <si>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</si>
  <si>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</si>
  <si>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</si>
  <si>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</si>
  <si>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</si>
  <si>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</si>
  <si>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</si>
  <si>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</si>
  <si>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</si>
  <si>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</si>
  <si>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</si>
  <si>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</si>
  <si>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</si>
  <si>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</si>
  <si>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</si>
  <si>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</si>
  <si>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</si>
  <si>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</si>
  <si>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</si>
  <si>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</si>
  <si>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</si>
  <si>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</si>
  <si>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</si>
  <si>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</si>
  <si>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</si>
  <si>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</si>
  <si>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</si>
  <si>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</si>
  <si>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</si>
  <si>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</si>
  <si>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</si>
  <si>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</si>
  <si>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</si>
  <si>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</si>
  <si>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</si>
  <si>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</si>
  <si>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</si>
  <si>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</si>
  <si>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</si>
  <si>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</si>
  <si>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</si>
  <si>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</si>
  <si>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</si>
  <si>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</si>
  <si>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</si>
  <si>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</si>
  <si>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</si>
  <si>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</si>
  <si>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</si>
  <si>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</si>
  <si>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</si>
  <si>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</si>
  <si>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</si>
  <si>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</si>
  <si>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</si>
  <si>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</si>
  <si>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</si>
  <si>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</si>
  <si>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</si>
  <si>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</si>
  <si>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</si>
  <si>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</si>
  <si>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</si>
  <si>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</si>
  <si>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</si>
  <si>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</si>
  <si>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</si>
  <si>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</si>
  <si>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</si>
  <si>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</si>
  <si>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</si>
  <si>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</si>
  <si>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</si>
  <si>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</si>
  <si>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</si>
  <si>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</si>
  <si>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</si>
  <si>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</si>
  <si>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</si>
  <si>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</si>
  <si>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</si>
  <si>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</si>
  <si>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</si>
  <si>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</si>
  <si>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</si>
  <si>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</si>
  <si>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</si>
  <si>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</si>
  <si>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</si>
  <si>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</si>
  <si>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</si>
  <si>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</si>
  <si>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</si>
  <si>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</si>
  <si>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</si>
  <si>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</si>
  <si>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</si>
  <si>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</si>
  <si>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</si>
  <si>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</si>
  <si>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</si>
  <si>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</si>
  <si>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</si>
  <si>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</si>
  <si>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</si>
  <si>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</si>
  <si>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</si>
  <si>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</si>
  <si>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</si>
  <si>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</si>
  <si>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</si>
  <si>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</si>
  <si>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</si>
  <si>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</si>
  <si>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</si>
  <si>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</si>
  <si>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</si>
  <si>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</si>
  <si>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</si>
  <si>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</si>
  <si>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</si>
  <si>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</si>
  <si>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</si>
  <si>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</si>
  <si>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</si>
  <si>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</si>
  <si>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</si>
  <si>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</si>
  <si>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</si>
  <si>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</si>
  <si>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</si>
  <si>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</si>
  <si>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</si>
  <si>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</si>
  <si>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</si>
  <si>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</si>
  <si>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</si>
  <si>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</si>
  <si>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</si>
  <si>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</si>
  <si>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</si>
  <si>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</si>
  <si>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</si>
  <si>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</si>
  <si>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</si>
  <si>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</si>
  <si>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</si>
  <si>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</si>
  <si>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</si>
  <si>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</si>
  <si>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</si>
  <si>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</si>
  <si>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</si>
  <si>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</si>
  <si>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</si>
  <si>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</si>
  <si>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</si>
  <si>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</si>
  <si>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</si>
  <si>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</si>
  <si>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</si>
  <si>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</si>
  <si>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</si>
  <si>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</si>
  <si>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</si>
  <si>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</si>
  <si>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</si>
  <si>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</si>
  <si>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</si>
  <si>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</si>
  <si>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</si>
  <si>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</si>
  <si>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</si>
  <si>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</si>
  <si>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</si>
  <si>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</si>
  <si>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</si>
  <si>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</si>
  <si>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</si>
  <si>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</si>
  <si>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</si>
  <si>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</si>
  <si>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</si>
  <si>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</si>
  <si>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</si>
  <si>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</si>
  <si>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</si>
  <si>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</si>
  <si>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</si>
  <si>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</si>
  <si>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</si>
  <si>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</si>
  <si>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</si>
  <si>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</si>
  <si>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</si>
  <si>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</si>
  <si>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</si>
  <si>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</si>
  <si>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</si>
  <si>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</si>
  <si>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</si>
  <si>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</si>
  <si>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</si>
  <si>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</si>
  <si>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</si>
  <si>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</si>
  <si>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</si>
  <si>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</si>
  <si>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</si>
  <si>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</si>
  <si>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</si>
  <si>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</si>
  <si>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</si>
  <si>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</si>
  <si>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</si>
  <si>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</si>
  <si>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</si>
  <si>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</si>
  <si>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</si>
  <si>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</si>
  <si>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</si>
  <si>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</si>
  <si>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</si>
  <si>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</si>
  <si>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</si>
  <si>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</si>
  <si>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</si>
  <si>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</si>
  <si>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</si>
  <si>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</si>
  <si>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</si>
  <si>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</si>
  <si>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</si>
  <si>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</si>
  <si>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</si>
  <si>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</si>
  <si>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</si>
  <si>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</si>
  <si>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</si>
  <si>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</si>
  <si>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</si>
  <si>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</si>
  <si>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</si>
  <si>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</si>
  <si>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</si>
  <si>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</si>
  <si>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</si>
  <si>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</si>
  <si>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</si>
  <si>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</si>
  <si>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</si>
  <si>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</si>
  <si>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</si>
  <si>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</si>
  <si>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</si>
  <si>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</si>
  <si>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</si>
  <si>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</si>
  <si>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</si>
  <si>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</si>
  <si>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</si>
  <si>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</si>
  <si>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</si>
  <si>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</si>
  <si>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</si>
  <si>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</si>
  <si>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</si>
  <si>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</si>
  <si>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</si>
  <si>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</si>
  <si>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</si>
  <si>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</si>
  <si>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</si>
  <si>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</si>
  <si>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</si>
  <si>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</si>
  <si>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</si>
  <si>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</si>
  <si>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</si>
  <si>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</si>
  <si>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</si>
  <si>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</si>
  <si>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</si>
  <si>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</si>
  <si>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</si>
  <si>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</si>
  <si>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</si>
  <si>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</si>
  <si>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</si>
  <si>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</si>
  <si>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</si>
  <si>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</si>
  <si>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</si>
  <si>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</si>
  <si>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</si>
  <si>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</si>
  <si>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</si>
  <si>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</si>
  <si>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</si>
  <si>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</si>
  <si>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</si>
  <si>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</si>
  <si>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</si>
  <si>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</si>
  <si>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</si>
  <si>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</si>
  <si>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</si>
  <si>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</si>
  <si>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</si>
  <si>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</si>
  <si>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</si>
  <si>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</si>
  <si>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</si>
  <si>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</si>
  <si>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</si>
  <si>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</si>
  <si>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</si>
  <si>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</si>
  <si>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</si>
  <si>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</si>
  <si>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</si>
  <si>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</si>
  <si>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</si>
  <si>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</si>
  <si>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</si>
  <si>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</si>
  <si>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</si>
  <si>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</si>
  <si>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</si>
  <si>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</si>
  <si>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</si>
  <si>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</si>
  <si>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</si>
  <si>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</si>
  <si>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</si>
  <si>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</si>
  <si>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</si>
  <si>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</si>
  <si>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</si>
  <si>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</si>
  <si>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</si>
  <si>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</si>
  <si>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</si>
  <si>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</si>
  <si>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</si>
  <si>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</si>
  <si>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</si>
  <si>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</si>
  <si>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</si>
  <si>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</si>
  <si>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</si>
  <si>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</si>
  <si>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</si>
  <si>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</si>
  <si>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</si>
  <si>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</si>
  <si>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</si>
  <si>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</si>
  <si>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</si>
  <si>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</si>
  <si>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</si>
  <si>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</si>
  <si>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</si>
  <si>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</si>
  <si>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</si>
  <si>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</si>
  <si>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</si>
  <si>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</si>
  <si>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</si>
  <si>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</si>
  <si>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</si>
  <si>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</si>
  <si>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</si>
  <si>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</si>
  <si>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</si>
  <si>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</si>
  <si>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</si>
  <si>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</si>
  <si>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</si>
  <si>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</si>
  <si>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</si>
  <si>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</si>
  <si>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</si>
  <si>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</si>
  <si>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</si>
  <si>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</si>
  <si>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</si>
  <si>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</si>
  <si>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</si>
  <si>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</si>
  <si>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</si>
  <si>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</si>
  <si>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</si>
  <si>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</si>
  <si>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</si>
  <si>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</si>
  <si>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</si>
  <si>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</si>
  <si>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</si>
  <si>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</si>
  <si>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</si>
  <si>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</si>
  <si>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</si>
  <si>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</si>
  <si>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</si>
  <si>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</si>
  <si>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</si>
  <si>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</si>
  <si>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</si>
  <si>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</si>
  <si>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</si>
  <si>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</si>
  <si>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</si>
  <si>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</si>
  <si>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</si>
  <si>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</si>
  <si>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</si>
  <si>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</si>
  <si>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</si>
  <si>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</si>
  <si>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</si>
  <si>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</si>
  <si>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</si>
  <si>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</si>
  <si>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</si>
  <si>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</si>
  <si>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</si>
  <si>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</si>
  <si>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</si>
  <si>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</si>
  <si>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</si>
  <si>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</si>
  <si>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</si>
  <si>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</si>
  <si>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</si>
  <si>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</si>
  <si>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</si>
  <si>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</si>
  <si>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</si>
  <si>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</si>
  <si>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</si>
  <si>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</si>
  <si>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</si>
  <si>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</si>
  <si>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</si>
  <si>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</si>
  <si>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</si>
  <si>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</si>
  <si>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</si>
  <si>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</si>
  <si>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</si>
  <si>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</si>
  <si>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</si>
  <si>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</si>
  <si>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</si>
  <si>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</si>
  <si>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</si>
  <si>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</si>
  <si>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</si>
  <si>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</si>
  <si>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</si>
  <si>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</si>
  <si>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</si>
  <si>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</si>
  <si>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</si>
  <si>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</si>
  <si>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</si>
  <si>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</si>
  <si>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</si>
  <si>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</si>
  <si>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</si>
  <si>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</si>
  <si>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</si>
  <si>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</si>
  <si>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</si>
  <si>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</si>
  <si>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</si>
  <si>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</si>
  <si>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</si>
  <si>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</si>
  <si>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</si>
  <si>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</si>
  <si>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</si>
  <si>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</si>
  <si>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</si>
  <si>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</si>
  <si>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</si>
  <si>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</si>
  <si>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</si>
  <si>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</si>
  <si>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Pink, Black</t>
  </si>
  <si>
    <t>Blue - returned</t>
  </si>
  <si>
    <t>Red - retruned</t>
  </si>
  <si>
    <t>Green, Olive Green</t>
  </si>
  <si>
    <t>Prabha Chidambaram - Green, Wine red returned</t>
  </si>
  <si>
    <t>Blue</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</si>
  <si>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</si>
  <si>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</si>
  <si>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</si>
  <si>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</si>
  <si>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</si>
  <si>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</si>
  <si>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</si>
  <si>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</si>
  <si>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</si>
  <si>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Nisha Shaju</t>
  </si>
  <si>
    <t>CHR-174 Matka Peacock blue/maroon</t>
  </si>
  <si>
    <t>DTDC parcel charges</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</si>
  <si>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</si>
  <si>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</si>
  <si>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</si>
  <si>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</si>
  <si>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</si>
  <si>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</si>
  <si>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</si>
  <si>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</si>
  <si>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</si>
  <si>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</si>
  <si>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</si>
  <si>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</si>
  <si>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</si>
  <si>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</si>
  <si>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</si>
  <si>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Temple Design, CHR-240 New Kerala Golden Saree with flowers, CHR-242-Kerala Saree, CHR-230 - Jute Silk  (Advance -2800)</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</si>
  <si>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</si>
  <si>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</si>
  <si>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</si>
  <si>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</si>
  <si>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</si>
  <si>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</si>
  <si>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</si>
  <si>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</si>
  <si>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</si>
  <si>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</si>
  <si>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</si>
  <si>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</si>
  <si>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</si>
  <si>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</si>
  <si>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</si>
  <si>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</si>
  <si>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</si>
  <si>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</si>
  <si>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</si>
  <si>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</si>
  <si>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</si>
  <si>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</si>
  <si>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</si>
  <si>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</si>
  <si>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</si>
  <si>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Navya - Black Orange, Saida - Black Pink</t>
  </si>
  <si>
    <t>Violet/bottle green</t>
  </si>
  <si>
    <t>CHR-212 Yellow/Orange</t>
  </si>
  <si>
    <t>CHR-212 - Purple, CHR-235 - Black Red - 1000 advance, 750 pending</t>
  </si>
  <si>
    <t>Dr.Reshna - Yellow/Black, Shylaja - Black/Red</t>
  </si>
  <si>
    <t>Pink with Silver Butas,  Wine/Green</t>
  </si>
  <si>
    <t>Tennish</t>
  </si>
  <si>
    <t>CHR-225 Black Tusshar</t>
  </si>
  <si>
    <t>Tennish - Black Tussar</t>
  </si>
  <si>
    <t>Wine</t>
  </si>
  <si>
    <t>Hima BS</t>
  </si>
  <si>
    <t>120 count mul cotton</t>
  </si>
  <si>
    <t>Hima B S</t>
  </si>
  <si>
    <t>Kuthanpully</t>
  </si>
  <si>
    <t>CHR-249</t>
  </si>
  <si>
    <t>CHR-250</t>
  </si>
  <si>
    <t>Purple with silver zari</t>
  </si>
  <si>
    <t>Peacock blue/Royal blue, Purple/Pink, Lime Green/Wine Purple</t>
  </si>
  <si>
    <t>426363 Churidar Set</t>
  </si>
  <si>
    <t>L, XL, XXL</t>
  </si>
  <si>
    <t>CHR-251</t>
  </si>
  <si>
    <t>425677 Churidar Set</t>
  </si>
  <si>
    <t>M, L, XL, XXL</t>
  </si>
  <si>
    <t>CHR-252</t>
  </si>
  <si>
    <t>417278 Churidar Set</t>
  </si>
  <si>
    <t>CHR-253</t>
  </si>
  <si>
    <t>424938 Churidar Set</t>
  </si>
  <si>
    <t>Soft Silk Saree Collection (Kuthanpully)</t>
  </si>
  <si>
    <t>Semi Silk (Kuthanpully)</t>
  </si>
  <si>
    <t>CHR-254</t>
  </si>
  <si>
    <t>Lucy Teacher</t>
  </si>
  <si>
    <t>CHR-254 Chikku Violiet</t>
  </si>
  <si>
    <t>CHR-255</t>
  </si>
  <si>
    <t>Reetha Peethambaran</t>
  </si>
  <si>
    <t>CHR-255 Chikku Green New type</t>
  </si>
  <si>
    <t>Thresiamma</t>
  </si>
  <si>
    <t>Navy/blue, yellow/peacock blue, turquoise/violet</t>
  </si>
  <si>
    <t>Thressiama - violet/mustard</t>
  </si>
  <si>
    <t>purple - Malini, Olive green - Latha, Navy Blue - Thressiamma</t>
  </si>
  <si>
    <t>Light blue/onion peel, brown/dark maroon, black/light green, rani pink, olive green(2)</t>
  </si>
  <si>
    <t>Latha Ammayi</t>
  </si>
  <si>
    <t>Shylaja - Purple, Jisha - Red, Bank staff - Green, Rajna - Yellow/Orange</t>
  </si>
  <si>
    <t>Yellow/Orange(2), Blue, Red</t>
  </si>
  <si>
    <t>CHR-195-Mustard,CHR-163 -Grey Narayanpet, CHR-210 - Narayanpet Maroon</t>
  </si>
  <si>
    <t>Latha Ammayi - Maroon, Blue returned</t>
  </si>
  <si>
    <t>Malu, Girija</t>
  </si>
  <si>
    <t>CHR-243 - leaf design blue</t>
  </si>
  <si>
    <t>CHR-207 - Violet/Mustard, CHR-193 - navy</t>
  </si>
  <si>
    <t>Girija Ammayi</t>
  </si>
  <si>
    <t>CHR-243 - leaf design Red</t>
  </si>
  <si>
    <t>CHR-256</t>
  </si>
  <si>
    <t>CHR-257</t>
  </si>
  <si>
    <t>CHR-258</t>
  </si>
  <si>
    <t>414124 - Banarasi Saree Beige and violet</t>
  </si>
  <si>
    <t>402671 - Banarasi Saree Beige and bottle-green</t>
  </si>
  <si>
    <t>400594 - Banarasi Saree Biege and Red</t>
  </si>
  <si>
    <t>427143 - Banarasi Saree with Mustard Yellow and Cream</t>
  </si>
  <si>
    <t>404438 - Banarasi Saree Magenta Pink and Black</t>
  </si>
  <si>
    <t xml:space="preserve">
White(3), maroon(3), Jet Black (5)</t>
  </si>
  <si>
    <t>CHR-259</t>
  </si>
  <si>
    <t>CHR-260</t>
  </si>
  <si>
    <t>CHR-261</t>
  </si>
  <si>
    <t>CHR-262</t>
  </si>
  <si>
    <t>CHR-263</t>
  </si>
  <si>
    <t>CHR-264</t>
  </si>
  <si>
    <t>418043 sarees kamana - Tissue silk saree with Woven Zari Bird Motifs</t>
  </si>
  <si>
    <t>Teal Green, Mauve Purple, Deep Red / Maroon</t>
  </si>
  <si>
    <t>421299 Sarees Vigyan Silk - Printed Semi Silk Saree with Lotus Motifs</t>
  </si>
  <si>
    <t>Chocolate Brown, Plum Purple, Forest Green, Maroon, Navy Blue</t>
  </si>
  <si>
    <t>418159 sarees rang Maya - Printed Silk Saree with Floral Vine Motifs</t>
  </si>
  <si>
    <t>Beige and Peach</t>
  </si>
  <si>
    <t>426376 Sarees Batik Silk Saree collection - Wax Batik Silk Saree with Traditional Motifs</t>
  </si>
  <si>
    <t>Crimson Red, Deep Wine, Black, Navy Blue, Rust Orange</t>
  </si>
  <si>
    <t>419135 sarees mul mun line - Khadi Saree</t>
  </si>
  <si>
    <t>424755 sarees satin - Silk Saree with Zari Border and Separate Brocade Blouse</t>
  </si>
  <si>
    <t>Beige and Dark Green, Beige and Maroon, Mustard Yellow and Dark Green, Magenta Pink and Royal Blue</t>
  </si>
  <si>
    <t>Teal Blue and Silver, Royal Blue and Silver, Teal Green and Magenta Pink</t>
  </si>
  <si>
    <t>CHR-182 (Yellow Linen Saree with Lotus, CHR-217 cream/gold with stars and paisley &amp; cream/gold with flowers, CHR-212 Green elephant print, CHR-246 - Kerala Kasavu Tissue Set Mundu - 2250 advance, 1350 - 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</si>
</sst>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5">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363</c:v>
                </c:pt>
                <c:pt idx="1">
                  <c:v>99</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94</c:v>
                </c:pt>
                <c:pt idx="1">
                  <c:v>65</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69573</c:v>
                </c:pt>
                <c:pt idx="1">
                  <c:v>-184238.99333333335</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45848</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54393</c:v>
                </c:pt>
                <c:pt idx="5">
                  <c:v>72885</c:v>
                </c:pt>
                <c:pt idx="6">
                  <c:v>65156</c:v>
                </c:pt>
                <c:pt idx="7">
                  <c:v>79568</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49944</c:v>
                </c:pt>
                <c:pt idx="5">
                  <c:v>-26158</c:v>
                </c:pt>
                <c:pt idx="6">
                  <c:v>-37044</c:v>
                </c:pt>
                <c:pt idx="7">
                  <c:v>33720</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467</c:v>
                </c:pt>
                <c:pt idx="1">
                  <c:v>162</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H20" sqref="H20"/>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602195</v>
      </c>
      <c r="E3" s="8" t="s">
        <v>42</v>
      </c>
      <c r="F3" s="8" t="s">
        <v>43</v>
      </c>
    </row>
    <row r="4" spans="1:6" ht="13.5" customHeight="1">
      <c r="A4" s="9" t="s">
        <v>44</v>
      </c>
      <c r="B4" s="10">
        <f>SUMIFS(Sales!C:C, Sales!I:I, "Completed")</f>
        <v>552551</v>
      </c>
      <c r="E4" s="9" t="str">
        <f>PartnerShares!A3</f>
        <v>Rajna</v>
      </c>
      <c r="F4" s="10">
        <f>PartnerShares!B3</f>
        <v>0.33339999999999997</v>
      </c>
    </row>
    <row r="5" spans="1:6" ht="13.5" customHeight="1">
      <c r="A5" s="11" t="s">
        <v>45</v>
      </c>
      <c r="B5" s="12">
        <f>SUM(Sales!C:C)</f>
        <v>572991</v>
      </c>
      <c r="E5" s="11" t="str">
        <f>PartnerShares!A4</f>
        <v>Anoop</v>
      </c>
      <c r="F5" s="12">
        <f>PartnerShares!B4</f>
        <v>0.3332</v>
      </c>
    </row>
    <row r="6" spans="1:6" ht="13.5" customHeight="1">
      <c r="A6" s="9" t="s">
        <v>46</v>
      </c>
      <c r="B6" s="10">
        <f>B4-B3</f>
        <v>-49644</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43905.993333333347</v>
      </c>
      <c r="C10" s="9"/>
    </row>
    <row r="11" spans="1:6" ht="13.5" customHeight="1">
      <c r="A11" s="11" t="s">
        <v>50</v>
      </c>
      <c r="B11" s="14">
        <f>PartnerShares!H9</f>
        <v>64283.003333333341</v>
      </c>
      <c r="C11" s="11"/>
    </row>
    <row r="12" spans="1:6" ht="13.5" customHeight="1">
      <c r="A12" s="9" t="s">
        <v>51</v>
      </c>
      <c r="B12" s="13">
        <f>PartnerShares!H10</f>
        <v>-108188.99666666666</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262941</v>
      </c>
      <c r="C18" s="10">
        <f>PartnerShares!C8</f>
        <v>200731.66666666666</v>
      </c>
      <c r="D18" s="10">
        <f>PartnerShares!D8</f>
        <v>62209.333333333343</v>
      </c>
      <c r="E18" s="10">
        <f>IFERROR(SUMIFS(PartnerShares!$E$14:$E$500,PartnerShares!$D$14:$D$500,$A18,PartnerShares!$B$14:$B$500,"Contribution"),0)-IFERROR(SUMIFS(PartnerShares!$E$14:$E$500,PartnerShares!$C$14:$C$500,$A18,PartnerShares!$B$14:$B$500,"Contribution"),0)</f>
        <v>18303.34</v>
      </c>
      <c r="F18" s="13">
        <f>D18-E18</f>
        <v>43905.993333333347</v>
      </c>
      <c r="G18" s="16" t="str">
        <f>IF(ROUND(F18,0)&gt;0,"Receive ₹"&amp;TEXT(ABS(F18),"#,##0"),IF(ROUND(F18,0)&lt;0,"Pay ₹"&amp;TEXT(ABS(F18),"#,##0"),"✓ Settled"))</f>
        <v>Receive ₹43,906</v>
      </c>
    </row>
    <row r="19" spans="1:7" ht="13.5" customHeight="1">
      <c r="A19" s="11" t="str">
        <f>PartnerShares!A9</f>
        <v>Anoop</v>
      </c>
      <c r="B19" s="12">
        <f>PartnerShares!B9</f>
        <v>306654</v>
      </c>
      <c r="C19" s="12">
        <f>PartnerShares!C9</f>
        <v>200731.66666666666</v>
      </c>
      <c r="D19" s="12">
        <f>PartnerShares!D9</f>
        <v>105922.33333333334</v>
      </c>
      <c r="E19" s="12">
        <f>IFERROR(SUMIFS(PartnerShares!$E$14:$E$500,PartnerShares!$D$14:$D$500,$A19,PartnerShares!$B$14:$B$500,"Contribution"),0)-IFERROR(SUMIFS(PartnerShares!$E$14:$E$500,PartnerShares!$C$14:$C$500,$A19,PartnerShares!$B$14:$B$500,"Contribution"),0)</f>
        <v>41639.33</v>
      </c>
      <c r="F19" s="14">
        <f>D19-E19</f>
        <v>64283.003333333341</v>
      </c>
      <c r="G19" s="17" t="str">
        <f>IF(ROUND(F19,0)&gt;0,"Receive ₹"&amp;TEXT(ABS(F19),"#,##0"),IF(ROUND(F19,0)&lt;0,"Pay ₹"&amp;TEXT(ABS(F19),"#,##0"),"✓ Settled"))</f>
        <v>Receive ₹64,283</v>
      </c>
    </row>
    <row r="20" spans="1:7" ht="13.5" customHeight="1">
      <c r="A20" s="9" t="str">
        <f>PartnerShares!A10</f>
        <v>Rameez</v>
      </c>
      <c r="B20" s="10">
        <f>PartnerShares!B10</f>
        <v>32600</v>
      </c>
      <c r="C20" s="10">
        <f>PartnerShares!C10</f>
        <v>200731.66666666666</v>
      </c>
      <c r="D20" s="10">
        <f>PartnerShares!D10</f>
        <v>-168131.66666666666</v>
      </c>
      <c r="E20" s="10">
        <f>IFERROR(SUMIFS(PartnerShares!$E$14:$E$500,PartnerShares!$D$14:$D$500,$A20,PartnerShares!$B$14:$B$500,"Contribution"),0)-IFERROR(SUMIFS(PartnerShares!$E$14:$E$500,PartnerShares!$C$14:$C$500,$A20,PartnerShares!$B$14:$B$500,"Contribution"),0)</f>
        <v>-59942.67</v>
      </c>
      <c r="F20" s="13">
        <f>D20-E20</f>
        <v>-108188.99666666666</v>
      </c>
      <c r="G20" s="17" t="str">
        <f>IF(ROUND(F20,0)&gt;0,"Receive ₹"&amp;TEXT(ABS(F20),"#,##0"),IF(ROUND(F20,0)&lt;0,"Pay ₹"&amp;TEXT(ABS(F20),"#,##0"),"✓ Settled"))</f>
        <v>Pay ₹108,189</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483698</v>
      </c>
      <c r="C26" s="10">
        <f>'Cash Pool'!D4</f>
        <v>184220.50339999999</v>
      </c>
      <c r="D26" s="10">
        <f>'Cash Pool'!E4</f>
        <v>299477.49660000001</v>
      </c>
      <c r="E26" s="10">
        <f>'Cash Pool'!F4</f>
        <v>-137310.02600000001</v>
      </c>
      <c r="F26" s="13">
        <f>'Cash Pool'!G4</f>
        <v>162167.4706</v>
      </c>
      <c r="G26" s="17" t="str">
        <f>IF(ROUND(F26,0)&gt;0,"Pay ₹"&amp;TEXT(ABS(F26),"#,##0"),IF(ROUND(F26,0)&lt;0,"Receive ₹"&amp;TEXT(ABS(F26),"#,##0"),"✓ Settled"))</f>
        <v>Pay ₹162,167</v>
      </c>
    </row>
    <row r="27" spans="1:7" ht="13.5" customHeight="1">
      <c r="A27" s="11" t="str">
        <f>'Cash Pool'!A5</f>
        <v>Anoop</v>
      </c>
      <c r="B27" s="12">
        <f>'Cash Pool'!B5</f>
        <v>55323</v>
      </c>
      <c r="C27" s="12">
        <f>'Cash Pool'!D5</f>
        <v>184109.9932</v>
      </c>
      <c r="D27" s="12">
        <f>'Cash Pool'!E5</f>
        <v>-128786.9932</v>
      </c>
      <c r="E27" s="12">
        <f>'Cash Pool'!F5</f>
        <v>71587.042000000001</v>
      </c>
      <c r="F27" s="14">
        <f>'Cash Pool'!G5</f>
        <v>-57199.951199999996</v>
      </c>
      <c r="G27" s="18" t="str">
        <f>IF(ROUND(F27,0)&gt;0,"Pay ₹"&amp;TEXT(ABS(F27),"#,##0"),IF(ROUND(F27,0)&lt;0,"Receive ₹"&amp;TEXT(ABS(F27),"#,##0"),"✓ Settled"))</f>
        <v>Receive ₹57,200</v>
      </c>
    </row>
    <row r="28" spans="1:7" ht="13.5" customHeight="1">
      <c r="A28" s="9" t="str">
        <f>'Cash Pool'!A6</f>
        <v>Rameez</v>
      </c>
      <c r="B28" s="10">
        <f>'Cash Pool'!B6</f>
        <v>12530</v>
      </c>
      <c r="C28" s="10">
        <f>'Cash Pool'!D6</f>
        <v>184220.50339999999</v>
      </c>
      <c r="D28" s="10">
        <f>'Cash Pool'!E6</f>
        <v>-171690.50339999999</v>
      </c>
      <c r="E28" s="10">
        <f>'Cash Pool'!F6</f>
        <v>65722.984000000011</v>
      </c>
      <c r="F28" s="13">
        <f>'Cash Pool'!G6</f>
        <v>-105967.51939999998</v>
      </c>
      <c r="G28" s="16" t="str">
        <f>IF(ROUND(F28,0)&gt;0,"Pay ₹"&amp;TEXT(ABS(F28),"#,##0"),IF(ROUND(F28,0)&lt;0,"Receive ₹"&amp;TEXT(ABS(F28),"#,##0"),"✓ Settled"))</f>
        <v>Receive ₹105,968</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2" t="s">
        <v>67</v>
      </c>
      <c r="B1" s="92"/>
      <c r="C1" s="92"/>
      <c r="D1" s="92"/>
      <c r="E1" s="92"/>
      <c r="F1" s="92"/>
      <c r="G1" s="92"/>
      <c r="H1" s="92"/>
    </row>
    <row r="3" spans="1:8" ht="15" customHeight="1">
      <c r="A3" s="19" t="s">
        <v>68</v>
      </c>
      <c r="B3" s="20">
        <f ca="1">TODAY()</f>
        <v>46267</v>
      </c>
    </row>
    <row r="5" spans="1:8" ht="15" customHeight="1">
      <c r="A5" s="19" t="s">
        <v>41</v>
      </c>
      <c r="B5" s="21">
        <f>Summary!B3</f>
        <v>602195</v>
      </c>
      <c r="D5" s="19" t="s">
        <v>69</v>
      </c>
      <c r="E5" s="21">
        <f>Summary!B4</f>
        <v>552551</v>
      </c>
    </row>
    <row r="6" spans="1:8" ht="15" customHeight="1">
      <c r="A6" s="19" t="s">
        <v>70</v>
      </c>
      <c r="B6" s="21">
        <f>Summary!B6</f>
        <v>-49644</v>
      </c>
      <c r="D6" s="19" t="s">
        <v>71</v>
      </c>
      <c r="E6" s="21">
        <f>SUMIFS(INVENTORY!K:K, INVENTORY!N:N, "&lt;&gt;Sold Out")</f>
        <v>-123262.79333333336</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467</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162</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54393</v>
      </c>
      <c r="D14" s="21">
        <f t="shared" si="0"/>
        <v>49944</v>
      </c>
    </row>
    <row r="15" spans="1:8" ht="15" customHeight="1">
      <c r="A15" s="26" t="s">
        <v>86</v>
      </c>
      <c r="B15" s="27">
        <f>IFERROR(SUMPRODUCT((TEXT(Purchases!$A$2:$A$998,"MMM")=$A15)*(YEAR(Purchases!$A$2:$A$998)=$B$7)*Purchases!$C$2:$C$998),0)</f>
        <v>99043</v>
      </c>
      <c r="C15" s="27">
        <f>IFERROR(SUMPRODUCT((TEXT(Sales!$A$2:$A$993,"MMM")=$A15)*(YEAR(Sales!$A$2:$A$993)=$B$7)*Sales!$C$2:$C$993),0)</f>
        <v>72885</v>
      </c>
      <c r="D15" s="27">
        <f t="shared" si="0"/>
        <v>-26158</v>
      </c>
    </row>
    <row r="16" spans="1:8" ht="15" customHeight="1">
      <c r="A16" s="25" t="s">
        <v>87</v>
      </c>
      <c r="B16" s="21">
        <f>IFERROR(SUMPRODUCT((TEXT(Purchases!$A$2:$A$998,"MMM")=$A16)*(YEAR(Purchases!$A$2:$A$998)=$B$7)*Purchases!$C$2:$C$998),0)</f>
        <v>102200</v>
      </c>
      <c r="C16" s="21">
        <f>IFERROR(SUMPRODUCT((TEXT(Sales!$A$2:$A$993,"MMM")=$A16)*(YEAR(Sales!$A$2:$A$993)=$B$7)*Sales!$C$2:$C$993),0)</f>
        <v>65156</v>
      </c>
      <c r="D16" s="21">
        <f t="shared" si="0"/>
        <v>-37044</v>
      </c>
    </row>
    <row r="17" spans="1:4" ht="15" customHeight="1">
      <c r="A17" s="26" t="s">
        <v>88</v>
      </c>
      <c r="B17" s="27">
        <f>IFERROR(SUMPRODUCT((TEXT(Purchases!$A$2:$A$998,"MMM")=$A17)*(YEAR(Purchases!$A$2:$A$998)=$B$7)*Purchases!$C$2:$C$998),0)</f>
        <v>45848</v>
      </c>
      <c r="C17" s="27">
        <f>IFERROR(SUMPRODUCT((TEXT(Sales!$A$2:$A$993,"MMM")=$A17)*(YEAR(Sales!$A$2:$A$993)=$B$7)*Sales!$C$2:$C$993),0)</f>
        <v>79568</v>
      </c>
      <c r="D17" s="27">
        <f t="shared" si="0"/>
        <v>33720</v>
      </c>
    </row>
    <row r="18" spans="1:4" ht="15" customHeight="1">
      <c r="A18" s="25" t="s">
        <v>89</v>
      </c>
      <c r="B18" s="21">
        <f>IFERROR(SUMPRODUCT((TEXT(Purchases!$A$2:$A$998,"MMM")=$A18)*(YEAR(Purchases!$A$2:$A$998)=$B$7)*Purchases!$C$2:$C$998),0)</f>
        <v>0</v>
      </c>
      <c r="C18" s="21">
        <f>IFERROR(SUMPRODUCT((TEXT(Sales!$A$2:$A$993,"MMM")=$A18)*(YEAR(Sales!$A$2:$A$993)=$B$7)*Sales!$C$2:$C$993),0)</f>
        <v>0</v>
      </c>
      <c r="D18" s="21">
        <f t="shared" si="0"/>
        <v>0</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363</v>
      </c>
      <c r="H47" s="30">
        <f>SUMIF(INVENTORY!C:C, F47, INVENTORY!G:G)</f>
        <v>94</v>
      </c>
      <c r="J47" s="30" t="s">
        <v>96</v>
      </c>
      <c r="K47" s="31">
        <f t="array" ref="K47">SUMPRODUCT((INVENTORY!$C$2:$C$476=J47)*(INVENTORY!$D$2:$D$476)*(INVENTORY!$G$2:$G$476))</f>
        <v>69573</v>
      </c>
    </row>
    <row r="48" spans="6:11" ht="15" customHeight="1">
      <c r="F48" s="29" t="s">
        <v>96</v>
      </c>
      <c r="G48" s="30">
        <f>SUMIF(INVENTORY!C:C, F48, INVENTORY!F:F)</f>
        <v>99</v>
      </c>
      <c r="H48" s="30">
        <f>SUMIF(INVENTORY!C:C, F48, INVENTORY!G:G)</f>
        <v>65</v>
      </c>
      <c r="J48" s="30" t="s">
        <v>95</v>
      </c>
      <c r="K48" s="31">
        <f t="array" ref="K48">SUMPRODUCT((INVENTORY!$C$2:$C$476=J48)*(INVENTORY!$D$2:$D$476)*(INVENTORY!$G$2:$G$476))</f>
        <v>-184238.99333333335</v>
      </c>
    </row>
    <row r="49" spans="5:12" ht="15" customHeight="1">
      <c r="F49" s="29" t="s">
        <v>97</v>
      </c>
      <c r="G49" s="30">
        <f>SUMIF(INVENTORY!C:C, F49, INVENTORY!F:F)</f>
        <v>5</v>
      </c>
      <c r="H49" s="30">
        <f>SUMIF(INVENTORY!C:C, F49, INVENTORY!G:G)</f>
        <v>3</v>
      </c>
      <c r="J49" s="30" t="s">
        <v>97</v>
      </c>
      <c r="K49" s="31">
        <f t="array" ref="K49">SUMPRODUCT((INVENTORY!$C$2:$C$476=J49)*(INVENTORY!$D$2:$D$476)*(INVENTORY!$G$2:$G$476))</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2" activePane="bottomLeft" state="frozen"/>
      <selection pane="bottomLeft" activeCell="D114" sqref="D114"/>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1093</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1123</v>
      </c>
    </row>
    <row r="97" spans="1:4" ht="15" customHeight="1">
      <c r="A97" s="38">
        <v>46218</v>
      </c>
      <c r="B97" s="39" t="s">
        <v>49</v>
      </c>
      <c r="C97" s="40">
        <v>1375</v>
      </c>
      <c r="D97" s="39" t="s">
        <v>1124</v>
      </c>
    </row>
    <row r="98" spans="1:4" ht="15" customHeight="1">
      <c r="A98" s="35">
        <v>46219</v>
      </c>
      <c r="B98" s="36" t="s">
        <v>49</v>
      </c>
      <c r="C98" s="37">
        <v>189</v>
      </c>
      <c r="D98" s="36" t="s">
        <v>1125</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1275</v>
      </c>
    </row>
    <row r="108" spans="1:4" ht="15" customHeight="1">
      <c r="A108" s="35">
        <v>46246</v>
      </c>
      <c r="B108" s="36" t="s">
        <v>49</v>
      </c>
      <c r="C108" s="37">
        <v>184</v>
      </c>
      <c r="D108" s="36" t="s">
        <v>119</v>
      </c>
    </row>
    <row r="109" spans="1:4" ht="15" customHeight="1">
      <c r="A109" s="38">
        <v>46249</v>
      </c>
      <c r="B109" s="39" t="s">
        <v>49</v>
      </c>
      <c r="C109" s="40">
        <v>320</v>
      </c>
      <c r="D109" s="39" t="s">
        <v>1275</v>
      </c>
    </row>
    <row r="110" spans="1:4" ht="15" customHeight="1">
      <c r="A110" s="35">
        <v>46259</v>
      </c>
      <c r="B110" s="36" t="s">
        <v>50</v>
      </c>
      <c r="C110" s="37">
        <v>3046</v>
      </c>
      <c r="D110" s="36" t="s">
        <v>1330</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v>46264</v>
      </c>
      <c r="B113" s="39" t="s">
        <v>50</v>
      </c>
      <c r="C113" s="40">
        <v>331</v>
      </c>
      <c r="D113" s="39" t="s">
        <v>119</v>
      </c>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8"/>
  <sheetViews>
    <sheetView zoomScale="130" zoomScaleNormal="130" workbookViewId="0">
      <pane ySplit="1" topLeftCell="A277" activePane="bottomLeft" state="frozen"/>
      <selection pane="bottomLeft" activeCell="I292" sqref="I292"/>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699</v>
      </c>
      <c r="D203" s="44" t="s">
        <v>150</v>
      </c>
      <c r="E203" s="44" t="s">
        <v>50</v>
      </c>
      <c r="F203" s="44"/>
      <c r="G203" s="44"/>
      <c r="H203" s="44" t="s">
        <v>432</v>
      </c>
      <c r="I203" s="44" t="s">
        <v>148</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1082</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1068</v>
      </c>
      <c r="I249" s="45" t="s">
        <v>148</v>
      </c>
    </row>
    <row r="250" spans="1:9" ht="14">
      <c r="A250" s="82">
        <v>46200</v>
      </c>
      <c r="B250" s="44" t="s">
        <v>164</v>
      </c>
      <c r="C250" s="83">
        <v>950</v>
      </c>
      <c r="D250" s="44"/>
      <c r="E250" s="44"/>
      <c r="F250" s="44"/>
      <c r="G250" s="44"/>
      <c r="H250" s="44" t="s">
        <v>1070</v>
      </c>
      <c r="I250" s="44" t="s">
        <v>356</v>
      </c>
    </row>
    <row r="251" spans="1:9" ht="14">
      <c r="A251" s="84">
        <v>46201</v>
      </c>
      <c r="B251" s="45" t="s">
        <v>1083</v>
      </c>
      <c r="C251" s="85">
        <v>1380</v>
      </c>
      <c r="D251" s="45" t="s">
        <v>205</v>
      </c>
      <c r="E251" s="45" t="s">
        <v>49</v>
      </c>
      <c r="F251" s="46"/>
      <c r="G251" s="46"/>
      <c r="H251" s="46" t="s">
        <v>366</v>
      </c>
      <c r="I251" s="45" t="s">
        <v>148</v>
      </c>
    </row>
    <row r="252" spans="1:9" ht="14">
      <c r="A252" s="82">
        <v>46201</v>
      </c>
      <c r="B252" s="44" t="s">
        <v>1071</v>
      </c>
      <c r="C252" s="83">
        <v>699</v>
      </c>
      <c r="D252" s="44" t="s">
        <v>162</v>
      </c>
      <c r="E252" s="44" t="s">
        <v>49</v>
      </c>
      <c r="F252" s="44"/>
      <c r="G252" s="44"/>
      <c r="H252" s="44" t="s">
        <v>1072</v>
      </c>
      <c r="I252" s="44" t="s">
        <v>148</v>
      </c>
    </row>
    <row r="253" spans="1:9" ht="14">
      <c r="A253" s="84">
        <v>46201</v>
      </c>
      <c r="B253" s="45" t="s">
        <v>1073</v>
      </c>
      <c r="C253" s="85">
        <v>699</v>
      </c>
      <c r="D253" s="45" t="s">
        <v>162</v>
      </c>
      <c r="E253" s="45" t="s">
        <v>49</v>
      </c>
      <c r="F253" s="46"/>
      <c r="G253" s="46"/>
      <c r="H253" s="46" t="s">
        <v>1074</v>
      </c>
      <c r="I253" s="45" t="s">
        <v>148</v>
      </c>
    </row>
    <row r="254" spans="1:9" ht="14">
      <c r="A254" s="82">
        <v>46201</v>
      </c>
      <c r="B254" s="44" t="s">
        <v>1075</v>
      </c>
      <c r="C254" s="83">
        <v>699</v>
      </c>
      <c r="D254" s="44" t="s">
        <v>162</v>
      </c>
      <c r="E254" s="44" t="s">
        <v>49</v>
      </c>
      <c r="F254" s="44"/>
      <c r="G254" s="44"/>
      <c r="H254" s="44" t="s">
        <v>1076</v>
      </c>
      <c r="I254" s="44" t="s">
        <v>148</v>
      </c>
    </row>
    <row r="255" spans="1:9" ht="14">
      <c r="A255" s="84">
        <v>46201</v>
      </c>
      <c r="B255" s="45" t="s">
        <v>472</v>
      </c>
      <c r="C255" s="85">
        <v>2650</v>
      </c>
      <c r="D255" s="45" t="s">
        <v>162</v>
      </c>
      <c r="E255" s="45" t="s">
        <v>49</v>
      </c>
      <c r="F255" s="46"/>
      <c r="G255" s="46"/>
      <c r="H255" s="46" t="s">
        <v>1077</v>
      </c>
      <c r="I255" s="45" t="s">
        <v>148</v>
      </c>
    </row>
    <row r="256" spans="1:9" ht="14">
      <c r="A256" s="82">
        <v>46203</v>
      </c>
      <c r="B256" s="44" t="s">
        <v>1084</v>
      </c>
      <c r="C256" s="83">
        <v>950</v>
      </c>
      <c r="D256" s="44" t="s">
        <v>162</v>
      </c>
      <c r="E256" s="44" t="s">
        <v>49</v>
      </c>
      <c r="F256" s="44"/>
      <c r="G256" s="44"/>
      <c r="H256" s="44" t="s">
        <v>1085</v>
      </c>
      <c r="I256" s="44" t="s">
        <v>148</v>
      </c>
    </row>
    <row r="257" spans="1:9" ht="14">
      <c r="A257" s="84">
        <v>46204</v>
      </c>
      <c r="B257" s="45" t="s">
        <v>1086</v>
      </c>
      <c r="C257" s="85">
        <v>699</v>
      </c>
      <c r="D257" s="45" t="s">
        <v>162</v>
      </c>
      <c r="E257" s="45" t="s">
        <v>49</v>
      </c>
      <c r="F257" s="46"/>
      <c r="G257" s="46"/>
      <c r="H257" s="46" t="s">
        <v>1087</v>
      </c>
      <c r="I257" s="45" t="s">
        <v>148</v>
      </c>
    </row>
    <row r="258" spans="1:9" ht="14">
      <c r="A258" s="82">
        <v>46205</v>
      </c>
      <c r="B258" s="44" t="s">
        <v>1088</v>
      </c>
      <c r="C258" s="83">
        <v>1500</v>
      </c>
      <c r="D258" s="44" t="s">
        <v>162</v>
      </c>
      <c r="E258" s="44" t="s">
        <v>49</v>
      </c>
      <c r="F258" s="44"/>
      <c r="G258" s="44"/>
      <c r="H258" s="44" t="s">
        <v>1089</v>
      </c>
      <c r="I258" s="44" t="s">
        <v>148</v>
      </c>
    </row>
    <row r="259" spans="1:9" ht="14">
      <c r="A259" s="84">
        <v>46205</v>
      </c>
      <c r="B259" s="45" t="s">
        <v>1088</v>
      </c>
      <c r="C259" s="85">
        <v>1200</v>
      </c>
      <c r="D259" s="45" t="s">
        <v>162</v>
      </c>
      <c r="E259" s="45" t="s">
        <v>49</v>
      </c>
      <c r="F259" s="46"/>
      <c r="G259" s="46"/>
      <c r="H259" s="46" t="s">
        <v>1090</v>
      </c>
      <c r="I259" s="45" t="s">
        <v>148</v>
      </c>
    </row>
    <row r="260" spans="1:9" ht="14">
      <c r="A260" s="82">
        <v>46205</v>
      </c>
      <c r="B260" s="44" t="s">
        <v>1092</v>
      </c>
      <c r="C260" s="83">
        <v>1500</v>
      </c>
      <c r="D260" s="44" t="s">
        <v>162</v>
      </c>
      <c r="E260" s="44" t="s">
        <v>49</v>
      </c>
      <c r="F260" s="44"/>
      <c r="G260" s="44"/>
      <c r="H260" s="44" t="s">
        <v>1091</v>
      </c>
      <c r="I260" s="44" t="s">
        <v>148</v>
      </c>
    </row>
    <row r="261" spans="1:9" ht="14">
      <c r="A261" s="84">
        <v>46205</v>
      </c>
      <c r="B261" s="45" t="s">
        <v>1095</v>
      </c>
      <c r="C261" s="85">
        <v>2600</v>
      </c>
      <c r="D261" s="45" t="s">
        <v>162</v>
      </c>
      <c r="E261" s="45" t="s">
        <v>49</v>
      </c>
      <c r="F261" s="46"/>
      <c r="G261" s="46"/>
      <c r="H261" s="46" t="s">
        <v>1172</v>
      </c>
      <c r="I261" s="45" t="s">
        <v>148</v>
      </c>
    </row>
    <row r="262" spans="1:9" ht="14">
      <c r="A262" s="82">
        <v>46206</v>
      </c>
      <c r="B262" s="44" t="s">
        <v>1097</v>
      </c>
      <c r="C262" s="83">
        <v>1380</v>
      </c>
      <c r="D262" s="44" t="s">
        <v>162</v>
      </c>
      <c r="E262" s="44" t="s">
        <v>49</v>
      </c>
      <c r="F262" s="44"/>
      <c r="G262" s="44"/>
      <c r="H262" s="44" t="s">
        <v>366</v>
      </c>
      <c r="I262" s="44" t="s">
        <v>148</v>
      </c>
    </row>
    <row r="263" spans="1:9" ht="14">
      <c r="A263" s="84">
        <v>46206</v>
      </c>
      <c r="B263" s="45" t="s">
        <v>1098</v>
      </c>
      <c r="C263" s="85">
        <v>1380</v>
      </c>
      <c r="D263" s="45" t="s">
        <v>162</v>
      </c>
      <c r="E263" s="45" t="s">
        <v>49</v>
      </c>
      <c r="F263" s="46"/>
      <c r="G263" s="46"/>
      <c r="H263" s="46" t="s">
        <v>366</v>
      </c>
      <c r="I263" s="45" t="s">
        <v>148</v>
      </c>
    </row>
    <row r="264" spans="1:9" ht="42">
      <c r="A264" s="82">
        <v>46206</v>
      </c>
      <c r="B264" s="44" t="s">
        <v>1108</v>
      </c>
      <c r="C264" s="83">
        <v>2500</v>
      </c>
      <c r="D264" s="44" t="s">
        <v>162</v>
      </c>
      <c r="E264" s="44" t="s">
        <v>49</v>
      </c>
      <c r="F264" s="44"/>
      <c r="G264" s="44"/>
      <c r="H264" s="44" t="s">
        <v>1268</v>
      </c>
      <c r="I264" s="44" t="s">
        <v>356</v>
      </c>
    </row>
    <row r="265" spans="1:9" ht="14">
      <c r="A265" s="84">
        <v>46206</v>
      </c>
      <c r="B265" s="45" t="s">
        <v>1101</v>
      </c>
      <c r="C265" s="85">
        <v>1300</v>
      </c>
      <c r="D265" s="45" t="s">
        <v>162</v>
      </c>
      <c r="E265" s="45" t="s">
        <v>49</v>
      </c>
      <c r="F265" s="46"/>
      <c r="G265" s="46"/>
      <c r="H265" s="46" t="s">
        <v>1113</v>
      </c>
      <c r="I265" s="45" t="s">
        <v>356</v>
      </c>
    </row>
    <row r="266" spans="1:9" ht="14">
      <c r="A266" s="82">
        <v>46206</v>
      </c>
      <c r="B266" s="44" t="s">
        <v>1092</v>
      </c>
      <c r="C266" s="83">
        <v>1380</v>
      </c>
      <c r="D266" s="44" t="s">
        <v>162</v>
      </c>
      <c r="E266" s="44" t="s">
        <v>49</v>
      </c>
      <c r="F266" s="44"/>
      <c r="G266" s="44"/>
      <c r="H266" s="44" t="s">
        <v>1102</v>
      </c>
      <c r="I266" s="44" t="s">
        <v>148</v>
      </c>
    </row>
    <row r="267" spans="1:9" ht="14">
      <c r="A267" s="84">
        <v>46207</v>
      </c>
      <c r="B267" s="45" t="s">
        <v>173</v>
      </c>
      <c r="C267" s="85">
        <v>1250</v>
      </c>
      <c r="D267" s="45" t="s">
        <v>162</v>
      </c>
      <c r="E267" s="45" t="s">
        <v>49</v>
      </c>
      <c r="F267" s="46"/>
      <c r="G267" s="46"/>
      <c r="H267" s="46" t="s">
        <v>1103</v>
      </c>
      <c r="I267" s="45" t="s">
        <v>148</v>
      </c>
    </row>
    <row r="268" spans="1:9" ht="42">
      <c r="A268" s="82">
        <v>46208</v>
      </c>
      <c r="B268" s="44" t="s">
        <v>1294</v>
      </c>
      <c r="C268" s="83">
        <v>2350</v>
      </c>
      <c r="D268" s="44"/>
      <c r="E268" s="44"/>
      <c r="F268" s="44"/>
      <c r="G268" s="44"/>
      <c r="H268" s="44" t="s">
        <v>1295</v>
      </c>
      <c r="I268" s="44" t="s">
        <v>356</v>
      </c>
    </row>
    <row r="269" spans="1:9" ht="14">
      <c r="A269" s="84">
        <v>46209</v>
      </c>
      <c r="B269" s="45" t="s">
        <v>1106</v>
      </c>
      <c r="C269" s="85">
        <v>1100</v>
      </c>
      <c r="D269" s="45" t="s">
        <v>162</v>
      </c>
      <c r="E269" s="45" t="s">
        <v>49</v>
      </c>
      <c r="F269" s="46"/>
      <c r="G269" s="46"/>
      <c r="H269" s="46" t="s">
        <v>1107</v>
      </c>
      <c r="I269" s="45" t="s">
        <v>148</v>
      </c>
    </row>
    <row r="270" spans="1:9" ht="14">
      <c r="A270" s="82">
        <v>46210</v>
      </c>
      <c r="B270" s="44" t="s">
        <v>1297</v>
      </c>
      <c r="C270" s="83">
        <v>3200</v>
      </c>
      <c r="D270" s="44" t="s">
        <v>162</v>
      </c>
      <c r="E270" s="44" t="s">
        <v>49</v>
      </c>
      <c r="F270" s="44"/>
      <c r="G270" s="44"/>
      <c r="H270" s="44" t="s">
        <v>1110</v>
      </c>
      <c r="I270" s="44" t="s">
        <v>148</v>
      </c>
    </row>
    <row r="271" spans="1:9" ht="14">
      <c r="A271" s="84">
        <v>46211</v>
      </c>
      <c r="B271" s="45" t="s">
        <v>1111</v>
      </c>
      <c r="C271" s="85">
        <v>1380</v>
      </c>
      <c r="D271" s="45" t="s">
        <v>162</v>
      </c>
      <c r="E271" s="45" t="s">
        <v>49</v>
      </c>
      <c r="F271" s="46"/>
      <c r="G271" s="46"/>
      <c r="H271" s="46" t="s">
        <v>1112</v>
      </c>
      <c r="I271" s="45" t="s">
        <v>148</v>
      </c>
    </row>
    <row r="272" spans="1:9" ht="14">
      <c r="A272" s="82">
        <v>46215</v>
      </c>
      <c r="B272" s="44" t="s">
        <v>1114</v>
      </c>
      <c r="C272" s="83">
        <v>1380</v>
      </c>
      <c r="D272" s="44" t="s">
        <v>162</v>
      </c>
      <c r="E272" s="44" t="s">
        <v>49</v>
      </c>
      <c r="F272" s="44"/>
      <c r="G272" s="44"/>
      <c r="H272" s="44" t="s">
        <v>366</v>
      </c>
      <c r="I272" s="44" t="s">
        <v>148</v>
      </c>
    </row>
    <row r="273" spans="1:9" ht="14">
      <c r="A273" s="84">
        <v>46215</v>
      </c>
      <c r="B273" s="45" t="s">
        <v>1115</v>
      </c>
      <c r="C273" s="85">
        <v>699</v>
      </c>
      <c r="D273" s="45" t="s">
        <v>162</v>
      </c>
      <c r="E273" s="45" t="s">
        <v>49</v>
      </c>
      <c r="F273" s="46"/>
      <c r="G273" s="46"/>
      <c r="H273" s="46" t="s">
        <v>1087</v>
      </c>
      <c r="I273" s="45" t="s">
        <v>148</v>
      </c>
    </row>
    <row r="274" spans="1:9" ht="14">
      <c r="A274" s="82">
        <v>46215</v>
      </c>
      <c r="B274" s="44" t="s">
        <v>197</v>
      </c>
      <c r="C274" s="83">
        <v>1350</v>
      </c>
      <c r="D274" s="44" t="s">
        <v>162</v>
      </c>
      <c r="E274" s="44" t="s">
        <v>49</v>
      </c>
      <c r="F274" s="44"/>
      <c r="G274" s="44"/>
      <c r="H274" s="44" t="s">
        <v>1117</v>
      </c>
      <c r="I274" s="44" t="s">
        <v>148</v>
      </c>
    </row>
    <row r="275" spans="1:9" ht="14">
      <c r="A275" s="84">
        <v>46216</v>
      </c>
      <c r="B275" s="45" t="s">
        <v>1118</v>
      </c>
      <c r="C275" s="85">
        <v>699</v>
      </c>
      <c r="D275" s="45" t="s">
        <v>162</v>
      </c>
      <c r="E275" s="45" t="s">
        <v>49</v>
      </c>
      <c r="F275" s="46"/>
      <c r="G275" s="46"/>
      <c r="H275" s="46" t="s">
        <v>1087</v>
      </c>
      <c r="I275" s="45" t="s">
        <v>148</v>
      </c>
    </row>
    <row r="276" spans="1:9" ht="14">
      <c r="A276" s="82">
        <v>46216</v>
      </c>
      <c r="B276" s="44" t="s">
        <v>1120</v>
      </c>
      <c r="C276" s="83">
        <v>3000</v>
      </c>
      <c r="D276" s="44" t="s">
        <v>162</v>
      </c>
      <c r="E276" s="44" t="s">
        <v>49</v>
      </c>
      <c r="F276" s="44"/>
      <c r="G276" s="44"/>
      <c r="H276" s="44" t="s">
        <v>1119</v>
      </c>
      <c r="I276" s="44" t="s">
        <v>148</v>
      </c>
    </row>
    <row r="277" spans="1:9" ht="14">
      <c r="A277" s="84">
        <v>46219</v>
      </c>
      <c r="B277" s="45" t="s">
        <v>1121</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1122</v>
      </c>
      <c r="I279" s="45" t="s">
        <v>148</v>
      </c>
    </row>
    <row r="280" spans="1:9" ht="14">
      <c r="A280" s="82">
        <v>46219</v>
      </c>
      <c r="B280" s="44" t="s">
        <v>220</v>
      </c>
      <c r="C280" s="83">
        <v>2500</v>
      </c>
      <c r="D280" s="44" t="s">
        <v>162</v>
      </c>
      <c r="E280" s="44" t="s">
        <v>49</v>
      </c>
      <c r="F280" s="44"/>
      <c r="G280" s="44"/>
      <c r="H280" s="44" t="s">
        <v>1128</v>
      </c>
      <c r="I280" s="44" t="s">
        <v>148</v>
      </c>
    </row>
    <row r="281" spans="1:9" ht="28">
      <c r="A281" s="84">
        <v>46219</v>
      </c>
      <c r="B281" s="45" t="s">
        <v>1357</v>
      </c>
      <c r="C281" s="85">
        <v>3600</v>
      </c>
      <c r="D281" s="45" t="s">
        <v>162</v>
      </c>
      <c r="E281" s="45" t="s">
        <v>49</v>
      </c>
      <c r="F281" s="46"/>
      <c r="G281" s="46"/>
      <c r="H281" s="46" t="s">
        <v>1360</v>
      </c>
      <c r="I281" s="45" t="s">
        <v>148</v>
      </c>
    </row>
    <row r="282" spans="1:9" ht="14">
      <c r="A282" s="82">
        <v>46220</v>
      </c>
      <c r="B282" s="44" t="s">
        <v>1140</v>
      </c>
      <c r="C282" s="83">
        <v>1500</v>
      </c>
      <c r="D282" s="44" t="s">
        <v>162</v>
      </c>
      <c r="E282" s="44" t="s">
        <v>49</v>
      </c>
      <c r="F282" s="44"/>
      <c r="G282" s="44"/>
      <c r="H282" s="44" t="s">
        <v>1141</v>
      </c>
      <c r="I282" s="44" t="s">
        <v>148</v>
      </c>
    </row>
    <row r="283" spans="1:9" ht="14">
      <c r="A283" s="84">
        <v>46221</v>
      </c>
      <c r="B283" s="45" t="s">
        <v>1144</v>
      </c>
      <c r="C283" s="85">
        <v>1100</v>
      </c>
      <c r="D283" s="45" t="s">
        <v>162</v>
      </c>
      <c r="E283" s="45" t="s">
        <v>49</v>
      </c>
      <c r="F283" s="46"/>
      <c r="G283" s="46"/>
      <c r="H283" s="46" t="s">
        <v>1145</v>
      </c>
      <c r="I283" s="45" t="s">
        <v>148</v>
      </c>
    </row>
    <row r="284" spans="1:9" ht="14">
      <c r="A284" s="82">
        <v>46222</v>
      </c>
      <c r="B284" s="44" t="s">
        <v>1146</v>
      </c>
      <c r="C284" s="83">
        <v>850</v>
      </c>
      <c r="D284" s="44" t="s">
        <v>162</v>
      </c>
      <c r="E284" s="44" t="s">
        <v>49</v>
      </c>
      <c r="F284" s="44"/>
      <c r="G284" s="44"/>
      <c r="H284" s="44" t="s">
        <v>1147</v>
      </c>
      <c r="I284" s="44" t="s">
        <v>148</v>
      </c>
    </row>
    <row r="285" spans="1:9" ht="14">
      <c r="A285" s="84">
        <v>46222</v>
      </c>
      <c r="B285" s="45" t="s">
        <v>1148</v>
      </c>
      <c r="C285" s="85">
        <v>1250</v>
      </c>
      <c r="D285" s="45" t="s">
        <v>162</v>
      </c>
      <c r="E285" s="45" t="s">
        <v>49</v>
      </c>
      <c r="F285" s="46"/>
      <c r="G285" s="46"/>
      <c r="H285" s="46" t="s">
        <v>1149</v>
      </c>
      <c r="I285" s="45" t="s">
        <v>148</v>
      </c>
    </row>
    <row r="286" spans="1:9" ht="14">
      <c r="A286" s="82">
        <v>46222</v>
      </c>
      <c r="B286" s="44" t="s">
        <v>1151</v>
      </c>
      <c r="C286" s="83">
        <v>700</v>
      </c>
      <c r="D286" s="44" t="s">
        <v>162</v>
      </c>
      <c r="E286" s="44" t="s">
        <v>49</v>
      </c>
      <c r="F286" s="44"/>
      <c r="G286" s="44"/>
      <c r="H286" s="44" t="s">
        <v>395</v>
      </c>
      <c r="I286" s="44" t="s">
        <v>148</v>
      </c>
    </row>
    <row r="287" spans="1:9" ht="14">
      <c r="A287" s="84">
        <v>46222</v>
      </c>
      <c r="B287" s="45" t="s">
        <v>1152</v>
      </c>
      <c r="C287" s="85">
        <v>699</v>
      </c>
      <c r="D287" s="45" t="s">
        <v>162</v>
      </c>
      <c r="E287" s="45" t="s">
        <v>49</v>
      </c>
      <c r="F287" s="46"/>
      <c r="G287" s="46"/>
      <c r="H287" s="46" t="s">
        <v>395</v>
      </c>
      <c r="I287" s="45" t="s">
        <v>148</v>
      </c>
    </row>
    <row r="288" spans="1:9" ht="14">
      <c r="A288" s="82">
        <v>46223</v>
      </c>
      <c r="B288" s="44" t="s">
        <v>1154</v>
      </c>
      <c r="C288" s="83">
        <v>1380</v>
      </c>
      <c r="D288" s="44" t="s">
        <v>162</v>
      </c>
      <c r="E288" s="44" t="s">
        <v>49</v>
      </c>
      <c r="F288" s="44"/>
      <c r="G288" s="44"/>
      <c r="H288" s="44" t="s">
        <v>1155</v>
      </c>
      <c r="I288" s="44" t="s">
        <v>148</v>
      </c>
    </row>
    <row r="289" spans="1:9" ht="14">
      <c r="A289" s="84">
        <v>46224</v>
      </c>
      <c r="B289" s="45" t="s">
        <v>1157</v>
      </c>
      <c r="C289" s="85">
        <v>1380</v>
      </c>
      <c r="D289" s="45" t="s">
        <v>162</v>
      </c>
      <c r="E289" s="45" t="s">
        <v>49</v>
      </c>
      <c r="F289" s="46"/>
      <c r="G289" s="46"/>
      <c r="H289" s="46" t="s">
        <v>1160</v>
      </c>
      <c r="I289" s="45" t="s">
        <v>148</v>
      </c>
    </row>
    <row r="290" spans="1:9" ht="14">
      <c r="A290" s="82">
        <v>46224</v>
      </c>
      <c r="B290" s="44" t="s">
        <v>1156</v>
      </c>
      <c r="C290" s="83">
        <v>1380</v>
      </c>
      <c r="D290" s="44" t="s">
        <v>162</v>
      </c>
      <c r="E290" s="44" t="s">
        <v>49</v>
      </c>
      <c r="F290" s="44"/>
      <c r="G290" s="44"/>
      <c r="H290" s="44" t="s">
        <v>1161</v>
      </c>
      <c r="I290" s="44" t="s">
        <v>148</v>
      </c>
    </row>
    <row r="291" spans="1:9" ht="14">
      <c r="A291" s="82">
        <v>46228</v>
      </c>
      <c r="B291" s="44" t="s">
        <v>186</v>
      </c>
      <c r="C291" s="83">
        <v>1250</v>
      </c>
      <c r="D291" s="44" t="s">
        <v>162</v>
      </c>
      <c r="E291" s="44" t="s">
        <v>49</v>
      </c>
      <c r="F291" s="44"/>
      <c r="G291" s="44"/>
      <c r="H291" s="44" t="s">
        <v>1164</v>
      </c>
      <c r="I291" s="44" t="s">
        <v>148</v>
      </c>
    </row>
    <row r="292" spans="1:9" ht="56">
      <c r="A292" s="84">
        <v>46229</v>
      </c>
      <c r="B292" s="45" t="s">
        <v>1167</v>
      </c>
      <c r="C292" s="85">
        <v>3600</v>
      </c>
      <c r="D292" s="45"/>
      <c r="E292" s="45"/>
      <c r="F292" s="46"/>
      <c r="G292" s="46"/>
      <c r="H292" s="46" t="s">
        <v>1394</v>
      </c>
      <c r="I292" s="45" t="s">
        <v>356</v>
      </c>
    </row>
    <row r="293" spans="1:9" ht="28">
      <c r="A293" s="82">
        <v>46229</v>
      </c>
      <c r="B293" s="44" t="s">
        <v>293</v>
      </c>
      <c r="C293" s="83">
        <v>2230</v>
      </c>
      <c r="D293" s="44"/>
      <c r="E293" s="44"/>
      <c r="F293" s="44"/>
      <c r="G293" s="44"/>
      <c r="H293" s="44" t="s">
        <v>1320</v>
      </c>
      <c r="I293" s="44" t="s">
        <v>356</v>
      </c>
    </row>
    <row r="294" spans="1:9" ht="14">
      <c r="A294" s="84">
        <v>46229</v>
      </c>
      <c r="B294" s="45" t="s">
        <v>1095</v>
      </c>
      <c r="C294" s="85">
        <v>2230</v>
      </c>
      <c r="D294" s="45" t="s">
        <v>162</v>
      </c>
      <c r="E294" s="45" t="s">
        <v>49</v>
      </c>
      <c r="F294" s="46"/>
      <c r="G294" s="46"/>
      <c r="H294" s="46" t="s">
        <v>1303</v>
      </c>
      <c r="I294" s="45" t="s">
        <v>148</v>
      </c>
    </row>
    <row r="295" spans="1:9" ht="28">
      <c r="A295" s="82">
        <v>46229</v>
      </c>
      <c r="B295" s="44" t="s">
        <v>1175</v>
      </c>
      <c r="C295" s="83">
        <v>3700</v>
      </c>
      <c r="D295" s="44" t="s">
        <v>1292</v>
      </c>
      <c r="E295" s="44" t="s">
        <v>49</v>
      </c>
      <c r="F295" s="44"/>
      <c r="G295" s="44"/>
      <c r="H295" s="44" t="s">
        <v>1293</v>
      </c>
      <c r="I295" s="44" t="s">
        <v>148</v>
      </c>
    </row>
    <row r="296" spans="1:9" ht="14">
      <c r="A296" s="84">
        <v>46235</v>
      </c>
      <c r="B296" s="45" t="s">
        <v>1216</v>
      </c>
      <c r="C296" s="85">
        <v>1450</v>
      </c>
      <c r="D296" s="45" t="s">
        <v>162</v>
      </c>
      <c r="E296" s="45" t="s">
        <v>49</v>
      </c>
      <c r="F296" s="46"/>
      <c r="G296" s="46"/>
      <c r="H296" s="46" t="s">
        <v>1215</v>
      </c>
      <c r="I296" s="45" t="s">
        <v>148</v>
      </c>
    </row>
    <row r="297" spans="1:9" ht="14">
      <c r="A297" s="82">
        <v>46236</v>
      </c>
      <c r="B297" s="44" t="s">
        <v>1297</v>
      </c>
      <c r="C297" s="83">
        <v>6900</v>
      </c>
      <c r="D297" s="44" t="s">
        <v>162</v>
      </c>
      <c r="E297" s="44" t="s">
        <v>49</v>
      </c>
      <c r="F297" s="44"/>
      <c r="G297" s="44"/>
      <c r="H297" s="44" t="s">
        <v>1299</v>
      </c>
      <c r="I297" s="44" t="s">
        <v>148</v>
      </c>
    </row>
    <row r="298" spans="1:9" ht="14">
      <c r="A298" s="84">
        <v>46236</v>
      </c>
      <c r="B298" s="45" t="s">
        <v>1219</v>
      </c>
      <c r="C298" s="85">
        <v>1479</v>
      </c>
      <c r="D298" s="45" t="s">
        <v>162</v>
      </c>
      <c r="E298" s="45" t="s">
        <v>49</v>
      </c>
      <c r="F298" s="46"/>
      <c r="G298" s="46"/>
      <c r="H298" s="46" t="s">
        <v>1218</v>
      </c>
      <c r="I298" s="45" t="s">
        <v>148</v>
      </c>
    </row>
    <row r="299" spans="1:9" ht="14">
      <c r="A299" s="82">
        <v>46236</v>
      </c>
      <c r="B299" s="44" t="s">
        <v>1223</v>
      </c>
      <c r="C299" s="83">
        <v>2630</v>
      </c>
      <c r="D299" s="44" t="s">
        <v>162</v>
      </c>
      <c r="E299" s="44" t="s">
        <v>49</v>
      </c>
      <c r="F299" s="44"/>
      <c r="G299" s="44"/>
      <c r="H299" s="44" t="s">
        <v>1221</v>
      </c>
      <c r="I299" s="44" t="s">
        <v>148</v>
      </c>
    </row>
    <row r="300" spans="1:9" ht="14">
      <c r="A300" s="84">
        <v>46238</v>
      </c>
      <c r="B300" s="45" t="s">
        <v>1092</v>
      </c>
      <c r="C300" s="85">
        <v>1380</v>
      </c>
      <c r="D300" s="45" t="s">
        <v>162</v>
      </c>
      <c r="E300" s="45" t="s">
        <v>49</v>
      </c>
      <c r="F300" s="46"/>
      <c r="G300" s="46"/>
      <c r="H300" s="46" t="s">
        <v>272</v>
      </c>
      <c r="I300" s="45" t="s">
        <v>148</v>
      </c>
    </row>
    <row r="301" spans="1:9" ht="14">
      <c r="A301" s="82">
        <v>46238</v>
      </c>
      <c r="B301" s="44" t="s">
        <v>1297</v>
      </c>
      <c r="C301" s="83">
        <v>12650</v>
      </c>
      <c r="D301" s="44" t="s">
        <v>162</v>
      </c>
      <c r="E301" s="44" t="s">
        <v>49</v>
      </c>
      <c r="F301" s="44"/>
      <c r="G301" s="44"/>
      <c r="H301" s="44" t="s">
        <v>1300</v>
      </c>
      <c r="I301" s="44" t="s">
        <v>148</v>
      </c>
    </row>
    <row r="302" spans="1:9" ht="14">
      <c r="A302" s="84">
        <v>46240</v>
      </c>
      <c r="B302" s="45" t="s">
        <v>1219</v>
      </c>
      <c r="C302" s="85">
        <v>1000</v>
      </c>
      <c r="D302" s="45"/>
      <c r="E302" s="45"/>
      <c r="F302" s="46"/>
      <c r="G302" s="46"/>
      <c r="H302" s="46" t="s">
        <v>1228</v>
      </c>
      <c r="I302" s="45" t="s">
        <v>148</v>
      </c>
    </row>
    <row r="303" spans="1:9" ht="42">
      <c r="A303" s="82">
        <v>46241</v>
      </c>
      <c r="B303" s="44" t="s">
        <v>201</v>
      </c>
      <c r="C303" s="83">
        <v>4750</v>
      </c>
      <c r="D303" s="44"/>
      <c r="E303" s="44"/>
      <c r="F303" s="44"/>
      <c r="G303" s="44"/>
      <c r="H303" s="44" t="s">
        <v>1291</v>
      </c>
      <c r="I303" s="44" t="s">
        <v>356</v>
      </c>
    </row>
    <row r="304" spans="1:9" ht="14">
      <c r="A304" s="84">
        <v>46243</v>
      </c>
      <c r="B304" s="45" t="s">
        <v>1269</v>
      </c>
      <c r="C304" s="85">
        <v>1380</v>
      </c>
      <c r="D304" s="45"/>
      <c r="E304" s="45"/>
      <c r="F304" s="46"/>
      <c r="G304" s="46"/>
      <c r="H304" s="46" t="s">
        <v>1270</v>
      </c>
      <c r="I304" s="45" t="s">
        <v>356</v>
      </c>
    </row>
    <row r="305" spans="1:9" ht="14">
      <c r="A305" s="82">
        <v>46243</v>
      </c>
      <c r="B305" s="44" t="s">
        <v>1271</v>
      </c>
      <c r="C305" s="83">
        <v>1380</v>
      </c>
      <c r="D305" s="44" t="s">
        <v>162</v>
      </c>
      <c r="E305" s="44" t="s">
        <v>49</v>
      </c>
      <c r="F305" s="44"/>
      <c r="G305" s="44"/>
      <c r="H305" s="44" t="s">
        <v>1272</v>
      </c>
      <c r="I305" s="44" t="s">
        <v>148</v>
      </c>
    </row>
    <row r="306" spans="1:9" ht="14">
      <c r="A306" s="84">
        <v>46243</v>
      </c>
      <c r="B306" s="45" t="s">
        <v>1273</v>
      </c>
      <c r="C306" s="85">
        <v>1250</v>
      </c>
      <c r="D306" s="45" t="s">
        <v>162</v>
      </c>
      <c r="E306" s="45" t="s">
        <v>49</v>
      </c>
      <c r="F306" s="46"/>
      <c r="G306" s="46"/>
      <c r="H306" s="46" t="s">
        <v>1274</v>
      </c>
      <c r="I306" s="45" t="s">
        <v>148</v>
      </c>
    </row>
    <row r="307" spans="1:9" ht="14">
      <c r="A307" s="82">
        <v>46243</v>
      </c>
      <c r="B307" s="44" t="s">
        <v>1297</v>
      </c>
      <c r="C307" s="83">
        <v>5750</v>
      </c>
      <c r="D307" s="44" t="s">
        <v>162</v>
      </c>
      <c r="E307" s="44" t="s">
        <v>49</v>
      </c>
      <c r="F307" s="44"/>
      <c r="G307" s="44"/>
      <c r="H307" s="44" t="s">
        <v>1298</v>
      </c>
      <c r="I307" s="44" t="s">
        <v>148</v>
      </c>
    </row>
    <row r="308" spans="1:9" ht="14">
      <c r="A308" s="82">
        <v>46248</v>
      </c>
      <c r="B308" s="44" t="s">
        <v>1276</v>
      </c>
      <c r="C308" s="83">
        <v>1380</v>
      </c>
      <c r="D308" s="44" t="s">
        <v>162</v>
      </c>
      <c r="E308" s="44" t="s">
        <v>49</v>
      </c>
      <c r="F308" s="44"/>
      <c r="G308" s="44"/>
      <c r="H308" s="44" t="s">
        <v>1277</v>
      </c>
      <c r="I308" s="44" t="s">
        <v>148</v>
      </c>
    </row>
    <row r="309" spans="1:9" ht="14">
      <c r="A309" s="84">
        <v>46248</v>
      </c>
      <c r="B309" s="45" t="s">
        <v>1278</v>
      </c>
      <c r="C309" s="85">
        <v>1380</v>
      </c>
      <c r="D309" s="45" t="s">
        <v>162</v>
      </c>
      <c r="E309" s="45" t="s">
        <v>49</v>
      </c>
      <c r="F309" s="46"/>
      <c r="G309" s="46"/>
      <c r="H309" s="46" t="s">
        <v>1279</v>
      </c>
      <c r="I309" s="45" t="s">
        <v>148</v>
      </c>
    </row>
    <row r="310" spans="1:9" ht="14">
      <c r="A310" s="82">
        <v>46250</v>
      </c>
      <c r="B310" s="44" t="s">
        <v>329</v>
      </c>
      <c r="C310" s="83">
        <v>1979</v>
      </c>
      <c r="D310" s="44" t="s">
        <v>162</v>
      </c>
      <c r="E310" s="44" t="s">
        <v>49</v>
      </c>
      <c r="F310" s="44"/>
      <c r="G310" s="44"/>
      <c r="H310" s="44" t="s">
        <v>1288</v>
      </c>
      <c r="I310" s="44" t="s">
        <v>148</v>
      </c>
    </row>
    <row r="311" spans="1:9" ht="14">
      <c r="A311" s="84">
        <v>46250</v>
      </c>
      <c r="B311" s="45" t="s">
        <v>197</v>
      </c>
      <c r="C311" s="85">
        <v>980</v>
      </c>
      <c r="D311" s="45" t="s">
        <v>162</v>
      </c>
      <c r="E311" s="45" t="s">
        <v>49</v>
      </c>
      <c r="F311" s="46"/>
      <c r="G311" s="46"/>
      <c r="H311" s="46" t="s">
        <v>1281</v>
      </c>
      <c r="I311" s="45" t="s">
        <v>148</v>
      </c>
    </row>
    <row r="312" spans="1:9" ht="14">
      <c r="A312" s="82">
        <v>46250</v>
      </c>
      <c r="B312" s="44" t="s">
        <v>1284</v>
      </c>
      <c r="C312" s="83">
        <v>2250</v>
      </c>
      <c r="D312" s="44" t="s">
        <v>162</v>
      </c>
      <c r="E312" s="44" t="s">
        <v>49</v>
      </c>
      <c r="F312" s="44"/>
      <c r="G312" s="44"/>
      <c r="H312" s="44" t="s">
        <v>1286</v>
      </c>
      <c r="I312" s="44" t="s">
        <v>148</v>
      </c>
    </row>
    <row r="313" spans="1:9" ht="14">
      <c r="A313" s="84">
        <v>46252</v>
      </c>
      <c r="B313" s="45" t="s">
        <v>1297</v>
      </c>
      <c r="C313" s="85">
        <v>5750</v>
      </c>
      <c r="D313" s="45" t="s">
        <v>162</v>
      </c>
      <c r="E313" s="45" t="s">
        <v>49</v>
      </c>
      <c r="F313" s="46"/>
      <c r="G313" s="46"/>
      <c r="H313" s="46" t="s">
        <v>1298</v>
      </c>
      <c r="I313" s="45" t="s">
        <v>148</v>
      </c>
    </row>
    <row r="314" spans="1:9" ht="14">
      <c r="A314" s="82">
        <v>46252</v>
      </c>
      <c r="B314" s="44" t="s">
        <v>1301</v>
      </c>
      <c r="C314" s="83">
        <v>1380</v>
      </c>
      <c r="D314" s="44" t="s">
        <v>162</v>
      </c>
      <c r="E314" s="44" t="s">
        <v>49</v>
      </c>
      <c r="F314" s="44"/>
      <c r="G314" s="44"/>
      <c r="H314" s="44" t="s">
        <v>1312</v>
      </c>
      <c r="I314" s="44" t="s">
        <v>148</v>
      </c>
    </row>
    <row r="315" spans="1:9" ht="14">
      <c r="A315" s="84">
        <v>46252</v>
      </c>
      <c r="B315" s="45" t="s">
        <v>1297</v>
      </c>
      <c r="C315" s="85">
        <v>5750</v>
      </c>
      <c r="D315" s="45" t="s">
        <v>162</v>
      </c>
      <c r="E315" s="45" t="s">
        <v>49</v>
      </c>
      <c r="F315" s="46"/>
      <c r="G315" s="46"/>
      <c r="H315" s="46" t="s">
        <v>1298</v>
      </c>
      <c r="I315" s="45" t="s">
        <v>148</v>
      </c>
    </row>
    <row r="316" spans="1:9" ht="14">
      <c r="A316" s="82">
        <v>46252</v>
      </c>
      <c r="B316" s="44" t="s">
        <v>1305</v>
      </c>
      <c r="C316" s="83">
        <v>1380</v>
      </c>
      <c r="D316" s="44"/>
      <c r="E316" s="44"/>
      <c r="F316" s="44"/>
      <c r="G316" s="44"/>
      <c r="H316" s="44" t="s">
        <v>1306</v>
      </c>
      <c r="I316" s="44" t="s">
        <v>356</v>
      </c>
    </row>
    <row r="317" spans="1:9" ht="14">
      <c r="A317" s="84">
        <v>46252</v>
      </c>
      <c r="B317" s="45" t="s">
        <v>1308</v>
      </c>
      <c r="C317" s="85">
        <v>1250</v>
      </c>
      <c r="D317" s="45" t="s">
        <v>162</v>
      </c>
      <c r="E317" s="45" t="s">
        <v>49</v>
      </c>
      <c r="F317" s="46"/>
      <c r="G317" s="46"/>
      <c r="H317" s="46" t="s">
        <v>1309</v>
      </c>
      <c r="I317" s="45" t="s">
        <v>148</v>
      </c>
    </row>
    <row r="318" spans="1:9" ht="14">
      <c r="A318" s="82">
        <v>46257</v>
      </c>
      <c r="B318" s="44" t="s">
        <v>1297</v>
      </c>
      <c r="C318" s="83">
        <v>1780</v>
      </c>
      <c r="D318" s="44" t="s">
        <v>162</v>
      </c>
      <c r="E318" s="44" t="s">
        <v>49</v>
      </c>
      <c r="F318" s="44"/>
      <c r="G318" s="44"/>
      <c r="H318" s="44" t="s">
        <v>1313</v>
      </c>
      <c r="I318" s="44" t="s">
        <v>148</v>
      </c>
    </row>
    <row r="319" spans="1:9" ht="14">
      <c r="A319" s="84">
        <v>46257</v>
      </c>
      <c r="B319" s="45" t="s">
        <v>175</v>
      </c>
      <c r="C319" s="85">
        <v>2100</v>
      </c>
      <c r="D319" s="45" t="s">
        <v>162</v>
      </c>
      <c r="E319" s="45" t="s">
        <v>49</v>
      </c>
      <c r="F319" s="46"/>
      <c r="G319" s="46"/>
      <c r="H319" s="46" t="s">
        <v>1316</v>
      </c>
      <c r="I319" s="45" t="s">
        <v>148</v>
      </c>
    </row>
    <row r="320" spans="1:9" ht="14">
      <c r="A320" s="82">
        <v>46257</v>
      </c>
      <c r="B320" s="44" t="s">
        <v>49</v>
      </c>
      <c r="C320" s="83">
        <v>700</v>
      </c>
      <c r="D320" s="44" t="s">
        <v>162</v>
      </c>
      <c r="E320" s="44" t="s">
        <v>49</v>
      </c>
      <c r="F320" s="44"/>
      <c r="G320" s="44"/>
      <c r="H320" s="44" t="s">
        <v>1319</v>
      </c>
      <c r="I320" s="44" t="s">
        <v>148</v>
      </c>
    </row>
    <row r="321" spans="1:9" ht="14">
      <c r="A321" s="84">
        <v>46257</v>
      </c>
      <c r="B321" s="45" t="s">
        <v>1323</v>
      </c>
      <c r="C321" s="85">
        <v>1500</v>
      </c>
      <c r="D321" s="45" t="s">
        <v>162</v>
      </c>
      <c r="E321" s="45" t="s">
        <v>49</v>
      </c>
      <c r="F321" s="46"/>
      <c r="G321" s="46"/>
      <c r="H321" s="46" t="s">
        <v>1324</v>
      </c>
      <c r="I321" s="45" t="s">
        <v>148</v>
      </c>
    </row>
    <row r="322" spans="1:9" ht="14">
      <c r="A322" s="82">
        <v>46258</v>
      </c>
      <c r="B322" s="44" t="s">
        <v>1327</v>
      </c>
      <c r="C322" s="83">
        <v>1250</v>
      </c>
      <c r="D322" s="44" t="s">
        <v>162</v>
      </c>
      <c r="E322" s="44" t="s">
        <v>49</v>
      </c>
      <c r="F322" s="44"/>
      <c r="G322" s="44"/>
      <c r="H322" s="44" t="s">
        <v>1328</v>
      </c>
      <c r="I322" s="44" t="s">
        <v>148</v>
      </c>
    </row>
    <row r="323" spans="1:9" ht="14">
      <c r="A323" s="84">
        <v>46263</v>
      </c>
      <c r="B323" s="45" t="s">
        <v>1347</v>
      </c>
      <c r="C323" s="85">
        <v>1380</v>
      </c>
      <c r="D323" s="45" t="s">
        <v>162</v>
      </c>
      <c r="E323" s="45" t="s">
        <v>49</v>
      </c>
      <c r="F323" s="46"/>
      <c r="G323" s="46"/>
      <c r="H323" s="46" t="s">
        <v>1348</v>
      </c>
      <c r="I323" s="45" t="s">
        <v>148</v>
      </c>
    </row>
    <row r="324" spans="1:9" ht="14">
      <c r="A324" s="82">
        <v>46263</v>
      </c>
      <c r="B324" s="44" t="s">
        <v>1350</v>
      </c>
      <c r="C324" s="83">
        <v>1380</v>
      </c>
      <c r="D324" s="44" t="s">
        <v>162</v>
      </c>
      <c r="E324" s="44" t="s">
        <v>49</v>
      </c>
      <c r="F324" s="44"/>
      <c r="G324" s="44"/>
      <c r="H324" s="44" t="s">
        <v>1351</v>
      </c>
      <c r="I324" s="44" t="s">
        <v>148</v>
      </c>
    </row>
    <row r="325" spans="1:9" ht="14">
      <c r="A325" s="84">
        <v>46263</v>
      </c>
      <c r="B325" s="45" t="s">
        <v>1352</v>
      </c>
      <c r="C325" s="85">
        <v>2500</v>
      </c>
      <c r="D325" s="45" t="s">
        <v>162</v>
      </c>
      <c r="E325" s="45" t="s">
        <v>49</v>
      </c>
      <c r="F325" s="46"/>
      <c r="G325" s="46"/>
      <c r="H325" s="46" t="s">
        <v>1364</v>
      </c>
      <c r="I325" s="45" t="s">
        <v>148</v>
      </c>
    </row>
    <row r="326" spans="1:9" ht="14">
      <c r="A326" s="82">
        <v>46257</v>
      </c>
      <c r="B326" s="44" t="s">
        <v>226</v>
      </c>
      <c r="C326" s="83">
        <v>750</v>
      </c>
      <c r="D326" s="44" t="s">
        <v>150</v>
      </c>
      <c r="E326" s="44" t="s">
        <v>49</v>
      </c>
      <c r="F326" s="44"/>
      <c r="G326" s="44"/>
      <c r="H326" s="44" t="s">
        <v>1363</v>
      </c>
      <c r="I326" s="44" t="s">
        <v>148</v>
      </c>
    </row>
    <row r="327" spans="1:9" ht="14">
      <c r="A327" s="84">
        <v>46257</v>
      </c>
      <c r="B327" s="45" t="s">
        <v>1365</v>
      </c>
      <c r="C327" s="85">
        <v>750</v>
      </c>
      <c r="D327" s="45" t="s">
        <v>150</v>
      </c>
      <c r="E327" s="45" t="s">
        <v>49</v>
      </c>
      <c r="F327" s="46"/>
      <c r="G327" s="46"/>
      <c r="H327" s="46" t="s">
        <v>1366</v>
      </c>
      <c r="I327" s="45" t="s">
        <v>148</v>
      </c>
    </row>
    <row r="328" spans="1:9">
      <c r="A328" s="82"/>
      <c r="B328" s="44"/>
      <c r="C328" s="83"/>
      <c r="D328" s="44"/>
      <c r="E328" s="44"/>
      <c r="F328" s="44"/>
      <c r="G328" s="44"/>
      <c r="H328" s="44"/>
      <c r="I328" s="44"/>
    </row>
  </sheetData>
  <autoFilter ref="A1:I326"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8"/>
  <sheetViews>
    <sheetView zoomScaleNormal="100" workbookViewId="0">
      <pane ySplit="1" topLeftCell="A257" activePane="bottomLeft" state="frozen"/>
      <selection activeCell="E1" sqref="E1"/>
      <selection pane="bottomLeft" activeCell="D1" sqref="D1"/>
    </sheetView>
  </sheetViews>
  <sheetFormatPr baseColWidth="10" defaultColWidth="7" defaultRowHeight="14"/>
  <cols>
    <col min="1" max="1" width="10" style="47" customWidth="1"/>
    <col min="2" max="2" width="94.33203125" style="47" customWidth="1"/>
    <col min="3" max="3" width="14.33203125" style="47" bestFit="1" customWidth="1"/>
    <col min="4" max="4" width="22.5" style="47" bestFit="1"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6" style="47" customWidth="1"/>
    <col min="11" max="11" width="16.1640625" style="47" customWidth="1"/>
    <col min="12" max="12" width="74.5" style="47" bestFit="1" customWidth="1"/>
    <col min="13" max="13" width="22.5" style="47" bestFit="1" customWidth="1"/>
    <col min="14" max="14" width="11.83203125" style="47" bestFit="1"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4">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1267</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1109</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1158</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1095</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45</v>
      </c>
      <c r="G120" s="53">
        <v>11</v>
      </c>
      <c r="H120" s="52">
        <f t="shared" si="7"/>
        <v>56</v>
      </c>
      <c r="I120" s="52">
        <f>IF(D120&lt;&gt;"",D120,IFERROR(E120/(IFERROR(SUM(Sales!C:C),0))*(IFERROR(SUM(Purchases!C:C),0)),0))</f>
        <v>418.95333333333298</v>
      </c>
      <c r="J120" s="52">
        <f t="shared" si="5"/>
        <v>18852.899999999983</v>
      </c>
      <c r="K120" s="52">
        <f t="shared" si="6"/>
        <v>4608.486666666663</v>
      </c>
      <c r="L120" s="52" t="s">
        <v>1153</v>
      </c>
      <c r="M120" s="52" t="s">
        <v>49</v>
      </c>
      <c r="N120" s="52" t="s">
        <v>589</v>
      </c>
      <c r="O120" s="52"/>
      <c r="P120" s="52" t="s">
        <v>1375</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1069</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1150</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1126</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1127</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1099</v>
      </c>
      <c r="M154" s="52"/>
      <c r="N154" s="52" t="s">
        <v>589</v>
      </c>
      <c r="O154" s="52" t="s">
        <v>1096</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1116</v>
      </c>
      <c r="M155" s="55"/>
      <c r="N155" s="55" t="s">
        <v>589</v>
      </c>
      <c r="O155" s="55" t="s">
        <v>1096</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1100</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1130</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1314</v>
      </c>
      <c r="M166" s="52"/>
      <c r="N166" s="52" t="s">
        <v>589</v>
      </c>
      <c r="O166" s="52"/>
      <c r="P166" s="52" t="s">
        <v>1315</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1257</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1285</v>
      </c>
      <c r="M175" s="55"/>
      <c r="N175" s="55" t="s">
        <v>589</v>
      </c>
      <c r="O175" s="55"/>
      <c r="P175" s="55" t="s">
        <v>1283</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1296</v>
      </c>
      <c r="M181" s="55"/>
      <c r="N181" s="55" t="s">
        <v>589</v>
      </c>
      <c r="O181" s="55" t="s">
        <v>1266</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1168</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5" si="12">F184+IF(LEN(G184)=0,0,G184)</f>
        <v>20</v>
      </c>
      <c r="I184" s="65">
        <f>IF(D184&lt;&gt;"",D184,IFERROR(E184/(IFERROR(SUM(Sales!C:C),0))*(IFERROR(SUM(Purchases!C:C),0)),0))</f>
        <v>891</v>
      </c>
      <c r="J184" s="65">
        <f t="shared" si="9"/>
        <v>17820</v>
      </c>
      <c r="K184" s="65">
        <f t="shared" si="10"/>
        <v>0</v>
      </c>
      <c r="L184" s="52" t="s">
        <v>1224</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1301</v>
      </c>
      <c r="M187" s="55"/>
      <c r="N187" s="55" t="s">
        <v>589</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1225</v>
      </c>
      <c r="M188" s="52"/>
      <c r="N188" s="52" t="s">
        <v>589</v>
      </c>
      <c r="O188" s="52"/>
      <c r="P188" s="52"/>
      <c r="Q188" s="52"/>
      <c r="R188" s="52"/>
      <c r="S188" s="52"/>
      <c r="T188" s="52"/>
    </row>
    <row r="189" spans="1:20" ht="63" customHeight="1">
      <c r="A189" s="55" t="s">
        <v>970</v>
      </c>
      <c r="B189" s="52" t="s">
        <v>971</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1304</v>
      </c>
      <c r="M189" s="55"/>
      <c r="N189" s="55" t="s">
        <v>589</v>
      </c>
      <c r="O189" s="55"/>
      <c r="P189" s="55" t="s">
        <v>1307</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1159</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1078</v>
      </c>
      <c r="M192" s="52"/>
      <c r="N192" s="47" t="s">
        <v>589</v>
      </c>
      <c r="P192" s="47" t="s">
        <v>1079</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1287</v>
      </c>
      <c r="C194" s="52" t="s">
        <v>95</v>
      </c>
      <c r="D194" s="53">
        <v>790</v>
      </c>
      <c r="E194" s="53">
        <v>1250</v>
      </c>
      <c r="F194" s="66">
        <v>3</v>
      </c>
      <c r="G194" s="66">
        <v>7</v>
      </c>
      <c r="H194" s="65">
        <f t="shared" si="12"/>
        <v>10</v>
      </c>
      <c r="I194" s="65">
        <f>IF(D194&lt;&gt;"",D194,IFERROR(E194/(IFERROR(SUM(Sales!C:C),0))*(IFERROR(SUM(Purchases!C:C),0)),0))</f>
        <v>790</v>
      </c>
      <c r="J194" s="65">
        <f t="shared" ref="J194:J225" si="13">F194*I194</f>
        <v>2370</v>
      </c>
      <c r="K194" s="65">
        <f t="shared" ref="K194:K225" si="14">IF(LEN(G194)=0,0,G194)*I194</f>
        <v>5530</v>
      </c>
      <c r="L194" s="52" t="s">
        <v>1355</v>
      </c>
      <c r="M194" s="52"/>
      <c r="N194" s="47" t="s">
        <v>589</v>
      </c>
      <c r="P194" s="47" t="s">
        <v>1356</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1173</v>
      </c>
      <c r="M198" s="55"/>
      <c r="N198" s="47" t="s">
        <v>589</v>
      </c>
      <c r="P198" s="47" t="s">
        <v>1174</v>
      </c>
      <c r="S198" s="47"/>
      <c r="T198" s="47"/>
    </row>
    <row r="199" spans="1:20" ht="30" customHeight="1">
      <c r="A199" s="52" t="s">
        <v>995</v>
      </c>
      <c r="B199" s="55" t="s">
        <v>996</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1310</v>
      </c>
      <c r="M199" s="52"/>
      <c r="N199" s="47" t="s">
        <v>589</v>
      </c>
      <c r="P199" s="47" t="s">
        <v>1311</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1002</v>
      </c>
      <c r="C201" s="55" t="s">
        <v>95</v>
      </c>
      <c r="D201" s="56">
        <v>940</v>
      </c>
      <c r="E201" s="56">
        <v>1500</v>
      </c>
      <c r="F201" s="66">
        <v>5</v>
      </c>
      <c r="G201" s="66">
        <v>1</v>
      </c>
      <c r="H201" s="65">
        <f t="shared" si="12"/>
        <v>6</v>
      </c>
      <c r="I201" s="65">
        <f>IF(D201&lt;&gt;"",D201,IFERROR(E201/(IFERROR(SUM(Sales!C:C),0))*(IFERROR(SUM(Purchases!C:C),0)),0))</f>
        <v>940</v>
      </c>
      <c r="J201" s="65">
        <f t="shared" si="13"/>
        <v>4700</v>
      </c>
      <c r="K201" s="65">
        <f t="shared" si="14"/>
        <v>940</v>
      </c>
      <c r="L201" s="52" t="s">
        <v>1142</v>
      </c>
      <c r="M201" s="52"/>
      <c r="N201" s="47" t="s">
        <v>589</v>
      </c>
      <c r="P201" s="47" t="s">
        <v>1143</v>
      </c>
      <c r="S201" s="47"/>
      <c r="T201" s="47"/>
    </row>
    <row r="202" spans="1:20" ht="15" customHeight="1">
      <c r="A202" s="55" t="s">
        <v>1003</v>
      </c>
      <c r="B202" s="52" t="s">
        <v>1004</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1005</v>
      </c>
      <c r="M202" s="55"/>
      <c r="N202" s="47" t="s">
        <v>504</v>
      </c>
      <c r="P202" s="47" t="s">
        <v>1006</v>
      </c>
      <c r="S202" s="47"/>
      <c r="T202" s="47"/>
    </row>
    <row r="203" spans="1:20" ht="15" customHeight="1">
      <c r="A203" s="52" t="s">
        <v>1007</v>
      </c>
      <c r="B203" s="52" t="s">
        <v>1008</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1105</v>
      </c>
      <c r="M203" s="52"/>
      <c r="N203" s="47" t="s">
        <v>589</v>
      </c>
      <c r="P203" s="47" t="s">
        <v>1104</v>
      </c>
      <c r="S203" s="47"/>
      <c r="T203" s="47"/>
    </row>
    <row r="204" spans="1:20" ht="15" customHeight="1">
      <c r="A204" s="55" t="s">
        <v>1009</v>
      </c>
      <c r="B204" s="55" t="s">
        <v>1010</v>
      </c>
      <c r="C204" s="55" t="s">
        <v>95</v>
      </c>
      <c r="D204" s="56">
        <v>761</v>
      </c>
      <c r="E204" s="56">
        <v>1250</v>
      </c>
      <c r="F204" s="64">
        <v>2</v>
      </c>
      <c r="G204" s="64">
        <v>1</v>
      </c>
      <c r="H204" s="63">
        <f t="shared" si="12"/>
        <v>3</v>
      </c>
      <c r="I204" s="63">
        <f>IF(D204&lt;&gt;"",D204,IFERROR(E204/(IFERROR(SUM(Sales!C:C),0))*(IFERROR(SUM(Purchases!C:C),0)),0))</f>
        <v>761</v>
      </c>
      <c r="J204" s="63">
        <f t="shared" si="13"/>
        <v>1522</v>
      </c>
      <c r="K204" s="63">
        <f t="shared" si="14"/>
        <v>761</v>
      </c>
      <c r="L204" s="55" t="s">
        <v>1317</v>
      </c>
      <c r="M204" s="55"/>
      <c r="N204" s="47" t="s">
        <v>589</v>
      </c>
      <c r="P204" s="47" t="s">
        <v>1318</v>
      </c>
      <c r="S204" s="47"/>
      <c r="T204" s="47"/>
    </row>
    <row r="205" spans="1:20" ht="15" customHeight="1">
      <c r="A205" s="52" t="s">
        <v>1011</v>
      </c>
      <c r="B205" s="52" t="s">
        <v>1012</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1013</v>
      </c>
      <c r="S205" s="47"/>
      <c r="T205" s="47"/>
    </row>
    <row r="206" spans="1:20" ht="15" customHeight="1">
      <c r="A206" s="55" t="s">
        <v>1014</v>
      </c>
      <c r="B206" s="55" t="s">
        <v>1015</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1016</v>
      </c>
      <c r="M206" s="55"/>
      <c r="N206" s="47" t="s">
        <v>589</v>
      </c>
      <c r="P206" s="47" t="s">
        <v>1017</v>
      </c>
      <c r="S206" s="47"/>
      <c r="T206" s="47"/>
    </row>
    <row r="207" spans="1:20" ht="30" customHeight="1">
      <c r="A207" s="52" t="s">
        <v>1018</v>
      </c>
      <c r="B207" s="52" t="s">
        <v>1019</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1354</v>
      </c>
      <c r="M207" s="52"/>
      <c r="N207" s="47" t="s">
        <v>589</v>
      </c>
      <c r="P207" s="47" t="s">
        <v>1353</v>
      </c>
      <c r="S207" s="47"/>
      <c r="T207" s="47"/>
    </row>
    <row r="208" spans="1:20" ht="15" customHeight="1">
      <c r="A208" s="55" t="s">
        <v>1020</v>
      </c>
      <c r="B208" s="52" t="s">
        <v>1021</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1081</v>
      </c>
      <c r="M208" s="55"/>
      <c r="N208" s="47" t="s">
        <v>589</v>
      </c>
      <c r="P208" s="47" t="s">
        <v>1080</v>
      </c>
      <c r="S208" s="47"/>
      <c r="T208" s="47"/>
    </row>
    <row r="209" spans="1:20" ht="15" customHeight="1">
      <c r="A209" s="52" t="s">
        <v>1022</v>
      </c>
      <c r="B209" s="55" t="s">
        <v>1023</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1024</v>
      </c>
      <c r="S209" s="47"/>
      <c r="T209" s="47"/>
    </row>
    <row r="210" spans="1:20" ht="15" customHeight="1">
      <c r="A210" s="55" t="s">
        <v>1025</v>
      </c>
      <c r="B210" s="52" t="s">
        <v>901</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1361</v>
      </c>
      <c r="M210" s="55"/>
      <c r="N210" s="47" t="s">
        <v>504</v>
      </c>
      <c r="P210" s="47" t="s">
        <v>1026</v>
      </c>
      <c r="S210" s="47"/>
      <c r="T210" s="47"/>
    </row>
    <row r="211" spans="1:20" ht="15" customHeight="1">
      <c r="A211" s="52" t="s">
        <v>1027</v>
      </c>
      <c r="B211" s="55" t="s">
        <v>1094</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1302</v>
      </c>
      <c r="M211" s="52"/>
      <c r="N211" s="47" t="s">
        <v>504</v>
      </c>
      <c r="S211" s="47"/>
      <c r="T211" s="47"/>
    </row>
    <row r="212" spans="1:20" ht="15" customHeight="1">
      <c r="A212" s="55" t="s">
        <v>1028</v>
      </c>
      <c r="B212" s="52" t="s">
        <v>1129</v>
      </c>
      <c r="C212" s="52" t="s">
        <v>95</v>
      </c>
      <c r="D212" s="53">
        <v>555</v>
      </c>
      <c r="E212" s="53">
        <v>850</v>
      </c>
      <c r="F212" s="64">
        <v>4</v>
      </c>
      <c r="G212" s="64">
        <v>4</v>
      </c>
      <c r="H212" s="63">
        <f t="shared" si="12"/>
        <v>8</v>
      </c>
      <c r="I212" s="63">
        <f>IF(D212&lt;&gt;"",D212,IFERROR(E212/(IFERROR(SUM(Sales!C:C),0))*(IFERROR(SUM(Purchases!C:C),0)),0))</f>
        <v>555</v>
      </c>
      <c r="J212" s="63">
        <f t="shared" si="13"/>
        <v>2220</v>
      </c>
      <c r="K212" s="63">
        <f t="shared" si="14"/>
        <v>2220</v>
      </c>
      <c r="L212" s="55" t="s">
        <v>1358</v>
      </c>
      <c r="M212" s="55"/>
      <c r="N212" s="47" t="s">
        <v>589</v>
      </c>
      <c r="P212" s="47" t="s">
        <v>1359</v>
      </c>
      <c r="S212" s="47"/>
      <c r="T212" s="47"/>
    </row>
    <row r="213" spans="1:20" ht="15" customHeight="1">
      <c r="A213" s="52" t="s">
        <v>1029</v>
      </c>
      <c r="B213" s="52" t="s">
        <v>1131</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1329</v>
      </c>
      <c r="M213" s="52"/>
      <c r="N213" s="47" t="s">
        <v>589</v>
      </c>
      <c r="P213" s="47" t="s">
        <v>1132</v>
      </c>
      <c r="S213" s="47"/>
      <c r="T213" s="47"/>
    </row>
    <row r="214" spans="1:20" ht="15" customHeight="1">
      <c r="A214" s="55" t="s">
        <v>1030</v>
      </c>
      <c r="B214" s="55" t="s">
        <v>1133</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1217</v>
      </c>
      <c r="M214" s="55"/>
      <c r="N214" s="47" t="s">
        <v>589</v>
      </c>
      <c r="P214" s="47" t="s">
        <v>1134</v>
      </c>
      <c r="S214" s="47"/>
      <c r="T214" s="47"/>
    </row>
    <row r="215" spans="1:20" ht="30">
      <c r="A215" s="52" t="s">
        <v>1031</v>
      </c>
      <c r="B215" s="52" t="s">
        <v>994</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678</v>
      </c>
      <c r="P215" s="47" t="s">
        <v>1171</v>
      </c>
      <c r="S215" s="47"/>
      <c r="T215" s="47"/>
    </row>
    <row r="216" spans="1:20" ht="15" customHeight="1">
      <c r="A216" s="55" t="s">
        <v>1032</v>
      </c>
      <c r="B216" s="55" t="s">
        <v>1135</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1265</v>
      </c>
      <c r="M216" s="55"/>
      <c r="N216" s="47" t="s">
        <v>504</v>
      </c>
      <c r="P216" s="47" t="s">
        <v>1136</v>
      </c>
      <c r="S216" s="47"/>
      <c r="T216" s="47"/>
    </row>
    <row r="217" spans="1:20" ht="15">
      <c r="A217" s="52" t="s">
        <v>1033</v>
      </c>
      <c r="B217" s="52" t="s">
        <v>1137</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1169</v>
      </c>
      <c r="M217" s="52"/>
      <c r="N217" s="47" t="s">
        <v>589</v>
      </c>
      <c r="P217" s="47" t="s">
        <v>1170</v>
      </c>
      <c r="S217" s="47"/>
      <c r="T217" s="47"/>
    </row>
    <row r="218" spans="1:20" ht="15" customHeight="1">
      <c r="A218" s="55" t="s">
        <v>1034</v>
      </c>
      <c r="B218" s="55" t="s">
        <v>1138</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1177</v>
      </c>
      <c r="M218" s="55"/>
      <c r="N218" s="47" t="s">
        <v>678</v>
      </c>
      <c r="P218" s="47" t="s">
        <v>1176</v>
      </c>
      <c r="S218" s="47"/>
      <c r="T218" s="47"/>
    </row>
    <row r="219" spans="1:20" ht="15">
      <c r="A219" s="52" t="s">
        <v>1035</v>
      </c>
      <c r="B219" s="52" t="s">
        <v>1139</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1165</v>
      </c>
      <c r="M219" s="52"/>
      <c r="N219" s="47" t="s">
        <v>589</v>
      </c>
      <c r="P219" s="47" t="s">
        <v>1166</v>
      </c>
      <c r="S219" s="47"/>
      <c r="T219" s="47"/>
    </row>
    <row r="220" spans="1:20" ht="15" customHeight="1">
      <c r="A220" s="55" t="s">
        <v>1036</v>
      </c>
      <c r="B220" s="55" t="s">
        <v>1162</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1163</v>
      </c>
      <c r="S220" s="47"/>
      <c r="T220" s="47"/>
    </row>
    <row r="221" spans="1:20" ht="17">
      <c r="A221" s="52" t="s">
        <v>1037</v>
      </c>
      <c r="B221" s="52" t="s">
        <v>1178</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1205</v>
      </c>
      <c r="S221" s="47"/>
      <c r="T221" s="47"/>
    </row>
    <row r="222" spans="1:20" ht="15" customHeight="1">
      <c r="A222" s="55" t="s">
        <v>1038</v>
      </c>
      <c r="B222" s="55" t="s">
        <v>1179</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1206</v>
      </c>
      <c r="S222" s="47"/>
      <c r="T222" s="47"/>
    </row>
    <row r="223" spans="1:20" ht="15" customHeight="1">
      <c r="A223" s="52" t="s">
        <v>1039</v>
      </c>
      <c r="B223" s="52" t="s">
        <v>1180</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1220</v>
      </c>
      <c r="M223" s="52"/>
      <c r="N223" s="47" t="s">
        <v>589</v>
      </c>
      <c r="P223" s="86" t="s">
        <v>1222</v>
      </c>
      <c r="S223" s="47"/>
      <c r="T223" s="47"/>
    </row>
    <row r="224" spans="1:20" ht="15" customHeight="1">
      <c r="A224" s="55" t="s">
        <v>1040</v>
      </c>
      <c r="B224" s="55" t="s">
        <v>1181</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1207</v>
      </c>
      <c r="S224" s="47"/>
      <c r="T224" s="47"/>
    </row>
    <row r="225" spans="1:20" ht="15" customHeight="1">
      <c r="A225" s="52" t="s">
        <v>1041</v>
      </c>
      <c r="B225" s="52" t="s">
        <v>1182</v>
      </c>
      <c r="C225" s="52" t="s">
        <v>95</v>
      </c>
      <c r="D225" s="53">
        <v>940</v>
      </c>
      <c r="E225" s="53">
        <v>1500</v>
      </c>
      <c r="F225" s="66">
        <v>1</v>
      </c>
      <c r="G225" s="66">
        <v>1</v>
      </c>
      <c r="H225" s="65">
        <f t="shared" si="12"/>
        <v>2</v>
      </c>
      <c r="I225" s="65">
        <f>IF(D225&lt;&gt;"",D225,IFERROR(E225/(IFERROR(SUM(Sales!C:C),0))*(IFERROR(SUM(Purchases!C:C),0)),0))</f>
        <v>940</v>
      </c>
      <c r="J225" s="65">
        <f t="shared" si="13"/>
        <v>940</v>
      </c>
      <c r="K225" s="65">
        <f t="shared" si="14"/>
        <v>940</v>
      </c>
      <c r="L225" s="52" t="s">
        <v>1325</v>
      </c>
      <c r="M225" s="52"/>
      <c r="N225" s="47" t="s">
        <v>589</v>
      </c>
      <c r="P225" s="86" t="s">
        <v>1326</v>
      </c>
      <c r="S225" s="47"/>
      <c r="T225" s="47"/>
    </row>
    <row r="226" spans="1:20" ht="17">
      <c r="A226" s="52" t="s">
        <v>1193</v>
      </c>
      <c r="B226" s="55" t="s">
        <v>1183</v>
      </c>
      <c r="C226" s="55" t="s">
        <v>95</v>
      </c>
      <c r="D226" s="56">
        <v>446</v>
      </c>
      <c r="E226" s="56">
        <v>699</v>
      </c>
      <c r="F226" s="64">
        <v>1</v>
      </c>
      <c r="G226" s="64">
        <v>3</v>
      </c>
      <c r="H226" s="63">
        <f t="shared" ref="H226:H237" si="15">F226+IF(LEN(G226)=0,0,G226)</f>
        <v>4</v>
      </c>
      <c r="I226" s="63">
        <f>IF(D226&lt;&gt;"",D226,IFERROR(E226/(IFERROR(SUM(Sales!C:C),0))*(IFERROR(SUM(Purchases!C:C),0)),0))</f>
        <v>446</v>
      </c>
      <c r="J226" s="63">
        <f t="shared" ref="J226:J237" si="16">F226*I226</f>
        <v>446</v>
      </c>
      <c r="K226" s="63">
        <f t="shared" ref="K226:K237" si="17">IF(LEN(G226)=0,0,G226)*I226</f>
        <v>1338</v>
      </c>
      <c r="L226" s="55" t="s">
        <v>1175</v>
      </c>
      <c r="M226" s="55"/>
      <c r="N226" s="47" t="s">
        <v>678</v>
      </c>
      <c r="P226" s="86" t="s">
        <v>1208</v>
      </c>
      <c r="S226" s="47"/>
      <c r="T226" s="47"/>
    </row>
    <row r="227" spans="1:20" ht="17">
      <c r="A227" s="55" t="s">
        <v>1194</v>
      </c>
      <c r="B227" s="52" t="s">
        <v>1184</v>
      </c>
      <c r="C227" s="52" t="s">
        <v>95</v>
      </c>
      <c r="D227" s="53">
        <v>688</v>
      </c>
      <c r="E227" s="53">
        <v>1250</v>
      </c>
      <c r="F227" s="66">
        <v>0</v>
      </c>
      <c r="G227" s="66">
        <v>1</v>
      </c>
      <c r="H227" s="65">
        <f t="shared" si="15"/>
        <v>1</v>
      </c>
      <c r="I227" s="65">
        <f>IF(D227&lt;&gt;"",D227,IFERROR(E227/(IFERROR(SUM(Sales!C:C),0))*(IFERROR(SUM(Purchases!C:C),0)),0))</f>
        <v>688</v>
      </c>
      <c r="J227" s="65">
        <f t="shared" si="16"/>
        <v>0</v>
      </c>
      <c r="K227" s="65">
        <f t="shared" si="17"/>
        <v>688</v>
      </c>
      <c r="L227" s="52"/>
      <c r="M227" s="52"/>
      <c r="N227" s="47" t="s">
        <v>678</v>
      </c>
      <c r="P227" s="86" t="s">
        <v>1209</v>
      </c>
      <c r="S227" s="47"/>
      <c r="T227" s="47"/>
    </row>
    <row r="228" spans="1:20" ht="17">
      <c r="A228" s="52" t="s">
        <v>1195</v>
      </c>
      <c r="B228" s="55" t="s">
        <v>1185</v>
      </c>
      <c r="C228" s="55" t="s">
        <v>95</v>
      </c>
      <c r="D228" s="56">
        <v>555</v>
      </c>
      <c r="E228" s="56">
        <v>999</v>
      </c>
      <c r="F228" s="64">
        <v>1</v>
      </c>
      <c r="G228" s="64">
        <v>5</v>
      </c>
      <c r="H228" s="63">
        <f t="shared" si="15"/>
        <v>6</v>
      </c>
      <c r="I228" s="63">
        <f>IF(D228&lt;&gt;"",D228,IFERROR(E228/(IFERROR(SUM(Sales!C:C),0))*(IFERROR(SUM(Purchases!C:C),0)),0))</f>
        <v>555</v>
      </c>
      <c r="J228" s="63">
        <f t="shared" si="16"/>
        <v>555</v>
      </c>
      <c r="K228" s="63">
        <f t="shared" si="17"/>
        <v>2775</v>
      </c>
      <c r="L228" s="55" t="s">
        <v>1289</v>
      </c>
      <c r="M228" s="55"/>
      <c r="N228" s="47" t="s">
        <v>589</v>
      </c>
      <c r="P228" s="86" t="s">
        <v>1290</v>
      </c>
      <c r="S228" s="47"/>
      <c r="T228" s="47"/>
    </row>
    <row r="229" spans="1:20" ht="17">
      <c r="A229" s="55" t="s">
        <v>1196</v>
      </c>
      <c r="B229" s="52" t="s">
        <v>1186</v>
      </c>
      <c r="C229" s="52" t="s">
        <v>95</v>
      </c>
      <c r="D229" s="53">
        <v>782</v>
      </c>
      <c r="E229" s="53">
        <v>1250</v>
      </c>
      <c r="F229" s="66">
        <v>1</v>
      </c>
      <c r="G229" s="66">
        <v>1</v>
      </c>
      <c r="H229" s="65">
        <f t="shared" si="15"/>
        <v>2</v>
      </c>
      <c r="I229" s="65">
        <f>IF(D229&lt;&gt;"",D229,IFERROR(E229/(IFERROR(SUM(Sales!C:C),0))*(IFERROR(SUM(Purchases!C:C),0)),0))</f>
        <v>782</v>
      </c>
      <c r="J229" s="65">
        <f t="shared" si="16"/>
        <v>782</v>
      </c>
      <c r="K229" s="65">
        <f t="shared" si="17"/>
        <v>782</v>
      </c>
      <c r="L229" s="52" t="s">
        <v>1262</v>
      </c>
      <c r="M229" s="52"/>
      <c r="N229" s="47" t="s">
        <v>589</v>
      </c>
      <c r="P229" s="86" t="s">
        <v>1263</v>
      </c>
      <c r="S229" s="47"/>
      <c r="T229" s="47"/>
    </row>
    <row r="230" spans="1:20" ht="17">
      <c r="A230" s="52" t="s">
        <v>1197</v>
      </c>
      <c r="B230" s="55" t="s">
        <v>1185</v>
      </c>
      <c r="C230" s="55" t="s">
        <v>95</v>
      </c>
      <c r="D230" s="56">
        <v>576</v>
      </c>
      <c r="E230" s="56">
        <v>850</v>
      </c>
      <c r="F230" s="64">
        <v>1</v>
      </c>
      <c r="G230" s="64">
        <v>2</v>
      </c>
      <c r="H230" s="63">
        <f t="shared" si="15"/>
        <v>3</v>
      </c>
      <c r="I230" s="63">
        <f>IF(D230&lt;&gt;"",D230,IFERROR(E230/(IFERROR(SUM(Sales!C:C),0))*(IFERROR(SUM(Purchases!C:C),0)),0))</f>
        <v>576</v>
      </c>
      <c r="J230" s="63">
        <f t="shared" si="16"/>
        <v>576</v>
      </c>
      <c r="K230" s="63">
        <f t="shared" si="17"/>
        <v>1152</v>
      </c>
      <c r="L230" s="55" t="s">
        <v>201</v>
      </c>
      <c r="M230" s="55"/>
      <c r="N230" s="47" t="s">
        <v>589</v>
      </c>
      <c r="P230" s="86" t="s">
        <v>1210</v>
      </c>
      <c r="S230" s="47"/>
      <c r="T230" s="47"/>
    </row>
    <row r="231" spans="1:20" ht="17">
      <c r="A231" s="52" t="s">
        <v>1198</v>
      </c>
      <c r="B231" s="52" t="s">
        <v>1187</v>
      </c>
      <c r="C231" s="52" t="s">
        <v>95</v>
      </c>
      <c r="D231" s="53">
        <v>772</v>
      </c>
      <c r="E231" s="53">
        <v>1050</v>
      </c>
      <c r="F231" s="66">
        <v>0</v>
      </c>
      <c r="G231" s="66">
        <v>1</v>
      </c>
      <c r="H231" s="65">
        <f t="shared" si="15"/>
        <v>1</v>
      </c>
      <c r="I231" s="65">
        <f>IF(D231&lt;&gt;"",D231,IFERROR(E231/(IFERROR(SUM(Sales!C:C),0))*(IFERROR(SUM(Purchases!C:C),0)),0))</f>
        <v>772</v>
      </c>
      <c r="J231" s="65">
        <f t="shared" si="16"/>
        <v>0</v>
      </c>
      <c r="K231" s="65">
        <f t="shared" si="17"/>
        <v>772</v>
      </c>
      <c r="L231" s="52"/>
      <c r="M231" s="52"/>
      <c r="N231" s="47" t="s">
        <v>678</v>
      </c>
      <c r="P231" s="86" t="s">
        <v>1163</v>
      </c>
      <c r="S231" s="47"/>
      <c r="T231" s="47"/>
    </row>
    <row r="232" spans="1:20" ht="17">
      <c r="A232" s="55" t="s">
        <v>1199</v>
      </c>
      <c r="B232" s="55" t="s">
        <v>1188</v>
      </c>
      <c r="C232" s="55" t="s">
        <v>95</v>
      </c>
      <c r="D232" s="56">
        <v>719</v>
      </c>
      <c r="E232" s="56">
        <v>1450</v>
      </c>
      <c r="F232" s="64">
        <v>1</v>
      </c>
      <c r="G232" s="64">
        <v>0</v>
      </c>
      <c r="H232" s="63">
        <f t="shared" si="15"/>
        <v>1</v>
      </c>
      <c r="I232" s="63">
        <f>IF(D232&lt;&gt;"",D232,IFERROR(E232/(IFERROR(SUM(Sales!C:C),0))*(IFERROR(SUM(Purchases!C:C),0)),0))</f>
        <v>719</v>
      </c>
      <c r="J232" s="63">
        <f t="shared" si="16"/>
        <v>719</v>
      </c>
      <c r="K232" s="63">
        <f t="shared" si="17"/>
        <v>0</v>
      </c>
      <c r="L232" s="55" t="s">
        <v>1214</v>
      </c>
      <c r="M232" s="55"/>
      <c r="N232" s="47" t="s">
        <v>504</v>
      </c>
      <c r="P232" s="86" t="s">
        <v>1211</v>
      </c>
      <c r="S232" s="47"/>
      <c r="T232" s="47"/>
    </row>
    <row r="233" spans="1:20" ht="17">
      <c r="A233" s="52" t="s">
        <v>1200</v>
      </c>
      <c r="B233" s="52" t="s">
        <v>1189</v>
      </c>
      <c r="C233" s="52" t="s">
        <v>95</v>
      </c>
      <c r="D233" s="53">
        <v>524</v>
      </c>
      <c r="E233" s="53">
        <v>850</v>
      </c>
      <c r="F233" s="66">
        <v>0</v>
      </c>
      <c r="G233" s="66">
        <v>2</v>
      </c>
      <c r="H233" s="65">
        <f t="shared" si="15"/>
        <v>2</v>
      </c>
      <c r="I233" s="65">
        <f>IF(D233&lt;&gt;"",D233,IFERROR(E233/(IFERROR(SUM(Sales!C:C),0))*(IFERROR(SUM(Purchases!C:C),0)),0))</f>
        <v>524</v>
      </c>
      <c r="J233" s="65">
        <f t="shared" si="16"/>
        <v>0</v>
      </c>
      <c r="K233" s="65">
        <f t="shared" si="17"/>
        <v>1048</v>
      </c>
      <c r="L233" s="52" t="s">
        <v>1264</v>
      </c>
      <c r="M233" s="52"/>
      <c r="N233" s="47" t="s">
        <v>678</v>
      </c>
      <c r="P233" s="86" t="s">
        <v>1212</v>
      </c>
      <c r="S233" s="47"/>
      <c r="T233" s="47"/>
    </row>
    <row r="234" spans="1:20" ht="17">
      <c r="A234" s="55" t="s">
        <v>1201</v>
      </c>
      <c r="B234" s="55" t="s">
        <v>1190</v>
      </c>
      <c r="C234" s="55" t="s">
        <v>95</v>
      </c>
      <c r="D234" s="56">
        <v>891</v>
      </c>
      <c r="E234" s="56">
        <v>1380</v>
      </c>
      <c r="F234" s="64">
        <v>2</v>
      </c>
      <c r="G234" s="64">
        <v>1</v>
      </c>
      <c r="H234" s="63">
        <f t="shared" si="15"/>
        <v>3</v>
      </c>
      <c r="I234" s="63">
        <f>IF(D234&lt;&gt;"",D234,IFERROR(E234/(IFERROR(SUM(Sales!C:C),0))*(IFERROR(SUM(Purchases!C:C),0)),0))</f>
        <v>891</v>
      </c>
      <c r="J234" s="63">
        <f t="shared" si="16"/>
        <v>1782</v>
      </c>
      <c r="K234" s="63">
        <f t="shared" si="17"/>
        <v>891</v>
      </c>
      <c r="L234" s="55" t="s">
        <v>1280</v>
      </c>
      <c r="M234" s="55"/>
      <c r="N234" s="47" t="s">
        <v>589</v>
      </c>
      <c r="P234" s="86" t="s">
        <v>1213</v>
      </c>
      <c r="S234" s="47"/>
      <c r="T234" s="47"/>
    </row>
    <row r="235" spans="1:20" ht="17">
      <c r="A235" s="52" t="s">
        <v>1202</v>
      </c>
      <c r="B235" s="52" t="s">
        <v>510</v>
      </c>
      <c r="C235" s="52" t="s">
        <v>95</v>
      </c>
      <c r="D235" s="53">
        <v>912</v>
      </c>
      <c r="E235" s="53">
        <v>1380</v>
      </c>
      <c r="F235" s="66">
        <v>2</v>
      </c>
      <c r="G235" s="66">
        <v>2</v>
      </c>
      <c r="H235" s="65">
        <f t="shared" si="15"/>
        <v>4</v>
      </c>
      <c r="I235" s="65">
        <f>IF(D235&lt;&gt;"",D235,IFERROR(E235/(IFERROR(SUM(Sales!C:C),0))*(IFERROR(SUM(Purchases!C:C),0)),0))</f>
        <v>912</v>
      </c>
      <c r="J235" s="65">
        <f t="shared" si="16"/>
        <v>1824</v>
      </c>
      <c r="K235" s="65">
        <f t="shared" si="17"/>
        <v>1824</v>
      </c>
      <c r="L235" s="52" t="s">
        <v>1321</v>
      </c>
      <c r="M235" s="52"/>
      <c r="N235" s="47" t="s">
        <v>589</v>
      </c>
      <c r="P235" s="86" t="s">
        <v>1322</v>
      </c>
      <c r="S235" s="47"/>
      <c r="T235" s="47"/>
    </row>
    <row r="236" spans="1:20" ht="17">
      <c r="A236" s="52" t="s">
        <v>1203</v>
      </c>
      <c r="B236" s="55" t="s">
        <v>1191</v>
      </c>
      <c r="C236" s="55" t="s">
        <v>95</v>
      </c>
      <c r="D236" s="56">
        <v>734</v>
      </c>
      <c r="E236" s="56">
        <v>1100</v>
      </c>
      <c r="F236" s="64">
        <v>0</v>
      </c>
      <c r="G236" s="64">
        <v>2</v>
      </c>
      <c r="H236" s="63">
        <f t="shared" si="15"/>
        <v>2</v>
      </c>
      <c r="I236" s="63">
        <f>IF(D236&lt;&gt;"",D236,IFERROR(E236/(IFERROR(SUM(Sales!C:C),0))*(IFERROR(SUM(Purchases!C:C),0)),0))</f>
        <v>734</v>
      </c>
      <c r="J236" s="63">
        <f t="shared" si="16"/>
        <v>0</v>
      </c>
      <c r="K236" s="63">
        <f t="shared" si="17"/>
        <v>1468</v>
      </c>
      <c r="L236" s="55" t="s">
        <v>1260</v>
      </c>
      <c r="M236" s="55"/>
      <c r="N236" s="47" t="s">
        <v>678</v>
      </c>
      <c r="P236" s="86" t="s">
        <v>1261</v>
      </c>
      <c r="S236" s="47"/>
      <c r="T236" s="47"/>
    </row>
    <row r="237" spans="1:20" ht="17">
      <c r="A237" s="55" t="s">
        <v>1204</v>
      </c>
      <c r="B237" s="52" t="s">
        <v>1192</v>
      </c>
      <c r="C237" s="52" t="s">
        <v>95</v>
      </c>
      <c r="D237" s="53">
        <v>436</v>
      </c>
      <c r="E237" s="53">
        <v>699</v>
      </c>
      <c r="F237" s="66">
        <v>0</v>
      </c>
      <c r="G237" s="66">
        <v>2</v>
      </c>
      <c r="H237" s="65">
        <f t="shared" si="15"/>
        <v>2</v>
      </c>
      <c r="I237" s="65">
        <f>IF(D237&lt;&gt;"",D237,IFERROR(E237/(IFERROR(SUM(Sales!C:C),0))*(IFERROR(SUM(Purchases!C:C),0)),0))</f>
        <v>436</v>
      </c>
      <c r="J237" s="65">
        <f t="shared" si="16"/>
        <v>0</v>
      </c>
      <c r="K237" s="65">
        <f t="shared" si="17"/>
        <v>872</v>
      </c>
      <c r="L237" s="52" t="s">
        <v>1259</v>
      </c>
      <c r="M237" s="52"/>
      <c r="N237" s="47" t="s">
        <v>678</v>
      </c>
      <c r="P237" s="86" t="s">
        <v>1258</v>
      </c>
      <c r="S237" s="47"/>
      <c r="T237" s="47"/>
    </row>
    <row r="238" spans="1:20" ht="16">
      <c r="A238" s="55" t="s">
        <v>1226</v>
      </c>
      <c r="B238" s="55" t="s">
        <v>1188</v>
      </c>
      <c r="C238" s="55" t="s">
        <v>95</v>
      </c>
      <c r="D238" s="56">
        <v>446.26</v>
      </c>
      <c r="E238" s="56">
        <v>1000</v>
      </c>
      <c r="F238" s="64">
        <v>1</v>
      </c>
      <c r="G238" s="64">
        <v>0</v>
      </c>
      <c r="H238" s="63">
        <f t="shared" ref="H238:H261" si="18">F238+IF(LEN(G238)=0,0,G238)</f>
        <v>1</v>
      </c>
      <c r="I238" s="63">
        <f>IF(D238&lt;&gt;"",D238,IFERROR(E238/(IFERROR(SUM(Sales!C:C),0))*(IFERROR(SUM(Purchases!C:C),0)),0))</f>
        <v>446.26</v>
      </c>
      <c r="J238" s="63">
        <f t="shared" ref="J238:J261" si="19">F238*I238</f>
        <v>446.26</v>
      </c>
      <c r="K238" s="63">
        <f t="shared" ref="K238:K261" si="20">IF(LEN(G238)=0,0,G238)*I238</f>
        <v>0</v>
      </c>
      <c r="L238" s="55" t="s">
        <v>1227</v>
      </c>
      <c r="M238" s="55"/>
      <c r="N238" s="47" t="s">
        <v>504</v>
      </c>
      <c r="P238" s="86"/>
      <c r="S238" s="47"/>
      <c r="T238" s="47"/>
    </row>
    <row r="239" spans="1:20" ht="17">
      <c r="A239" s="52" t="s">
        <v>1229</v>
      </c>
      <c r="B239" s="52" t="s">
        <v>1239</v>
      </c>
      <c r="C239" s="52" t="s">
        <v>95</v>
      </c>
      <c r="D239" s="53">
        <v>603</v>
      </c>
      <c r="E239" s="53">
        <v>1099</v>
      </c>
      <c r="F239" s="66">
        <v>0</v>
      </c>
      <c r="G239" s="66">
        <v>2</v>
      </c>
      <c r="H239" s="65">
        <f t="shared" si="18"/>
        <v>2</v>
      </c>
      <c r="I239" s="65">
        <f>IF(D239&lt;&gt;"",D239,IFERROR(E239/(IFERROR(SUM(Sales!C:C),0))*(IFERROR(SUM(Purchases!C:C),0)),0))</f>
        <v>603</v>
      </c>
      <c r="J239" s="65">
        <f t="shared" si="19"/>
        <v>0</v>
      </c>
      <c r="K239" s="65">
        <f t="shared" si="20"/>
        <v>1206</v>
      </c>
      <c r="L239" s="52"/>
      <c r="M239" s="52"/>
      <c r="N239" s="47" t="s">
        <v>678</v>
      </c>
      <c r="P239" s="86" t="s">
        <v>1250</v>
      </c>
      <c r="S239" s="47"/>
      <c r="T239" s="47"/>
    </row>
    <row r="240" spans="1:20" ht="17">
      <c r="A240" s="55" t="s">
        <v>1230</v>
      </c>
      <c r="B240" s="55" t="s">
        <v>1248</v>
      </c>
      <c r="C240" s="55" t="s">
        <v>95</v>
      </c>
      <c r="D240" s="56">
        <v>1024</v>
      </c>
      <c r="E240" s="56">
        <v>1400</v>
      </c>
      <c r="F240" s="64">
        <v>1</v>
      </c>
      <c r="G240" s="64">
        <v>0</v>
      </c>
      <c r="H240" s="63">
        <f t="shared" si="18"/>
        <v>1</v>
      </c>
      <c r="I240" s="63">
        <f>IF(D240&lt;&gt;"",D240,IFERROR(E240/(IFERROR(SUM(Sales!C:C),0))*(IFERROR(SUM(Purchases!C:C),0)),0))</f>
        <v>1024</v>
      </c>
      <c r="J240" s="63">
        <f t="shared" si="19"/>
        <v>1024</v>
      </c>
      <c r="K240" s="63">
        <f t="shared" si="20"/>
        <v>0</v>
      </c>
      <c r="L240" s="55" t="s">
        <v>1249</v>
      </c>
      <c r="M240" s="55"/>
      <c r="N240" s="47" t="s">
        <v>504</v>
      </c>
      <c r="P240" s="86" t="s">
        <v>201</v>
      </c>
      <c r="S240" s="47"/>
      <c r="T240" s="47"/>
    </row>
    <row r="241" spans="1:246" ht="17">
      <c r="A241" s="52" t="s">
        <v>1231</v>
      </c>
      <c r="B241" s="52" t="s">
        <v>1240</v>
      </c>
      <c r="C241" s="52" t="s">
        <v>95</v>
      </c>
      <c r="D241" s="53">
        <v>562</v>
      </c>
      <c r="E241" s="53">
        <v>980</v>
      </c>
      <c r="F241" s="66">
        <v>2</v>
      </c>
      <c r="G241" s="66">
        <v>2</v>
      </c>
      <c r="H241" s="65">
        <f t="shared" si="18"/>
        <v>4</v>
      </c>
      <c r="I241" s="65">
        <f>IF(D241&lt;&gt;"",D241,IFERROR(E241/(IFERROR(SUM(Sales!C:C),0))*(IFERROR(SUM(Purchases!C:C),0)),0))</f>
        <v>562</v>
      </c>
      <c r="J241" s="65">
        <f t="shared" si="19"/>
        <v>1124</v>
      </c>
      <c r="K241" s="65">
        <f t="shared" si="20"/>
        <v>1124</v>
      </c>
      <c r="L241" s="52" t="s">
        <v>1282</v>
      </c>
      <c r="M241" s="52"/>
      <c r="N241" s="47" t="s">
        <v>589</v>
      </c>
      <c r="P241" s="86" t="s">
        <v>1251</v>
      </c>
      <c r="S241" s="47"/>
      <c r="T241" s="47"/>
    </row>
    <row r="242" spans="1:246" ht="17">
      <c r="A242" s="55" t="s">
        <v>1232</v>
      </c>
      <c r="B242" s="55" t="s">
        <v>1241</v>
      </c>
      <c r="C242" s="55" t="s">
        <v>95</v>
      </c>
      <c r="D242" s="56">
        <v>629</v>
      </c>
      <c r="E242" s="56">
        <v>1050</v>
      </c>
      <c r="F242" s="64">
        <v>1</v>
      </c>
      <c r="G242" s="64">
        <v>2</v>
      </c>
      <c r="H242" s="63">
        <f t="shared" si="18"/>
        <v>3</v>
      </c>
      <c r="I242" s="63">
        <f>IF(D242&lt;&gt;"",D242,IFERROR(E242/(IFERROR(SUM(Sales!C:C),0))*(IFERROR(SUM(Purchases!C:C),0)),0))</f>
        <v>629</v>
      </c>
      <c r="J242" s="63">
        <f t="shared" si="19"/>
        <v>629</v>
      </c>
      <c r="K242" s="63">
        <f t="shared" si="20"/>
        <v>1258</v>
      </c>
      <c r="L242" s="55" t="s">
        <v>201</v>
      </c>
      <c r="M242" s="55"/>
      <c r="N242" s="47" t="s">
        <v>678</v>
      </c>
      <c r="P242" s="86" t="s">
        <v>1252</v>
      </c>
      <c r="S242" s="47"/>
      <c r="T242" s="47"/>
    </row>
    <row r="243" spans="1:246" ht="17">
      <c r="A243" s="52" t="s">
        <v>1233</v>
      </c>
      <c r="B243" s="52" t="s">
        <v>1242</v>
      </c>
      <c r="C243" s="52" t="s">
        <v>95</v>
      </c>
      <c r="D243" s="53">
        <v>545</v>
      </c>
      <c r="E243" s="53">
        <v>900</v>
      </c>
      <c r="F243" s="66">
        <v>2</v>
      </c>
      <c r="G243" s="66">
        <v>0</v>
      </c>
      <c r="H243" s="65">
        <f t="shared" si="18"/>
        <v>2</v>
      </c>
      <c r="I243" s="65">
        <f>IF(D243&lt;&gt;"",D243,IFERROR(E243/(IFERROR(SUM(Sales!C:C),0))*(IFERROR(SUM(Purchases!C:C),0)),0))</f>
        <v>545</v>
      </c>
      <c r="J243" s="65">
        <f t="shared" si="19"/>
        <v>1090</v>
      </c>
      <c r="K243" s="65">
        <f t="shared" si="20"/>
        <v>0</v>
      </c>
      <c r="L243" s="52" t="s">
        <v>1362</v>
      </c>
      <c r="M243" s="52"/>
      <c r="N243" s="47" t="s">
        <v>504</v>
      </c>
      <c r="P243" s="86" t="s">
        <v>1253</v>
      </c>
      <c r="S243" s="47"/>
      <c r="T243" s="47"/>
    </row>
    <row r="244" spans="1:246" ht="17">
      <c r="A244" s="55" t="s">
        <v>1234</v>
      </c>
      <c r="B244" s="55" t="s">
        <v>1243</v>
      </c>
      <c r="C244" s="55" t="s">
        <v>95</v>
      </c>
      <c r="D244" s="56">
        <v>607</v>
      </c>
      <c r="E244" s="56">
        <v>980</v>
      </c>
      <c r="F244" s="64">
        <v>0</v>
      </c>
      <c r="G244" s="64">
        <v>1</v>
      </c>
      <c r="H244" s="63">
        <f t="shared" si="18"/>
        <v>1</v>
      </c>
      <c r="I244" s="63">
        <f>IF(D244&lt;&gt;"",D244,IFERROR(E244/(IFERROR(SUM(Sales!C:C),0))*(IFERROR(SUM(Purchases!C:C),0)),0))</f>
        <v>607</v>
      </c>
      <c r="J244" s="63">
        <f t="shared" si="19"/>
        <v>0</v>
      </c>
      <c r="K244" s="63">
        <f t="shared" si="20"/>
        <v>607</v>
      </c>
      <c r="L244" s="55"/>
      <c r="M244" s="55"/>
      <c r="N244" s="47" t="s">
        <v>678</v>
      </c>
      <c r="P244" s="86" t="s">
        <v>1254</v>
      </c>
      <c r="S244" s="47"/>
      <c r="T244" s="47"/>
    </row>
    <row r="245" spans="1:246" ht="16">
      <c r="A245" s="52" t="s">
        <v>1235</v>
      </c>
      <c r="B245" s="52" t="s">
        <v>1244</v>
      </c>
      <c r="C245" s="52" t="s">
        <v>95</v>
      </c>
      <c r="D245" s="53">
        <v>513.46</v>
      </c>
      <c r="E245" s="53">
        <v>890</v>
      </c>
      <c r="F245" s="66">
        <v>0</v>
      </c>
      <c r="G245" s="66">
        <v>1</v>
      </c>
      <c r="H245" s="65">
        <f t="shared" si="18"/>
        <v>1</v>
      </c>
      <c r="I245" s="65">
        <f>IF(D245&lt;&gt;"",D245,IFERROR(E245/(IFERROR(SUM(Sales!C:C),0))*(IFERROR(SUM(Purchases!C:C),0)),0))</f>
        <v>513.46</v>
      </c>
      <c r="J245" s="65">
        <f t="shared" si="19"/>
        <v>0</v>
      </c>
      <c r="K245" s="65">
        <f t="shared" si="20"/>
        <v>513.46</v>
      </c>
      <c r="L245" s="52"/>
      <c r="M245" s="52"/>
      <c r="N245" s="47" t="s">
        <v>678</v>
      </c>
      <c r="P245" s="86"/>
      <c r="S245" s="47"/>
      <c r="T245" s="47"/>
    </row>
    <row r="246" spans="1:246" s="62" customFormat="1" ht="17">
      <c r="A246" s="87" t="s">
        <v>1236</v>
      </c>
      <c r="B246" s="87" t="s">
        <v>1245</v>
      </c>
      <c r="C246" s="87" t="s">
        <v>95</v>
      </c>
      <c r="D246" s="88">
        <v>629</v>
      </c>
      <c r="E246" s="88"/>
      <c r="F246" s="89">
        <v>0</v>
      </c>
      <c r="G246" s="89">
        <v>0</v>
      </c>
      <c r="H246" s="90">
        <f t="shared" si="18"/>
        <v>0</v>
      </c>
      <c r="I246" s="90">
        <f>IF(D246&lt;&gt;"",D246,IFERROR(E246/(IFERROR(SUM(Sales!C:C),0))*(IFERROR(SUM(Purchases!C:C),0)),0))</f>
        <v>629</v>
      </c>
      <c r="J246" s="90">
        <f t="shared" si="19"/>
        <v>0</v>
      </c>
      <c r="K246" s="90">
        <f t="shared" si="20"/>
        <v>0</v>
      </c>
      <c r="L246" s="87" t="s">
        <v>608</v>
      </c>
      <c r="M246" s="87"/>
      <c r="N246" s="62" t="s">
        <v>504</v>
      </c>
      <c r="P246" s="91" t="s">
        <v>1255</v>
      </c>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6">
      <c r="A247" s="52" t="s">
        <v>1236</v>
      </c>
      <c r="B247" s="52" t="s">
        <v>1246</v>
      </c>
      <c r="C247" s="52" t="s">
        <v>95</v>
      </c>
      <c r="D247" s="53">
        <v>628</v>
      </c>
      <c r="E247" s="53">
        <v>999</v>
      </c>
      <c r="F247" s="66">
        <v>0</v>
      </c>
      <c r="G247" s="66">
        <v>1</v>
      </c>
      <c r="H247" s="65">
        <f t="shared" si="18"/>
        <v>1</v>
      </c>
      <c r="I247" s="65">
        <f>IF(D247&lt;&gt;"",D247,IFERROR(E247/(IFERROR(SUM(Sales!C:C),0))*(IFERROR(SUM(Purchases!C:C),0)),0))</f>
        <v>628</v>
      </c>
      <c r="J247" s="65">
        <f t="shared" si="19"/>
        <v>0</v>
      </c>
      <c r="K247" s="65">
        <f t="shared" si="20"/>
        <v>628</v>
      </c>
      <c r="L247" s="52"/>
      <c r="M247" s="52"/>
      <c r="N247" s="47" t="s">
        <v>678</v>
      </c>
      <c r="P247" s="86"/>
      <c r="S247" s="47"/>
      <c r="T247" s="47"/>
    </row>
    <row r="248" spans="1:246" ht="17">
      <c r="A248" s="55" t="s">
        <v>1237</v>
      </c>
      <c r="B248" s="55" t="s">
        <v>1247</v>
      </c>
      <c r="C248" s="55" t="s">
        <v>95</v>
      </c>
      <c r="D248" s="56">
        <v>629</v>
      </c>
      <c r="E248" s="56">
        <v>980</v>
      </c>
      <c r="F248" s="64">
        <v>0</v>
      </c>
      <c r="G248" s="64">
        <v>3</v>
      </c>
      <c r="H248" s="63">
        <f t="shared" si="18"/>
        <v>3</v>
      </c>
      <c r="I248" s="63">
        <f>IF(D248&lt;&gt;"",D248,IFERROR(E248/(IFERROR(SUM(Sales!C:C),0))*(IFERROR(SUM(Purchases!C:C),0)),0))</f>
        <v>629</v>
      </c>
      <c r="J248" s="63">
        <f t="shared" si="19"/>
        <v>0</v>
      </c>
      <c r="K248" s="63">
        <f t="shared" si="20"/>
        <v>1887</v>
      </c>
      <c r="L248" s="55"/>
      <c r="M248" s="55"/>
      <c r="N248" s="47" t="s">
        <v>678</v>
      </c>
      <c r="P248" s="86" t="s">
        <v>1256</v>
      </c>
      <c r="S248" s="47"/>
      <c r="T248" s="47"/>
    </row>
    <row r="249" spans="1:246" ht="17">
      <c r="A249" s="52" t="s">
        <v>1238</v>
      </c>
      <c r="B249" s="52" t="s">
        <v>1344</v>
      </c>
      <c r="C249" s="52" t="s">
        <v>95</v>
      </c>
      <c r="D249" s="53">
        <v>882</v>
      </c>
      <c r="E249" s="53">
        <v>1380</v>
      </c>
      <c r="F249" s="66">
        <v>0</v>
      </c>
      <c r="G249" s="66">
        <v>3</v>
      </c>
      <c r="H249" s="65">
        <f t="shared" si="18"/>
        <v>3</v>
      </c>
      <c r="I249" s="65">
        <f>IF(D249&lt;&gt;"",D249,IFERROR(E249/(IFERROR(SUM(Sales!C:C),0))*(IFERROR(SUM(Purchases!C:C),0)),0))</f>
        <v>882</v>
      </c>
      <c r="J249" s="65">
        <f t="shared" si="19"/>
        <v>0</v>
      </c>
      <c r="K249" s="65">
        <f t="shared" si="20"/>
        <v>2646</v>
      </c>
      <c r="L249" s="52"/>
      <c r="M249" s="52"/>
      <c r="N249" s="47" t="s">
        <v>678</v>
      </c>
      <c r="P249" s="86" t="s">
        <v>1334</v>
      </c>
      <c r="S249" s="47"/>
      <c r="T249" s="47"/>
    </row>
    <row r="250" spans="1:246" ht="17">
      <c r="A250" s="55" t="s">
        <v>1331</v>
      </c>
      <c r="B250" s="55" t="s">
        <v>1345</v>
      </c>
      <c r="C250" s="55" t="s">
        <v>95</v>
      </c>
      <c r="D250" s="56">
        <v>400</v>
      </c>
      <c r="E250" s="56">
        <v>699</v>
      </c>
      <c r="F250" s="64">
        <v>0</v>
      </c>
      <c r="G250" s="64">
        <v>1</v>
      </c>
      <c r="H250" s="63">
        <f t="shared" si="18"/>
        <v>1</v>
      </c>
      <c r="I250" s="63">
        <f>IF(D250&lt;&gt;"",D250,IFERROR(E250/(IFERROR(SUM(Sales!C:C),0))*(IFERROR(SUM(Purchases!C:C),0)),0))</f>
        <v>400</v>
      </c>
      <c r="J250" s="63">
        <f t="shared" si="19"/>
        <v>0</v>
      </c>
      <c r="K250" s="63">
        <f t="shared" si="20"/>
        <v>400</v>
      </c>
      <c r="L250" s="55"/>
      <c r="M250" s="55"/>
      <c r="N250" s="47" t="s">
        <v>678</v>
      </c>
      <c r="P250" s="86" t="s">
        <v>1333</v>
      </c>
      <c r="S250" s="47"/>
      <c r="T250" s="47"/>
    </row>
    <row r="251" spans="1:246" ht="16">
      <c r="A251" s="52" t="s">
        <v>1332</v>
      </c>
      <c r="B251" s="52" t="s">
        <v>1335</v>
      </c>
      <c r="C251" s="52" t="s">
        <v>96</v>
      </c>
      <c r="D251" s="53">
        <v>1090</v>
      </c>
      <c r="E251" s="53"/>
      <c r="F251" s="66">
        <v>0</v>
      </c>
      <c r="G251" s="66">
        <v>3</v>
      </c>
      <c r="H251" s="65">
        <f t="shared" si="18"/>
        <v>3</v>
      </c>
      <c r="I251" s="65">
        <f>IF(D251&lt;&gt;"",D251,IFERROR(E251/(IFERROR(SUM(Sales!C:C),0))*(IFERROR(SUM(Purchases!C:C),0)),0))</f>
        <v>1090</v>
      </c>
      <c r="J251" s="65">
        <f t="shared" si="19"/>
        <v>0</v>
      </c>
      <c r="K251" s="65">
        <f t="shared" si="20"/>
        <v>3270</v>
      </c>
      <c r="L251" s="52"/>
      <c r="M251" s="52"/>
      <c r="N251" s="47" t="s">
        <v>678</v>
      </c>
      <c r="O251" s="47" t="s">
        <v>1336</v>
      </c>
      <c r="P251" s="86"/>
      <c r="S251" s="47"/>
      <c r="T251" s="47"/>
    </row>
    <row r="252" spans="1:246" ht="16">
      <c r="A252" s="55" t="s">
        <v>1337</v>
      </c>
      <c r="B252" s="55" t="s">
        <v>1338</v>
      </c>
      <c r="C252" s="55" t="s">
        <v>96</v>
      </c>
      <c r="D252" s="56">
        <v>1049</v>
      </c>
      <c r="E252" s="56"/>
      <c r="F252" s="64">
        <v>0</v>
      </c>
      <c r="G252" s="64">
        <v>4</v>
      </c>
      <c r="H252" s="63">
        <f t="shared" si="18"/>
        <v>4</v>
      </c>
      <c r="I252" s="63">
        <f>IF(D252&lt;&gt;"",D252,IFERROR(E252/(IFERROR(SUM(Sales!C:C),0))*(IFERROR(SUM(Purchases!C:C),0)),0))</f>
        <v>1049</v>
      </c>
      <c r="J252" s="63">
        <f t="shared" si="19"/>
        <v>0</v>
      </c>
      <c r="K252" s="63">
        <f t="shared" si="20"/>
        <v>4196</v>
      </c>
      <c r="L252" s="55"/>
      <c r="M252" s="55"/>
      <c r="N252" s="47" t="s">
        <v>678</v>
      </c>
      <c r="O252" s="47" t="s">
        <v>1339</v>
      </c>
      <c r="P252" s="86"/>
      <c r="S252" s="47"/>
      <c r="T252" s="47"/>
    </row>
    <row r="253" spans="1:246" ht="16">
      <c r="A253" s="52" t="s">
        <v>1340</v>
      </c>
      <c r="B253" s="52" t="s">
        <v>1341</v>
      </c>
      <c r="C253" s="52" t="s">
        <v>96</v>
      </c>
      <c r="D253" s="53">
        <v>1049</v>
      </c>
      <c r="E253" s="53"/>
      <c r="F253" s="66">
        <v>0</v>
      </c>
      <c r="G253" s="66">
        <v>4</v>
      </c>
      <c r="H253" s="65">
        <f t="shared" si="18"/>
        <v>4</v>
      </c>
      <c r="I253" s="65">
        <f>IF(D253&lt;&gt;"",D253,IFERROR(E253/(IFERROR(SUM(Sales!C:C),0))*(IFERROR(SUM(Purchases!C:C),0)),0))</f>
        <v>1049</v>
      </c>
      <c r="J253" s="65">
        <f t="shared" si="19"/>
        <v>0</v>
      </c>
      <c r="K253" s="65">
        <f t="shared" si="20"/>
        <v>4196</v>
      </c>
      <c r="L253" s="52"/>
      <c r="M253" s="52"/>
      <c r="N253" s="47" t="s">
        <v>678</v>
      </c>
      <c r="O253" s="47" t="s">
        <v>1339</v>
      </c>
      <c r="P253" s="86"/>
      <c r="S253" s="47"/>
      <c r="T253" s="47"/>
    </row>
    <row r="254" spans="1:246" ht="16">
      <c r="A254" s="55" t="s">
        <v>1342</v>
      </c>
      <c r="B254" s="55" t="s">
        <v>1343</v>
      </c>
      <c r="C254" s="55" t="s">
        <v>96</v>
      </c>
      <c r="D254" s="56">
        <v>1322</v>
      </c>
      <c r="E254" s="56"/>
      <c r="F254" s="64">
        <v>0</v>
      </c>
      <c r="G254" s="64">
        <v>3</v>
      </c>
      <c r="H254" s="63">
        <f t="shared" si="18"/>
        <v>3</v>
      </c>
      <c r="I254" s="63">
        <f>IF(D254&lt;&gt;"",D254,IFERROR(E254/(IFERROR(SUM(Sales!C:C),0))*(IFERROR(SUM(Purchases!C:C),0)),0))</f>
        <v>1322</v>
      </c>
      <c r="J254" s="63">
        <f t="shared" si="19"/>
        <v>0</v>
      </c>
      <c r="K254" s="63">
        <f t="shared" si="20"/>
        <v>3966</v>
      </c>
      <c r="L254" s="55"/>
      <c r="M254" s="55"/>
      <c r="N254" s="47" t="s">
        <v>678</v>
      </c>
      <c r="O254" s="47" t="s">
        <v>1336</v>
      </c>
      <c r="P254" s="86"/>
      <c r="S254" s="47"/>
      <c r="T254" s="47"/>
    </row>
    <row r="255" spans="1:246" ht="16">
      <c r="A255" s="52" t="s">
        <v>1346</v>
      </c>
      <c r="B255" s="52" t="s">
        <v>1370</v>
      </c>
      <c r="C255" s="52" t="s">
        <v>95</v>
      </c>
      <c r="D255" s="53">
        <v>891</v>
      </c>
      <c r="E255" s="53">
        <v>1380</v>
      </c>
      <c r="F255" s="66">
        <v>1</v>
      </c>
      <c r="G255" s="66">
        <v>4</v>
      </c>
      <c r="H255" s="65">
        <f t="shared" si="18"/>
        <v>5</v>
      </c>
      <c r="I255" s="65">
        <f>IF(D255&lt;&gt;"",D255,IFERROR(E255/(IFERROR(SUM(Sales!C:C),0))*(IFERROR(SUM(Purchases!C:C),0)),0))</f>
        <v>891</v>
      </c>
      <c r="J255" s="65">
        <f t="shared" si="19"/>
        <v>891</v>
      </c>
      <c r="K255" s="65">
        <f t="shared" si="20"/>
        <v>3564</v>
      </c>
      <c r="L255" s="52" t="s">
        <v>1347</v>
      </c>
      <c r="M255" s="52"/>
      <c r="N255" s="47" t="s">
        <v>589</v>
      </c>
      <c r="P255" s="86"/>
      <c r="S255" s="47"/>
      <c r="T255" s="47"/>
    </row>
    <row r="256" spans="1:246" ht="16">
      <c r="A256" s="55" t="s">
        <v>1349</v>
      </c>
      <c r="B256" s="55" t="s">
        <v>1371</v>
      </c>
      <c r="C256" s="55" t="s">
        <v>95</v>
      </c>
      <c r="D256" s="56">
        <v>891</v>
      </c>
      <c r="E256" s="56">
        <v>1380</v>
      </c>
      <c r="F256" s="64">
        <v>1</v>
      </c>
      <c r="G256" s="64">
        <v>2</v>
      </c>
      <c r="H256" s="63">
        <f t="shared" si="18"/>
        <v>3</v>
      </c>
      <c r="I256" s="63">
        <f>IF(D256&lt;&gt;"",D256,IFERROR(E256/(IFERROR(SUM(Sales!C:C),0))*(IFERROR(SUM(Purchases!C:C),0)),0))</f>
        <v>891</v>
      </c>
      <c r="J256" s="63">
        <f t="shared" si="19"/>
        <v>891</v>
      </c>
      <c r="K256" s="63">
        <f t="shared" si="20"/>
        <v>1782</v>
      </c>
      <c r="L256" s="55" t="s">
        <v>1350</v>
      </c>
      <c r="M256" s="55"/>
      <c r="N256" s="47" t="s">
        <v>589</v>
      </c>
      <c r="P256" s="86"/>
      <c r="S256" s="47"/>
      <c r="T256" s="47"/>
    </row>
    <row r="257" spans="1:20" ht="16">
      <c r="A257" s="52" t="s">
        <v>1367</v>
      </c>
      <c r="B257" s="52" t="s">
        <v>1372</v>
      </c>
      <c r="C257" s="52" t="s">
        <v>95</v>
      </c>
      <c r="D257" s="53">
        <v>891</v>
      </c>
      <c r="E257" s="53">
        <v>1380</v>
      </c>
      <c r="F257" s="66">
        <v>0</v>
      </c>
      <c r="G257" s="66">
        <v>1</v>
      </c>
      <c r="H257" s="65">
        <f t="shared" si="18"/>
        <v>1</v>
      </c>
      <c r="I257" s="65">
        <f>IF(D257&lt;&gt;"",D257,IFERROR(E257/(IFERROR(SUM(Sales!C:C),0))*(IFERROR(SUM(Purchases!C:C),0)),0))</f>
        <v>891</v>
      </c>
      <c r="J257" s="65">
        <f t="shared" si="19"/>
        <v>0</v>
      </c>
      <c r="K257" s="65">
        <f t="shared" si="20"/>
        <v>891</v>
      </c>
      <c r="L257" s="52"/>
      <c r="M257" s="52"/>
      <c r="N257" s="47" t="s">
        <v>678</v>
      </c>
      <c r="P257" s="86"/>
      <c r="S257" s="47"/>
      <c r="T257" s="47"/>
    </row>
    <row r="258" spans="1:20" ht="16">
      <c r="A258" s="55" t="s">
        <v>1368</v>
      </c>
      <c r="B258" s="55" t="s">
        <v>1373</v>
      </c>
      <c r="C258" s="55" t="s">
        <v>95</v>
      </c>
      <c r="D258" s="56">
        <v>922</v>
      </c>
      <c r="E258" s="56">
        <v>1380</v>
      </c>
      <c r="F258" s="64">
        <v>0</v>
      </c>
      <c r="G258" s="64">
        <v>1</v>
      </c>
      <c r="H258" s="63">
        <f t="shared" si="18"/>
        <v>1</v>
      </c>
      <c r="I258" s="63">
        <f>IF(D258&lt;&gt;"",D258,IFERROR(E258/(IFERROR(SUM(Sales!C:C),0))*(IFERROR(SUM(Purchases!C:C),0)),0))</f>
        <v>922</v>
      </c>
      <c r="J258" s="63">
        <f t="shared" si="19"/>
        <v>0</v>
      </c>
      <c r="K258" s="63">
        <f t="shared" si="20"/>
        <v>922</v>
      </c>
      <c r="L258" s="55"/>
      <c r="M258" s="55"/>
      <c r="N258" s="47" t="s">
        <v>678</v>
      </c>
      <c r="P258" s="86"/>
      <c r="S258" s="47"/>
      <c r="T258" s="47"/>
    </row>
    <row r="259" spans="1:20" ht="16">
      <c r="A259" s="52" t="s">
        <v>1369</v>
      </c>
      <c r="B259" s="52" t="s">
        <v>1374</v>
      </c>
      <c r="C259" s="52" t="s">
        <v>95</v>
      </c>
      <c r="D259" s="53">
        <v>891</v>
      </c>
      <c r="E259" s="53">
        <v>1380</v>
      </c>
      <c r="F259" s="66">
        <v>0</v>
      </c>
      <c r="G259" s="66">
        <v>1</v>
      </c>
      <c r="H259" s="65">
        <f t="shared" si="18"/>
        <v>1</v>
      </c>
      <c r="I259" s="65">
        <f>IF(D259&lt;&gt;"",D259,IFERROR(E259/(IFERROR(SUM(Sales!C:C),0))*(IFERROR(SUM(Purchases!C:C),0)),0))</f>
        <v>891</v>
      </c>
      <c r="J259" s="65">
        <f t="shared" si="19"/>
        <v>0</v>
      </c>
      <c r="K259" s="65">
        <f t="shared" si="20"/>
        <v>891</v>
      </c>
      <c r="L259" s="52"/>
      <c r="M259" s="52"/>
      <c r="N259" s="47" t="s">
        <v>678</v>
      </c>
      <c r="P259" s="86"/>
      <c r="S259" s="47"/>
      <c r="T259" s="47"/>
    </row>
    <row r="260" spans="1:20" ht="17">
      <c r="A260" s="55" t="s">
        <v>1376</v>
      </c>
      <c r="B260" s="55" t="s">
        <v>1388</v>
      </c>
      <c r="C260" s="55" t="s">
        <v>95</v>
      </c>
      <c r="D260" s="56">
        <v>645</v>
      </c>
      <c r="E260" s="56">
        <v>999</v>
      </c>
      <c r="F260" s="64">
        <v>0</v>
      </c>
      <c r="G260" s="64">
        <v>5</v>
      </c>
      <c r="H260" s="63">
        <f t="shared" si="18"/>
        <v>5</v>
      </c>
      <c r="I260" s="63">
        <f>IF(D260&lt;&gt;"",D260,IFERROR(E260/(IFERROR(SUM(Sales!C:C),0))*(IFERROR(SUM(Purchases!C:C),0)),0))</f>
        <v>645</v>
      </c>
      <c r="J260" s="63">
        <f t="shared" si="19"/>
        <v>0</v>
      </c>
      <c r="K260" s="63">
        <f t="shared" si="20"/>
        <v>3225</v>
      </c>
      <c r="L260" s="55"/>
      <c r="M260" s="55"/>
      <c r="N260" s="47" t="s">
        <v>678</v>
      </c>
      <c r="P260" s="86" t="s">
        <v>1389</v>
      </c>
      <c r="S260" s="47"/>
      <c r="T260" s="47"/>
    </row>
    <row r="261" spans="1:20" ht="17">
      <c r="A261" s="52" t="s">
        <v>1377</v>
      </c>
      <c r="B261" s="52" t="s">
        <v>1390</v>
      </c>
      <c r="C261" s="52" t="s">
        <v>95</v>
      </c>
      <c r="D261" s="53">
        <v>871</v>
      </c>
      <c r="E261" s="53">
        <v>1250</v>
      </c>
      <c r="F261" s="66">
        <v>0</v>
      </c>
      <c r="G261" s="66">
        <v>3</v>
      </c>
      <c r="H261" s="65">
        <f t="shared" si="18"/>
        <v>3</v>
      </c>
      <c r="I261" s="65">
        <f>IF(D261&lt;&gt;"",D261,IFERROR(E261/(IFERROR(SUM(Sales!C:C),0))*(IFERROR(SUM(Purchases!C:C),0)),0))</f>
        <v>871</v>
      </c>
      <c r="J261" s="65">
        <f t="shared" si="19"/>
        <v>0</v>
      </c>
      <c r="K261" s="65">
        <f t="shared" si="20"/>
        <v>2613</v>
      </c>
      <c r="L261" s="52"/>
      <c r="M261" s="52"/>
      <c r="N261" s="47" t="s">
        <v>678</v>
      </c>
      <c r="P261" s="86" t="s">
        <v>1393</v>
      </c>
      <c r="S261" s="47"/>
      <c r="T261" s="47"/>
    </row>
    <row r="262" spans="1:20" ht="17">
      <c r="A262" s="55" t="s">
        <v>1378</v>
      </c>
      <c r="B262" s="55" t="s">
        <v>1384</v>
      </c>
      <c r="C262" s="55" t="s">
        <v>95</v>
      </c>
      <c r="D262" s="56">
        <v>730</v>
      </c>
      <c r="E262" s="56">
        <v>1150</v>
      </c>
      <c r="F262" s="64">
        <v>0</v>
      </c>
      <c r="G262" s="64">
        <v>5</v>
      </c>
      <c r="H262" s="63">
        <f t="shared" ref="H262:H273" si="21">F262+IF(LEN(G262)=0,0,G262)</f>
        <v>5</v>
      </c>
      <c r="I262" s="63">
        <f>IF(D262&lt;&gt;"",D262,IFERROR(E262/(IFERROR(SUM(Sales!C:C),0))*(IFERROR(SUM(Purchases!C:C),0)),0))</f>
        <v>730</v>
      </c>
      <c r="J262" s="63">
        <f t="shared" ref="J262:J273" si="22">F262*I262</f>
        <v>0</v>
      </c>
      <c r="K262" s="63">
        <f t="shared" ref="K262:K273" si="23">IF(LEN(G262)=0,0,G262)*I262</f>
        <v>3650</v>
      </c>
      <c r="L262" s="55"/>
      <c r="M262" s="55"/>
      <c r="N262" s="47" t="s">
        <v>678</v>
      </c>
      <c r="P262" s="86" t="s">
        <v>1385</v>
      </c>
      <c r="S262" s="47"/>
      <c r="T262" s="47"/>
    </row>
    <row r="263" spans="1:20" ht="17">
      <c r="A263" s="52" t="s">
        <v>1379</v>
      </c>
      <c r="B263" s="52" t="s">
        <v>1382</v>
      </c>
      <c r="C263" s="52" t="s">
        <v>95</v>
      </c>
      <c r="D263" s="53">
        <v>1024</v>
      </c>
      <c r="E263" s="53">
        <v>1499</v>
      </c>
      <c r="F263" s="66">
        <v>0</v>
      </c>
      <c r="G263" s="66">
        <v>3</v>
      </c>
      <c r="H263" s="65">
        <f t="shared" si="21"/>
        <v>3</v>
      </c>
      <c r="I263" s="65">
        <f>IF(D263&lt;&gt;"",D263,IFERROR(E263/(IFERROR(SUM(Sales!C:C),0))*(IFERROR(SUM(Purchases!C:C),0)),0))</f>
        <v>1024</v>
      </c>
      <c r="J263" s="65">
        <f t="shared" si="22"/>
        <v>0</v>
      </c>
      <c r="K263" s="65">
        <f t="shared" si="23"/>
        <v>3072</v>
      </c>
      <c r="L263" s="52"/>
      <c r="M263" s="52"/>
      <c r="N263" s="47" t="s">
        <v>678</v>
      </c>
      <c r="P263" s="86" t="s">
        <v>1383</v>
      </c>
      <c r="S263" s="47"/>
      <c r="T263" s="47"/>
    </row>
    <row r="264" spans="1:20" ht="17">
      <c r="A264" s="55" t="s">
        <v>1380</v>
      </c>
      <c r="B264" s="55" t="s">
        <v>1386</v>
      </c>
      <c r="C264" s="55" t="s">
        <v>95</v>
      </c>
      <c r="D264" s="56">
        <v>887</v>
      </c>
      <c r="E264" s="56">
        <v>1380</v>
      </c>
      <c r="F264" s="64">
        <v>0</v>
      </c>
      <c r="G264" s="64">
        <v>1</v>
      </c>
      <c r="H264" s="63">
        <f t="shared" si="21"/>
        <v>1</v>
      </c>
      <c r="I264" s="63">
        <f>IF(D264&lt;&gt;"",D264,IFERROR(E264/(IFERROR(SUM(Sales!C:C),0))*(IFERROR(SUM(Purchases!C:C),0)),0))</f>
        <v>887</v>
      </c>
      <c r="J264" s="63">
        <f t="shared" si="22"/>
        <v>0</v>
      </c>
      <c r="K264" s="63">
        <f t="shared" si="23"/>
        <v>887</v>
      </c>
      <c r="L264" s="55"/>
      <c r="M264" s="55"/>
      <c r="N264" s="47" t="s">
        <v>678</v>
      </c>
      <c r="P264" s="86" t="s">
        <v>1387</v>
      </c>
      <c r="S264" s="47"/>
      <c r="T264" s="47"/>
    </row>
    <row r="265" spans="1:20" ht="34">
      <c r="A265" s="52" t="s">
        <v>1381</v>
      </c>
      <c r="B265" s="52" t="s">
        <v>1391</v>
      </c>
      <c r="C265" s="52" t="s">
        <v>95</v>
      </c>
      <c r="D265" s="53">
        <v>593</v>
      </c>
      <c r="E265" s="53">
        <v>999</v>
      </c>
      <c r="F265" s="66">
        <v>0</v>
      </c>
      <c r="G265" s="66">
        <v>4</v>
      </c>
      <c r="H265" s="65">
        <f t="shared" si="21"/>
        <v>4</v>
      </c>
      <c r="I265" s="65">
        <f>IF(D265&lt;&gt;"",D265,IFERROR(E265/(IFERROR(SUM(Sales!C:C),0))*(IFERROR(SUM(Purchases!C:C),0)),0))</f>
        <v>593</v>
      </c>
      <c r="J265" s="65">
        <f t="shared" si="22"/>
        <v>0</v>
      </c>
      <c r="K265" s="65">
        <f t="shared" si="23"/>
        <v>2372</v>
      </c>
      <c r="L265" s="52"/>
      <c r="M265" s="52"/>
      <c r="N265" s="47" t="s">
        <v>678</v>
      </c>
      <c r="P265" s="86" t="s">
        <v>1392</v>
      </c>
      <c r="S265" s="47"/>
      <c r="T265" s="47"/>
    </row>
    <row r="266" spans="1:20" ht="16">
      <c r="A266" s="55"/>
      <c r="B266" s="55"/>
      <c r="C266" s="55" t="s">
        <v>95</v>
      </c>
      <c r="D266" s="56">
        <v>2001</v>
      </c>
      <c r="E266" s="56">
        <v>2505</v>
      </c>
      <c r="F266" s="64">
        <v>0</v>
      </c>
      <c r="G266" s="64">
        <v>-7</v>
      </c>
      <c r="H266" s="63">
        <f t="shared" si="21"/>
        <v>-7</v>
      </c>
      <c r="I266" s="63">
        <f>IF(D266&lt;&gt;"",D266,IFERROR(E266/(IFERROR(SUM(Sales!C:C),0))*(IFERROR(SUM(Purchases!C:C),0)),0))</f>
        <v>2001</v>
      </c>
      <c r="J266" s="63">
        <f t="shared" si="22"/>
        <v>0</v>
      </c>
      <c r="K266" s="63">
        <f t="shared" si="23"/>
        <v>-14007</v>
      </c>
      <c r="L266" s="55"/>
      <c r="M266" s="55"/>
      <c r="P266" s="86"/>
      <c r="S266" s="47"/>
      <c r="T266" s="47"/>
    </row>
    <row r="267" spans="1:20" ht="16">
      <c r="A267" s="52"/>
      <c r="B267" s="52"/>
      <c r="C267" s="52" t="s">
        <v>95</v>
      </c>
      <c r="D267" s="53">
        <v>2227</v>
      </c>
      <c r="E267" s="53">
        <v>2756</v>
      </c>
      <c r="F267" s="66">
        <v>0</v>
      </c>
      <c r="G267" s="66">
        <v>-9</v>
      </c>
      <c r="H267" s="65">
        <f t="shared" si="21"/>
        <v>-9</v>
      </c>
      <c r="I267" s="65">
        <f>IF(D267&lt;&gt;"",D267,IFERROR(E267/(IFERROR(SUM(Sales!C:C),0))*(IFERROR(SUM(Purchases!C:C),0)),0))</f>
        <v>2227</v>
      </c>
      <c r="J267" s="65">
        <f t="shared" si="22"/>
        <v>0</v>
      </c>
      <c r="K267" s="65">
        <f t="shared" si="23"/>
        <v>-20043</v>
      </c>
      <c r="L267" s="52"/>
      <c r="M267" s="52"/>
      <c r="P267" s="86"/>
      <c r="S267" s="47"/>
      <c r="T267" s="47"/>
    </row>
    <row r="268" spans="1:20" ht="16">
      <c r="A268" s="55"/>
      <c r="B268" s="55"/>
      <c r="C268" s="55" t="s">
        <v>95</v>
      </c>
      <c r="D268" s="56">
        <v>2453</v>
      </c>
      <c r="E268" s="56">
        <v>3007</v>
      </c>
      <c r="F268" s="64">
        <v>0</v>
      </c>
      <c r="G268" s="64">
        <v>-11</v>
      </c>
      <c r="H268" s="63">
        <f t="shared" si="21"/>
        <v>-11</v>
      </c>
      <c r="I268" s="63">
        <f>IF(D268&lt;&gt;"",D268,IFERROR(E268/(IFERROR(SUM(Sales!C:C),0))*(IFERROR(SUM(Purchases!C:C),0)),0))</f>
        <v>2453</v>
      </c>
      <c r="J268" s="63">
        <f t="shared" si="22"/>
        <v>0</v>
      </c>
      <c r="K268" s="63">
        <f t="shared" si="23"/>
        <v>-26983</v>
      </c>
      <c r="L268" s="55"/>
      <c r="M268" s="55"/>
      <c r="P268" s="86"/>
      <c r="S268" s="47"/>
      <c r="T268" s="47"/>
    </row>
    <row r="269" spans="1:20" ht="16">
      <c r="A269" s="52"/>
      <c r="B269" s="52"/>
      <c r="C269" s="52" t="s">
        <v>95</v>
      </c>
      <c r="D269" s="53">
        <v>2679</v>
      </c>
      <c r="E269" s="53">
        <v>3258</v>
      </c>
      <c r="F269" s="66">
        <v>0</v>
      </c>
      <c r="G269" s="66">
        <v>-13</v>
      </c>
      <c r="H269" s="65">
        <f t="shared" si="21"/>
        <v>-13</v>
      </c>
      <c r="I269" s="65">
        <f>IF(D269&lt;&gt;"",D269,IFERROR(E269/(IFERROR(SUM(Sales!C:C),0))*(IFERROR(SUM(Purchases!C:C),0)),0))</f>
        <v>2679</v>
      </c>
      <c r="J269" s="65">
        <f t="shared" si="22"/>
        <v>0</v>
      </c>
      <c r="K269" s="65">
        <f t="shared" si="23"/>
        <v>-34827</v>
      </c>
      <c r="L269" s="52"/>
      <c r="M269" s="52"/>
      <c r="P269" s="86"/>
      <c r="S269" s="47"/>
      <c r="T269" s="47"/>
    </row>
    <row r="270" spans="1:20" ht="16">
      <c r="A270" s="55"/>
      <c r="B270" s="55"/>
      <c r="C270" s="55" t="s">
        <v>95</v>
      </c>
      <c r="D270" s="56">
        <v>2905</v>
      </c>
      <c r="E270" s="56">
        <v>3509</v>
      </c>
      <c r="F270" s="64">
        <v>0</v>
      </c>
      <c r="G270" s="64">
        <v>-15</v>
      </c>
      <c r="H270" s="63">
        <f t="shared" si="21"/>
        <v>-15</v>
      </c>
      <c r="I270" s="63">
        <f>IF(D270&lt;&gt;"",D270,IFERROR(E270/(IFERROR(SUM(Sales!C:C),0))*(IFERROR(SUM(Purchases!C:C),0)),0))</f>
        <v>2905</v>
      </c>
      <c r="J270" s="63">
        <f t="shared" si="22"/>
        <v>0</v>
      </c>
      <c r="K270" s="63">
        <f t="shared" si="23"/>
        <v>-43575</v>
      </c>
      <c r="L270" s="55"/>
      <c r="M270" s="55"/>
      <c r="P270" s="86"/>
      <c r="S270" s="47"/>
      <c r="T270" s="47"/>
    </row>
    <row r="271" spans="1:20" ht="16">
      <c r="A271" s="52"/>
      <c r="B271" s="52"/>
      <c r="C271" s="52" t="s">
        <v>95</v>
      </c>
      <c r="D271" s="53">
        <v>3131</v>
      </c>
      <c r="E271" s="53">
        <v>3760</v>
      </c>
      <c r="F271" s="66">
        <v>0</v>
      </c>
      <c r="G271" s="66">
        <v>-17</v>
      </c>
      <c r="H271" s="65">
        <f t="shared" si="21"/>
        <v>-17</v>
      </c>
      <c r="I271" s="65">
        <f>IF(D271&lt;&gt;"",D271,IFERROR(E271/(IFERROR(SUM(Sales!C:C),0))*(IFERROR(SUM(Purchases!C:C),0)),0))</f>
        <v>3131</v>
      </c>
      <c r="J271" s="65">
        <f t="shared" si="22"/>
        <v>0</v>
      </c>
      <c r="K271" s="65">
        <f t="shared" si="23"/>
        <v>-53227</v>
      </c>
      <c r="L271" s="52"/>
      <c r="M271" s="52"/>
      <c r="P271" s="86"/>
      <c r="S271" s="47"/>
      <c r="T271" s="47"/>
    </row>
    <row r="272" spans="1:20" ht="16">
      <c r="A272" s="55"/>
      <c r="B272" s="55"/>
      <c r="C272" s="55" t="s">
        <v>95</v>
      </c>
      <c r="D272" s="56">
        <v>3357</v>
      </c>
      <c r="E272" s="56">
        <v>4011</v>
      </c>
      <c r="F272" s="64">
        <v>0</v>
      </c>
      <c r="G272" s="64">
        <v>-19</v>
      </c>
      <c r="H272" s="63">
        <f t="shared" si="21"/>
        <v>-19</v>
      </c>
      <c r="I272" s="63">
        <f>IF(D272&lt;&gt;"",D272,IFERROR(E272/(IFERROR(SUM(Sales!C:C),0))*(IFERROR(SUM(Purchases!C:C),0)),0))</f>
        <v>3357</v>
      </c>
      <c r="J272" s="63">
        <f t="shared" si="22"/>
        <v>0</v>
      </c>
      <c r="K272" s="63">
        <f t="shared" si="23"/>
        <v>-63783</v>
      </c>
      <c r="L272" s="55"/>
      <c r="M272" s="55"/>
      <c r="P272" s="86"/>
      <c r="S272" s="47"/>
      <c r="T272" s="47"/>
    </row>
    <row r="273" spans="1:20" ht="16">
      <c r="A273" s="52"/>
      <c r="B273" s="52"/>
      <c r="C273" s="52" t="s">
        <v>95</v>
      </c>
      <c r="D273" s="53">
        <v>3583</v>
      </c>
      <c r="E273" s="53">
        <v>4262</v>
      </c>
      <c r="F273" s="66">
        <v>0</v>
      </c>
      <c r="G273" s="66">
        <v>-21</v>
      </c>
      <c r="H273" s="65">
        <f t="shared" si="21"/>
        <v>-21</v>
      </c>
      <c r="I273" s="65">
        <f>IF(D273&lt;&gt;"",D273,IFERROR(E273/(IFERROR(SUM(Sales!C:C),0))*(IFERROR(SUM(Purchases!C:C),0)),0))</f>
        <v>3583</v>
      </c>
      <c r="J273" s="65">
        <f t="shared" si="22"/>
        <v>0</v>
      </c>
      <c r="K273" s="65">
        <f t="shared" si="23"/>
        <v>-75243</v>
      </c>
      <c r="L273" s="52"/>
      <c r="M273" s="52"/>
      <c r="P273" s="86"/>
      <c r="S273" s="47"/>
      <c r="T273" s="47"/>
    </row>
    <row r="274" spans="1:20" ht="16">
      <c r="A274" s="55"/>
      <c r="B274" s="55"/>
      <c r="C274" s="55"/>
      <c r="D274" s="56"/>
      <c r="E274" s="56"/>
      <c r="F274" s="64"/>
      <c r="G274" s="64"/>
      <c r="H274" s="63"/>
      <c r="I274" s="63"/>
      <c r="J274" s="63"/>
      <c r="K274" s="63"/>
      <c r="L274" s="55"/>
      <c r="M274" s="55"/>
      <c r="P274" s="86"/>
      <c r="S274" s="47"/>
      <c r="T274" s="47"/>
    </row>
    <row r="275" spans="1:20" ht="16">
      <c r="A275" s="52"/>
      <c r="B275" s="52"/>
      <c r="C275" s="52"/>
      <c r="D275" s="53"/>
      <c r="E275" s="53"/>
      <c r="F275" s="66"/>
      <c r="G275" s="66"/>
      <c r="H275" s="65"/>
      <c r="I275" s="65"/>
      <c r="J275" s="65"/>
      <c r="K275" s="65"/>
      <c r="L275" s="52"/>
      <c r="M275" s="52"/>
      <c r="P275" s="86"/>
      <c r="S275" s="47"/>
      <c r="T275" s="47"/>
    </row>
    <row r="276" spans="1:20" ht="16">
      <c r="A276" s="55"/>
      <c r="B276" s="55"/>
      <c r="C276" s="55"/>
      <c r="D276" s="56"/>
      <c r="E276" s="56"/>
      <c r="F276" s="64"/>
      <c r="G276" s="64"/>
      <c r="H276" s="63"/>
      <c r="I276" s="63"/>
      <c r="J276" s="63"/>
      <c r="K276" s="63"/>
      <c r="L276" s="55"/>
      <c r="M276" s="55"/>
      <c r="P276" s="86"/>
      <c r="S276" s="47"/>
      <c r="T276" s="47"/>
    </row>
    <row r="277" spans="1:20" ht="16">
      <c r="A277" s="52"/>
      <c r="B277" s="52"/>
      <c r="C277" s="52"/>
      <c r="D277" s="53"/>
      <c r="E277" s="53"/>
      <c r="F277" s="66"/>
      <c r="G277" s="66"/>
      <c r="H277" s="65"/>
      <c r="I277" s="65"/>
      <c r="J277" s="65"/>
      <c r="K277" s="65"/>
      <c r="L277" s="52"/>
      <c r="M277" s="52"/>
      <c r="P277" s="86"/>
      <c r="S277" s="47"/>
      <c r="T277" s="47"/>
    </row>
    <row r="278" spans="1:20" ht="16">
      <c r="A278" s="55"/>
      <c r="B278" s="55"/>
      <c r="C278" s="55"/>
      <c r="D278" s="56"/>
      <c r="E278" s="56"/>
      <c r="F278" s="64"/>
      <c r="G278" s="64"/>
      <c r="H278" s="63"/>
      <c r="I278" s="63"/>
      <c r="J278" s="63"/>
      <c r="K278" s="63"/>
      <c r="L278" s="55"/>
      <c r="M278" s="55"/>
      <c r="P278" s="86"/>
      <c r="S278" s="47"/>
      <c r="T278" s="47"/>
    </row>
    <row r="279" spans="1:20" ht="16">
      <c r="A279" s="52"/>
      <c r="B279" s="52"/>
      <c r="C279" s="52"/>
      <c r="D279" s="53"/>
      <c r="E279" s="53"/>
      <c r="F279" s="66"/>
      <c r="G279" s="66"/>
      <c r="H279" s="65"/>
      <c r="I279" s="65"/>
      <c r="J279" s="65"/>
      <c r="K279" s="65"/>
      <c r="L279" s="52"/>
      <c r="M279" s="52"/>
      <c r="P279" s="86"/>
      <c r="S279" s="47"/>
      <c r="T279" s="47"/>
    </row>
    <row r="280" spans="1:20" ht="16">
      <c r="A280" s="55"/>
      <c r="B280" s="55"/>
      <c r="C280" s="55"/>
      <c r="D280" s="56"/>
      <c r="E280" s="56"/>
      <c r="F280" s="64"/>
      <c r="G280" s="64"/>
      <c r="H280" s="63"/>
      <c r="I280" s="63"/>
      <c r="J280" s="63"/>
      <c r="K280" s="63"/>
      <c r="L280" s="55"/>
      <c r="M280" s="55"/>
      <c r="P280" s="86"/>
      <c r="S280" s="47"/>
      <c r="T280" s="47"/>
    </row>
    <row r="281" spans="1:20" ht="16">
      <c r="A281" s="52"/>
      <c r="B281" s="52"/>
      <c r="C281" s="52"/>
      <c r="D281" s="53"/>
      <c r="E281" s="53"/>
      <c r="F281" s="66"/>
      <c r="G281" s="66"/>
      <c r="H281" s="65"/>
      <c r="I281" s="65"/>
      <c r="J281" s="65"/>
      <c r="K281" s="65"/>
      <c r="L281" s="52"/>
      <c r="M281" s="52"/>
      <c r="P281" s="86"/>
      <c r="S281" s="47"/>
      <c r="T281" s="47"/>
    </row>
    <row r="282" spans="1:20" ht="16">
      <c r="A282" s="55"/>
      <c r="B282" s="55"/>
      <c r="C282" s="55"/>
      <c r="D282" s="56"/>
      <c r="E282" s="56"/>
      <c r="F282" s="64"/>
      <c r="G282" s="64"/>
      <c r="H282" s="63"/>
      <c r="I282" s="63"/>
      <c r="J282" s="63"/>
      <c r="K282" s="63"/>
      <c r="L282" s="55"/>
      <c r="M282" s="55"/>
      <c r="P282" s="86"/>
      <c r="S282" s="47"/>
      <c r="T282" s="47"/>
    </row>
    <row r="283" spans="1:20" ht="16">
      <c r="A283" s="52"/>
      <c r="B283" s="52"/>
      <c r="C283" s="52"/>
      <c r="D283" s="53"/>
      <c r="E283" s="53"/>
      <c r="F283" s="66"/>
      <c r="G283" s="66"/>
      <c r="H283" s="65"/>
      <c r="I283" s="65"/>
      <c r="J283" s="65"/>
      <c r="K283" s="65"/>
      <c r="L283" s="52"/>
      <c r="M283" s="52"/>
      <c r="P283" s="86"/>
      <c r="S283" s="47"/>
      <c r="T283" s="47"/>
    </row>
    <row r="284" spans="1:20" ht="16">
      <c r="A284" s="55"/>
      <c r="B284" s="55"/>
      <c r="C284" s="55"/>
      <c r="D284" s="56"/>
      <c r="E284" s="56"/>
      <c r="F284" s="64"/>
      <c r="G284" s="64"/>
      <c r="H284" s="63"/>
      <c r="I284" s="63"/>
      <c r="J284" s="63"/>
      <c r="K284" s="63"/>
      <c r="L284" s="55"/>
      <c r="M284" s="55"/>
      <c r="P284" s="86"/>
      <c r="S284" s="47"/>
      <c r="T284" s="47"/>
    </row>
    <row r="285" spans="1:20" ht="16">
      <c r="A285" s="52"/>
      <c r="B285" s="52"/>
      <c r="C285" s="52"/>
      <c r="D285" s="53"/>
      <c r="E285" s="53"/>
      <c r="F285" s="66"/>
      <c r="G285" s="66"/>
      <c r="H285" s="65"/>
      <c r="I285" s="65"/>
      <c r="J285" s="65"/>
      <c r="K285" s="65"/>
      <c r="L285" s="52"/>
      <c r="M285" s="52"/>
      <c r="P285" s="86"/>
      <c r="S285" s="47"/>
      <c r="T285" s="47"/>
    </row>
    <row r="286" spans="1:20" ht="16">
      <c r="A286" s="55"/>
      <c r="B286" s="55"/>
      <c r="C286" s="55"/>
      <c r="D286" s="56"/>
      <c r="E286" s="56"/>
      <c r="F286" s="64"/>
      <c r="G286" s="64"/>
      <c r="H286" s="63"/>
      <c r="I286" s="63"/>
      <c r="J286" s="63"/>
      <c r="K286" s="63"/>
      <c r="L286" s="55"/>
      <c r="M286" s="55"/>
      <c r="P286" s="86"/>
      <c r="S286" s="47"/>
      <c r="T286" s="47"/>
    </row>
    <row r="287" spans="1:20" ht="16">
      <c r="A287" s="52"/>
      <c r="B287" s="52"/>
      <c r="C287" s="52"/>
      <c r="D287" s="53"/>
      <c r="E287" s="53"/>
      <c r="F287" s="66"/>
      <c r="G287" s="66"/>
      <c r="H287" s="65"/>
      <c r="I287" s="65"/>
      <c r="J287" s="65"/>
      <c r="K287" s="65"/>
      <c r="L287" s="52"/>
      <c r="M287" s="52"/>
      <c r="P287" s="86"/>
      <c r="S287" s="47"/>
      <c r="T287" s="47"/>
    </row>
    <row r="288" spans="1:20" ht="16">
      <c r="A288" s="55"/>
      <c r="B288" s="55"/>
      <c r="C288" s="55"/>
      <c r="D288" s="56"/>
      <c r="E288" s="56"/>
      <c r="F288" s="64"/>
      <c r="G288" s="64"/>
      <c r="H288" s="63"/>
      <c r="I288" s="63"/>
      <c r="J288" s="63"/>
      <c r="K288" s="63"/>
      <c r="L288" s="55"/>
      <c r="M288" s="55"/>
      <c r="P288" s="86"/>
      <c r="S288" s="47"/>
      <c r="T288" s="47"/>
    </row>
    <row r="289" spans="1:20" ht="16">
      <c r="A289" s="52"/>
      <c r="B289" s="52"/>
      <c r="C289" s="52"/>
      <c r="D289" s="53"/>
      <c r="E289" s="53"/>
      <c r="F289" s="66"/>
      <c r="G289" s="66"/>
      <c r="H289" s="65"/>
      <c r="I289" s="65"/>
      <c r="J289" s="65"/>
      <c r="K289" s="65"/>
      <c r="L289" s="52"/>
      <c r="M289" s="52"/>
      <c r="P289" s="86"/>
      <c r="S289" s="47"/>
      <c r="T289" s="47"/>
    </row>
    <row r="290" spans="1:20" ht="16">
      <c r="A290" s="55"/>
      <c r="B290" s="55"/>
      <c r="C290" s="55"/>
      <c r="D290" s="56"/>
      <c r="E290" s="56"/>
      <c r="F290" s="64"/>
      <c r="G290" s="64"/>
      <c r="H290" s="63"/>
      <c r="I290" s="63"/>
      <c r="J290" s="63"/>
      <c r="K290" s="63"/>
      <c r="L290" s="55"/>
      <c r="M290" s="55"/>
      <c r="P290" s="86"/>
      <c r="S290" s="47"/>
      <c r="T290" s="47"/>
    </row>
    <row r="291" spans="1:20" ht="16">
      <c r="A291" s="52"/>
      <c r="B291" s="52"/>
      <c r="C291" s="52"/>
      <c r="D291" s="53"/>
      <c r="E291" s="53"/>
      <c r="F291" s="66"/>
      <c r="G291" s="66"/>
      <c r="H291" s="65"/>
      <c r="I291" s="65"/>
      <c r="J291" s="65"/>
      <c r="K291" s="65"/>
      <c r="L291" s="52"/>
      <c r="M291" s="52"/>
      <c r="P291" s="86"/>
      <c r="S291" s="47"/>
      <c r="T291" s="47"/>
    </row>
    <row r="292" spans="1:20" ht="16">
      <c r="A292" s="55"/>
      <c r="B292" s="55"/>
      <c r="C292" s="55"/>
      <c r="D292" s="56"/>
      <c r="E292" s="56"/>
      <c r="F292" s="64"/>
      <c r="G292" s="64"/>
      <c r="H292" s="63"/>
      <c r="I292" s="63"/>
      <c r="J292" s="63"/>
      <c r="K292" s="63"/>
      <c r="L292" s="55"/>
      <c r="M292" s="55"/>
      <c r="P292" s="86"/>
      <c r="S292" s="47"/>
      <c r="T292" s="47"/>
    </row>
    <row r="293" spans="1:20" ht="16">
      <c r="A293" s="52"/>
      <c r="B293" s="52"/>
      <c r="C293" s="52"/>
      <c r="D293" s="53"/>
      <c r="E293" s="53"/>
      <c r="F293" s="66"/>
      <c r="G293" s="66"/>
      <c r="H293" s="65"/>
      <c r="I293" s="65"/>
      <c r="J293" s="65"/>
      <c r="K293" s="65"/>
      <c r="L293" s="52"/>
      <c r="M293" s="52"/>
      <c r="P293" s="86"/>
      <c r="S293" s="47"/>
      <c r="T293" s="47"/>
    </row>
    <row r="294" spans="1:20" ht="16">
      <c r="A294" s="55"/>
      <c r="B294" s="55"/>
      <c r="C294" s="55"/>
      <c r="D294" s="56"/>
      <c r="E294" s="56"/>
      <c r="F294" s="64"/>
      <c r="G294" s="64"/>
      <c r="H294" s="63"/>
      <c r="I294" s="63"/>
      <c r="J294" s="63"/>
      <c r="K294" s="63"/>
      <c r="L294" s="55"/>
      <c r="M294" s="55"/>
      <c r="P294" s="86"/>
      <c r="S294" s="47"/>
      <c r="T294" s="47"/>
    </row>
    <row r="295" spans="1:20" ht="16">
      <c r="A295" s="52"/>
      <c r="B295" s="52"/>
      <c r="C295" s="52"/>
      <c r="D295" s="53"/>
      <c r="E295" s="53"/>
      <c r="F295" s="66"/>
      <c r="G295" s="66"/>
      <c r="H295" s="65"/>
      <c r="I295" s="65"/>
      <c r="J295" s="65"/>
      <c r="K295" s="65"/>
      <c r="L295" s="52"/>
      <c r="M295" s="52"/>
      <c r="P295" s="86"/>
      <c r="S295" s="47"/>
      <c r="T295" s="47"/>
    </row>
    <row r="296" spans="1:20" ht="16">
      <c r="A296" s="55"/>
      <c r="B296" s="55"/>
      <c r="C296" s="55"/>
      <c r="D296" s="56"/>
      <c r="E296" s="56"/>
      <c r="F296" s="64"/>
      <c r="G296" s="64"/>
      <c r="H296" s="63"/>
      <c r="I296" s="63"/>
      <c r="J296" s="63"/>
      <c r="K296" s="63"/>
      <c r="L296" s="55"/>
      <c r="M296" s="55"/>
      <c r="P296" s="86"/>
      <c r="S296" s="47"/>
      <c r="T296" s="47"/>
    </row>
    <row r="297" spans="1:20" ht="16">
      <c r="A297" s="52"/>
      <c r="B297" s="52"/>
      <c r="C297" s="52"/>
      <c r="D297" s="53"/>
      <c r="E297" s="53"/>
      <c r="F297" s="66"/>
      <c r="G297" s="66"/>
      <c r="H297" s="65"/>
      <c r="I297" s="65"/>
      <c r="J297" s="65"/>
      <c r="K297" s="65"/>
      <c r="L297" s="52"/>
      <c r="M297" s="52"/>
      <c r="P297" s="86"/>
      <c r="S297" s="47"/>
      <c r="T297" s="47"/>
    </row>
    <row r="298" spans="1:20" ht="16">
      <c r="A298" s="55"/>
      <c r="B298" s="55"/>
      <c r="C298" s="55"/>
      <c r="D298" s="56"/>
      <c r="E298" s="56"/>
      <c r="F298" s="64"/>
      <c r="G298" s="64"/>
      <c r="H298" s="63"/>
      <c r="I298" s="63"/>
      <c r="J298" s="63"/>
      <c r="K298" s="63"/>
      <c r="L298" s="55"/>
      <c r="M298" s="55"/>
      <c r="P298" s="86"/>
      <c r="S298" s="47"/>
      <c r="T298" s="47"/>
    </row>
    <row r="299" spans="1:20" ht="16">
      <c r="A299" s="52"/>
      <c r="B299" s="52"/>
      <c r="C299" s="52"/>
      <c r="D299" s="53"/>
      <c r="E299" s="53"/>
      <c r="F299" s="66"/>
      <c r="G299" s="66"/>
      <c r="H299" s="65"/>
      <c r="I299" s="65"/>
      <c r="J299" s="65"/>
      <c r="K299" s="65"/>
      <c r="L299" s="52"/>
      <c r="M299" s="52"/>
      <c r="P299" s="86"/>
      <c r="S299" s="47"/>
      <c r="T299" s="47"/>
    </row>
    <row r="300" spans="1:20" ht="16">
      <c r="A300" s="55"/>
      <c r="B300" s="55"/>
      <c r="C300" s="55"/>
      <c r="D300" s="56"/>
      <c r="E300" s="56"/>
      <c r="F300" s="64"/>
      <c r="G300" s="64"/>
      <c r="H300" s="63"/>
      <c r="I300" s="63"/>
      <c r="J300" s="63"/>
      <c r="K300" s="63"/>
      <c r="L300" s="55"/>
      <c r="M300" s="55"/>
      <c r="P300" s="86"/>
      <c r="S300" s="47"/>
      <c r="T300" s="47"/>
    </row>
    <row r="301" spans="1:20" ht="16">
      <c r="A301" s="52"/>
      <c r="B301" s="52"/>
      <c r="C301" s="52"/>
      <c r="D301" s="53"/>
      <c r="E301" s="53"/>
      <c r="F301" s="66"/>
      <c r="G301" s="66"/>
      <c r="H301" s="65"/>
      <c r="I301" s="65"/>
      <c r="J301" s="65"/>
      <c r="K301" s="65"/>
      <c r="L301" s="52"/>
      <c r="M301" s="52"/>
      <c r="P301" s="86"/>
      <c r="S301" s="47"/>
      <c r="T301" s="47"/>
    </row>
    <row r="302" spans="1:20" ht="16">
      <c r="A302" s="55"/>
      <c r="B302" s="55"/>
      <c r="C302" s="55"/>
      <c r="D302" s="56"/>
      <c r="E302" s="56"/>
      <c r="F302" s="64"/>
      <c r="G302" s="64"/>
      <c r="H302" s="63"/>
      <c r="I302" s="63"/>
      <c r="J302" s="63"/>
      <c r="K302" s="63"/>
      <c r="L302" s="55"/>
      <c r="M302" s="55"/>
      <c r="P302" s="86"/>
      <c r="S302" s="47"/>
      <c r="T302" s="47"/>
    </row>
    <row r="303" spans="1:20" ht="16">
      <c r="A303" s="52"/>
      <c r="B303" s="52"/>
      <c r="C303" s="52"/>
      <c r="D303" s="53"/>
      <c r="E303" s="53"/>
      <c r="F303" s="66"/>
      <c r="G303" s="66"/>
      <c r="H303" s="65"/>
      <c r="I303" s="65"/>
      <c r="J303" s="65"/>
      <c r="K303" s="65"/>
      <c r="L303" s="52"/>
      <c r="M303" s="52"/>
      <c r="P303" s="86"/>
      <c r="S303" s="47"/>
      <c r="T303" s="47"/>
    </row>
    <row r="304" spans="1:20" ht="16">
      <c r="A304" s="55"/>
      <c r="B304" s="55"/>
      <c r="C304" s="55"/>
      <c r="D304" s="56"/>
      <c r="E304" s="56"/>
      <c r="F304" s="64"/>
      <c r="G304" s="64"/>
      <c r="H304" s="63"/>
      <c r="I304" s="63"/>
      <c r="J304" s="63"/>
      <c r="K304" s="63"/>
      <c r="L304" s="55"/>
      <c r="M304" s="55"/>
      <c r="P304" s="86"/>
      <c r="S304" s="47"/>
      <c r="T304" s="47"/>
    </row>
    <row r="305" spans="1:20" ht="16">
      <c r="A305" s="52"/>
      <c r="B305" s="52"/>
      <c r="C305" s="52"/>
      <c r="D305" s="53"/>
      <c r="E305" s="53"/>
      <c r="F305" s="66"/>
      <c r="G305" s="66"/>
      <c r="H305" s="65"/>
      <c r="I305" s="65"/>
      <c r="J305" s="65"/>
      <c r="K305" s="65"/>
      <c r="L305" s="52"/>
      <c r="M305" s="52"/>
      <c r="P305" s="86"/>
      <c r="S305" s="47"/>
      <c r="T305" s="47"/>
    </row>
    <row r="306" spans="1:20" ht="16">
      <c r="A306" s="55"/>
      <c r="B306" s="55"/>
      <c r="C306" s="55"/>
      <c r="D306" s="56"/>
      <c r="E306" s="56"/>
      <c r="F306" s="64"/>
      <c r="G306" s="64"/>
      <c r="H306" s="63"/>
      <c r="I306" s="63"/>
      <c r="J306" s="63"/>
      <c r="K306" s="63"/>
      <c r="L306" s="55"/>
      <c r="M306" s="55"/>
      <c r="P306" s="86"/>
      <c r="S306" s="47"/>
      <c r="T306" s="47"/>
    </row>
    <row r="307" spans="1:20" ht="16">
      <c r="A307" s="52"/>
      <c r="B307" s="52"/>
      <c r="C307" s="52"/>
      <c r="D307" s="53"/>
      <c r="E307" s="53"/>
      <c r="F307" s="66"/>
      <c r="G307" s="66"/>
      <c r="H307" s="65"/>
      <c r="I307" s="65"/>
      <c r="J307" s="65"/>
      <c r="K307" s="65"/>
      <c r="L307" s="52"/>
      <c r="M307" s="52"/>
      <c r="P307" s="86"/>
      <c r="S307" s="47"/>
      <c r="T307" s="47"/>
    </row>
    <row r="308" spans="1:20" ht="16">
      <c r="A308" s="55"/>
      <c r="B308" s="55"/>
      <c r="C308" s="55"/>
      <c r="D308" s="56"/>
      <c r="E308" s="56"/>
      <c r="F308" s="64"/>
      <c r="G308" s="64"/>
      <c r="H308" s="63"/>
      <c r="I308" s="63"/>
      <c r="J308" s="63"/>
      <c r="K308" s="63"/>
      <c r="L308" s="55"/>
      <c r="M308" s="55"/>
      <c r="P308" s="86"/>
      <c r="S308" s="47"/>
      <c r="T308" s="47"/>
    </row>
    <row r="309" spans="1:20" ht="16">
      <c r="A309" s="52"/>
      <c r="B309" s="52"/>
      <c r="C309" s="52"/>
      <c r="D309" s="53"/>
      <c r="E309" s="53"/>
      <c r="F309" s="66"/>
      <c r="G309" s="66"/>
      <c r="H309" s="65"/>
      <c r="I309" s="65"/>
      <c r="J309" s="65"/>
      <c r="K309" s="65"/>
      <c r="L309" s="52"/>
      <c r="M309" s="52"/>
      <c r="P309" s="86"/>
      <c r="S309" s="47"/>
      <c r="T309" s="47"/>
    </row>
    <row r="310" spans="1:20" ht="16">
      <c r="A310" s="55"/>
      <c r="B310" s="55"/>
      <c r="C310" s="55"/>
      <c r="D310" s="56"/>
      <c r="E310" s="56"/>
      <c r="F310" s="64"/>
      <c r="G310" s="64"/>
      <c r="H310" s="63"/>
      <c r="I310" s="63"/>
      <c r="J310" s="63"/>
      <c r="K310" s="63"/>
      <c r="L310" s="55"/>
      <c r="M310" s="55"/>
      <c r="P310" s="86"/>
      <c r="S310" s="47"/>
      <c r="T310" s="47"/>
    </row>
    <row r="311" spans="1:20" ht="16">
      <c r="A311" s="52"/>
      <c r="B311" s="52"/>
      <c r="C311" s="52"/>
      <c r="D311" s="53"/>
      <c r="E311" s="53"/>
      <c r="F311" s="66"/>
      <c r="G311" s="66"/>
      <c r="H311" s="65"/>
      <c r="I311" s="65"/>
      <c r="J311" s="65"/>
      <c r="K311" s="65"/>
      <c r="L311" s="52"/>
      <c r="M311" s="52"/>
      <c r="P311" s="86"/>
      <c r="S311" s="47"/>
      <c r="T311" s="47"/>
    </row>
    <row r="312" spans="1:20" ht="16">
      <c r="A312" s="55"/>
      <c r="B312" s="55"/>
      <c r="C312" s="55"/>
      <c r="D312" s="56"/>
      <c r="E312" s="56"/>
      <c r="F312" s="64"/>
      <c r="G312" s="64"/>
      <c r="H312" s="63"/>
      <c r="I312" s="63"/>
      <c r="J312" s="63"/>
      <c r="K312" s="63"/>
      <c r="L312" s="55"/>
      <c r="M312" s="55"/>
      <c r="P312" s="86"/>
      <c r="S312" s="47"/>
      <c r="T312" s="47"/>
    </row>
    <row r="313" spans="1:20" ht="16">
      <c r="A313" s="52"/>
      <c r="B313" s="52"/>
      <c r="C313" s="52"/>
      <c r="D313" s="53"/>
      <c r="E313" s="53"/>
      <c r="F313" s="66"/>
      <c r="G313" s="66"/>
      <c r="H313" s="65"/>
      <c r="I313" s="65"/>
      <c r="J313" s="65"/>
      <c r="K313" s="65"/>
      <c r="L313" s="52"/>
      <c r="M313" s="52"/>
      <c r="P313" s="86"/>
      <c r="S313" s="47"/>
      <c r="T313" s="47"/>
    </row>
    <row r="314" spans="1:20" ht="16">
      <c r="A314" s="55"/>
      <c r="B314" s="55"/>
      <c r="C314" s="55"/>
      <c r="D314" s="56"/>
      <c r="E314" s="56"/>
      <c r="F314" s="64"/>
      <c r="G314" s="64"/>
      <c r="H314" s="63"/>
      <c r="I314" s="63"/>
      <c r="J314" s="63"/>
      <c r="K314" s="63"/>
      <c r="L314" s="55"/>
      <c r="M314" s="55"/>
      <c r="P314" s="86"/>
      <c r="S314" s="47"/>
      <c r="T314" s="47"/>
    </row>
    <row r="315" spans="1:20" ht="16">
      <c r="A315" s="52"/>
      <c r="B315" s="52"/>
      <c r="C315" s="52"/>
      <c r="D315" s="53"/>
      <c r="E315" s="53"/>
      <c r="F315" s="66"/>
      <c r="G315" s="66"/>
      <c r="H315" s="65"/>
      <c r="I315" s="65"/>
      <c r="J315" s="65"/>
      <c r="K315" s="65"/>
      <c r="L315" s="52"/>
      <c r="M315" s="52"/>
      <c r="P315" s="86"/>
      <c r="S315" s="47"/>
      <c r="T315" s="47"/>
    </row>
    <row r="316" spans="1:20" ht="16">
      <c r="A316" s="55"/>
      <c r="B316" s="55"/>
      <c r="C316" s="55"/>
      <c r="D316" s="56"/>
      <c r="E316" s="56"/>
      <c r="F316" s="64"/>
      <c r="G316" s="64"/>
      <c r="H316" s="63"/>
      <c r="I316" s="63"/>
      <c r="J316" s="63"/>
      <c r="K316" s="63"/>
      <c r="L316" s="55"/>
      <c r="M316" s="55"/>
      <c r="P316" s="86"/>
      <c r="S316" s="47"/>
      <c r="T316" s="47"/>
    </row>
    <row r="317" spans="1:20" ht="16">
      <c r="A317" s="52"/>
      <c r="B317" s="52"/>
      <c r="C317" s="52"/>
      <c r="D317" s="53"/>
      <c r="E317" s="53"/>
      <c r="F317" s="66"/>
      <c r="G317" s="66"/>
      <c r="H317" s="65"/>
      <c r="I317" s="65"/>
      <c r="J317" s="65"/>
      <c r="K317" s="65"/>
      <c r="L317" s="52"/>
      <c r="M317" s="52"/>
      <c r="P317" s="86"/>
      <c r="S317" s="47"/>
      <c r="T317" s="47"/>
    </row>
    <row r="318" spans="1:20" ht="16">
      <c r="A318" s="55"/>
      <c r="B318" s="55"/>
      <c r="C318" s="55"/>
      <c r="D318" s="56"/>
      <c r="E318" s="56"/>
      <c r="F318" s="64"/>
      <c r="G318" s="64"/>
      <c r="H318" s="63"/>
      <c r="I318" s="63"/>
      <c r="J318" s="63"/>
      <c r="K318" s="63"/>
      <c r="L318" s="55"/>
      <c r="M318" s="55"/>
      <c r="P318" s="86"/>
      <c r="S318" s="47"/>
      <c r="T318" s="47"/>
    </row>
    <row r="319" spans="1:20" ht="16">
      <c r="A319" s="52"/>
      <c r="B319" s="52"/>
      <c r="C319" s="52"/>
      <c r="D319" s="53"/>
      <c r="E319" s="53"/>
      <c r="F319" s="66"/>
      <c r="G319" s="66"/>
      <c r="H319" s="65"/>
      <c r="I319" s="65"/>
      <c r="J319" s="65"/>
      <c r="K319" s="65"/>
      <c r="L319" s="52"/>
      <c r="M319" s="52"/>
      <c r="P319" s="86"/>
      <c r="S319" s="47"/>
      <c r="T319" s="47"/>
    </row>
    <row r="320" spans="1:20" ht="16">
      <c r="A320" s="55"/>
      <c r="B320" s="55"/>
      <c r="C320" s="55"/>
      <c r="D320" s="56"/>
      <c r="E320" s="56"/>
      <c r="F320" s="64"/>
      <c r="G320" s="64"/>
      <c r="H320" s="63"/>
      <c r="I320" s="63"/>
      <c r="J320" s="63"/>
      <c r="K320" s="63"/>
      <c r="L320" s="55"/>
      <c r="M320" s="55"/>
      <c r="P320" s="86"/>
      <c r="S320" s="47"/>
      <c r="T320" s="47"/>
    </row>
    <row r="321" spans="1:20" ht="16">
      <c r="A321" s="52"/>
      <c r="B321" s="52"/>
      <c r="C321" s="52"/>
      <c r="D321" s="53"/>
      <c r="E321" s="53"/>
      <c r="F321" s="66"/>
      <c r="G321" s="66"/>
      <c r="H321" s="65"/>
      <c r="I321" s="65"/>
      <c r="J321" s="65"/>
      <c r="K321" s="65"/>
      <c r="L321" s="52"/>
      <c r="M321" s="52"/>
      <c r="P321" s="86"/>
      <c r="S321" s="47"/>
      <c r="T321" s="47"/>
    </row>
    <row r="322" spans="1:20" ht="16">
      <c r="A322" s="55"/>
      <c r="B322" s="55"/>
      <c r="C322" s="55"/>
      <c r="D322" s="56"/>
      <c r="E322" s="56"/>
      <c r="F322" s="64"/>
      <c r="G322" s="64"/>
      <c r="H322" s="63"/>
      <c r="I322" s="63"/>
      <c r="J322" s="63"/>
      <c r="K322" s="63"/>
      <c r="L322" s="55"/>
      <c r="M322" s="55"/>
      <c r="P322" s="86"/>
      <c r="S322" s="47"/>
      <c r="T322" s="47"/>
    </row>
    <row r="323" spans="1:20" ht="16">
      <c r="A323" s="52"/>
      <c r="B323" s="52"/>
      <c r="C323" s="52"/>
      <c r="D323" s="53"/>
      <c r="E323" s="53"/>
      <c r="F323" s="66"/>
      <c r="G323" s="66"/>
      <c r="H323" s="65"/>
      <c r="I323" s="65"/>
      <c r="J323" s="65"/>
      <c r="K323" s="65"/>
      <c r="L323" s="52"/>
      <c r="M323" s="52"/>
      <c r="P323" s="86"/>
      <c r="S323" s="47"/>
      <c r="T323" s="47"/>
    </row>
    <row r="324" spans="1:20" ht="16">
      <c r="A324" s="55"/>
      <c r="B324" s="55"/>
      <c r="C324" s="55"/>
      <c r="D324" s="56"/>
      <c r="E324" s="56"/>
      <c r="F324" s="64"/>
      <c r="G324" s="64"/>
      <c r="H324" s="63"/>
      <c r="I324" s="63"/>
      <c r="J324" s="63"/>
      <c r="K324" s="63"/>
      <c r="L324" s="55"/>
      <c r="M324" s="55"/>
      <c r="P324" s="86"/>
      <c r="S324" s="47"/>
      <c r="T324" s="47"/>
    </row>
    <row r="325" spans="1:20" ht="16">
      <c r="A325" s="52"/>
      <c r="B325" s="52"/>
      <c r="C325" s="52"/>
      <c r="D325" s="53"/>
      <c r="E325" s="53"/>
      <c r="F325" s="66"/>
      <c r="G325" s="66"/>
      <c r="H325" s="65"/>
      <c r="I325" s="65"/>
      <c r="J325" s="65"/>
      <c r="K325" s="65"/>
      <c r="L325" s="52"/>
      <c r="M325" s="52"/>
      <c r="P325" s="86"/>
      <c r="S325" s="47"/>
      <c r="T325" s="47"/>
    </row>
    <row r="326" spans="1:20" ht="16">
      <c r="A326" s="55"/>
      <c r="B326" s="55"/>
      <c r="C326" s="55"/>
      <c r="D326" s="56"/>
      <c r="E326" s="56"/>
      <c r="F326" s="64"/>
      <c r="G326" s="64"/>
      <c r="H326" s="63"/>
      <c r="I326" s="63"/>
      <c r="J326" s="63"/>
      <c r="K326" s="63"/>
      <c r="L326" s="55"/>
      <c r="M326" s="55"/>
      <c r="P326" s="86"/>
      <c r="S326" s="47"/>
      <c r="T326" s="47"/>
    </row>
    <row r="327" spans="1:20" ht="16">
      <c r="A327" s="52"/>
      <c r="B327" s="52"/>
      <c r="C327" s="52"/>
      <c r="D327" s="53"/>
      <c r="E327" s="53"/>
      <c r="F327" s="66"/>
      <c r="G327" s="66"/>
      <c r="H327" s="65"/>
      <c r="I327" s="65"/>
      <c r="J327" s="65"/>
      <c r="K327" s="65"/>
      <c r="L327" s="52"/>
      <c r="M327" s="52"/>
      <c r="P327" s="86"/>
      <c r="S327" s="47"/>
      <c r="T327" s="47"/>
    </row>
    <row r="328" spans="1:20" ht="16">
      <c r="A328" s="55"/>
      <c r="B328" s="55"/>
      <c r="C328" s="55"/>
      <c r="D328" s="56"/>
      <c r="E328" s="56"/>
      <c r="F328" s="64"/>
      <c r="G328" s="64"/>
      <c r="H328" s="63"/>
      <c r="I328" s="63"/>
      <c r="J328" s="63"/>
      <c r="K328" s="63"/>
      <c r="L328" s="55"/>
      <c r="M328" s="55"/>
      <c r="P328" s="86"/>
      <c r="S328" s="47"/>
      <c r="T328" s="47"/>
    </row>
    <row r="329" spans="1:20" ht="16">
      <c r="A329" s="52"/>
      <c r="B329" s="52"/>
      <c r="C329" s="52"/>
      <c r="D329" s="53"/>
      <c r="E329" s="53"/>
      <c r="F329" s="66"/>
      <c r="G329" s="66"/>
      <c r="H329" s="65"/>
      <c r="I329" s="65"/>
      <c r="J329" s="65"/>
      <c r="K329" s="65"/>
      <c r="L329" s="52"/>
      <c r="M329" s="52"/>
      <c r="P329" s="86"/>
      <c r="S329" s="47"/>
      <c r="T329" s="47"/>
    </row>
    <row r="330" spans="1:20" ht="16">
      <c r="A330" s="55"/>
      <c r="B330" s="55"/>
      <c r="C330" s="55"/>
      <c r="D330" s="56"/>
      <c r="E330" s="56"/>
      <c r="F330" s="64"/>
      <c r="G330" s="64"/>
      <c r="H330" s="63"/>
      <c r="I330" s="63"/>
      <c r="J330" s="63"/>
      <c r="K330" s="63"/>
      <c r="L330" s="55"/>
      <c r="M330" s="55"/>
      <c r="P330" s="86"/>
      <c r="S330" s="47"/>
      <c r="T330" s="47"/>
    </row>
    <row r="331" spans="1:20" ht="16">
      <c r="A331" s="52"/>
      <c r="B331" s="52"/>
      <c r="C331" s="52"/>
      <c r="D331" s="53"/>
      <c r="E331" s="53"/>
      <c r="F331" s="66"/>
      <c r="G331" s="66"/>
      <c r="H331" s="65"/>
      <c r="I331" s="65"/>
      <c r="J331" s="65"/>
      <c r="K331" s="65"/>
      <c r="L331" s="52"/>
      <c r="M331" s="52"/>
      <c r="P331" s="86"/>
      <c r="S331" s="47"/>
      <c r="T331" s="47"/>
    </row>
    <row r="332" spans="1:20" ht="16">
      <c r="A332" s="55"/>
      <c r="B332" s="55"/>
      <c r="C332" s="55"/>
      <c r="D332" s="56"/>
      <c r="E332" s="56"/>
      <c r="F332" s="64"/>
      <c r="G332" s="64"/>
      <c r="H332" s="63"/>
      <c r="I332" s="63"/>
      <c r="J332" s="63"/>
      <c r="K332" s="63"/>
      <c r="L332" s="55"/>
      <c r="M332" s="55"/>
      <c r="P332" s="86"/>
      <c r="S332" s="47"/>
      <c r="T332" s="47"/>
    </row>
    <row r="333" spans="1:20" ht="16">
      <c r="A333" s="52"/>
      <c r="B333" s="52"/>
      <c r="C333" s="52"/>
      <c r="D333" s="53"/>
      <c r="E333" s="53"/>
      <c r="F333" s="66"/>
      <c r="G333" s="66"/>
      <c r="H333" s="65"/>
      <c r="I333" s="65"/>
      <c r="J333" s="65"/>
      <c r="K333" s="65"/>
      <c r="L333" s="52"/>
      <c r="M333" s="52"/>
      <c r="P333" s="86"/>
      <c r="S333" s="47"/>
      <c r="T333" s="47"/>
    </row>
    <row r="334" spans="1:20" ht="16">
      <c r="A334" s="55"/>
      <c r="B334" s="55"/>
      <c r="C334" s="55"/>
      <c r="D334" s="56"/>
      <c r="E334" s="56"/>
      <c r="F334" s="64"/>
      <c r="G334" s="64"/>
      <c r="H334" s="63"/>
      <c r="I334" s="63"/>
      <c r="J334" s="63"/>
      <c r="K334" s="63"/>
      <c r="L334" s="55"/>
      <c r="M334" s="55"/>
      <c r="P334" s="86"/>
      <c r="S334" s="47"/>
      <c r="T334" s="47"/>
    </row>
    <row r="335" spans="1:20" ht="16">
      <c r="A335" s="52"/>
      <c r="B335" s="52"/>
      <c r="C335" s="52"/>
      <c r="D335" s="53"/>
      <c r="E335" s="53"/>
      <c r="F335" s="66"/>
      <c r="G335" s="66"/>
      <c r="H335" s="65"/>
      <c r="I335" s="65"/>
      <c r="J335" s="65"/>
      <c r="K335" s="65"/>
      <c r="L335" s="52"/>
      <c r="M335" s="52"/>
      <c r="P335" s="86"/>
      <c r="S335" s="47"/>
      <c r="T335" s="47"/>
    </row>
    <row r="336" spans="1:20" ht="16">
      <c r="A336" s="55"/>
      <c r="B336" s="55"/>
      <c r="C336" s="55"/>
      <c r="D336" s="56"/>
      <c r="E336" s="56"/>
      <c r="F336" s="64"/>
      <c r="G336" s="64"/>
      <c r="H336" s="63"/>
      <c r="I336" s="63"/>
      <c r="J336" s="63"/>
      <c r="K336" s="63"/>
      <c r="L336" s="55"/>
      <c r="M336" s="55"/>
      <c r="P336" s="86"/>
      <c r="S336" s="47"/>
      <c r="T336" s="47"/>
    </row>
    <row r="337" spans="1:20" ht="16">
      <c r="A337" s="52"/>
      <c r="B337" s="52"/>
      <c r="C337" s="52"/>
      <c r="D337" s="53"/>
      <c r="E337" s="53"/>
      <c r="F337" s="66"/>
      <c r="G337" s="66"/>
      <c r="H337" s="65"/>
      <c r="I337" s="65"/>
      <c r="J337" s="65"/>
      <c r="K337" s="65"/>
      <c r="L337" s="52"/>
      <c r="M337" s="52"/>
      <c r="P337" s="86"/>
      <c r="S337" s="47"/>
      <c r="T337" s="47"/>
    </row>
    <row r="338" spans="1:20" ht="16">
      <c r="A338" s="55"/>
      <c r="B338" s="55"/>
      <c r="C338" s="55"/>
      <c r="D338" s="56"/>
      <c r="E338" s="56"/>
      <c r="F338" s="64"/>
      <c r="G338" s="64"/>
      <c r="H338" s="63"/>
      <c r="I338" s="63"/>
      <c r="J338" s="63"/>
      <c r="K338" s="63"/>
      <c r="L338" s="55"/>
      <c r="M338" s="55"/>
      <c r="P338" s="86"/>
      <c r="S338" s="47"/>
      <c r="T338" s="47"/>
    </row>
    <row r="339" spans="1:20" ht="16">
      <c r="A339" s="52"/>
      <c r="B339" s="52"/>
      <c r="C339" s="52"/>
      <c r="D339" s="53"/>
      <c r="E339" s="53"/>
      <c r="F339" s="66"/>
      <c r="G339" s="66"/>
      <c r="H339" s="65"/>
      <c r="I339" s="65"/>
      <c r="J339" s="65"/>
      <c r="K339" s="65"/>
      <c r="L339" s="52"/>
      <c r="M339" s="52"/>
      <c r="P339" s="86"/>
      <c r="S339" s="47"/>
      <c r="T339" s="47"/>
    </row>
    <row r="340" spans="1:20" ht="16">
      <c r="A340" s="55"/>
      <c r="B340" s="55"/>
      <c r="C340" s="55"/>
      <c r="D340" s="56"/>
      <c r="E340" s="56"/>
      <c r="F340" s="64"/>
      <c r="G340" s="64"/>
      <c r="H340" s="63"/>
      <c r="I340" s="63"/>
      <c r="J340" s="63"/>
      <c r="K340" s="63"/>
      <c r="L340" s="55"/>
      <c r="M340" s="55"/>
      <c r="P340" s="86"/>
      <c r="S340" s="47"/>
      <c r="T340" s="47"/>
    </row>
    <row r="341" spans="1:20" ht="16">
      <c r="A341" s="52"/>
      <c r="B341" s="52"/>
      <c r="C341" s="52"/>
      <c r="D341" s="53"/>
      <c r="E341" s="53"/>
      <c r="F341" s="66"/>
      <c r="G341" s="66"/>
      <c r="H341" s="65"/>
      <c r="I341" s="65"/>
      <c r="J341" s="65"/>
      <c r="K341" s="65"/>
      <c r="L341" s="52"/>
      <c r="M341" s="52"/>
      <c r="P341" s="86"/>
      <c r="S341" s="47"/>
      <c r="T341" s="47"/>
    </row>
    <row r="342" spans="1:20" ht="16">
      <c r="A342" s="55"/>
      <c r="B342" s="55"/>
      <c r="C342" s="55"/>
      <c r="D342" s="56"/>
      <c r="E342" s="56"/>
      <c r="F342" s="64"/>
      <c r="G342" s="64"/>
      <c r="H342" s="63"/>
      <c r="I342" s="63"/>
      <c r="J342" s="63"/>
      <c r="K342" s="63"/>
      <c r="L342" s="55"/>
      <c r="M342" s="55"/>
      <c r="P342" s="86"/>
      <c r="S342" s="47"/>
      <c r="T342" s="47"/>
    </row>
    <row r="343" spans="1:20" ht="16">
      <c r="A343" s="52"/>
      <c r="B343" s="52"/>
      <c r="C343" s="52"/>
      <c r="D343" s="53"/>
      <c r="E343" s="53"/>
      <c r="F343" s="66"/>
      <c r="G343" s="66"/>
      <c r="H343" s="65"/>
      <c r="I343" s="65"/>
      <c r="J343" s="65"/>
      <c r="K343" s="65"/>
      <c r="L343" s="52"/>
      <c r="M343" s="52"/>
      <c r="P343" s="86"/>
      <c r="S343" s="47"/>
      <c r="T343" s="47"/>
    </row>
    <row r="344" spans="1:20" ht="16">
      <c r="A344" s="55"/>
      <c r="B344" s="55"/>
      <c r="C344" s="55"/>
      <c r="D344" s="56"/>
      <c r="E344" s="56"/>
      <c r="F344" s="64"/>
      <c r="G344" s="64"/>
      <c r="H344" s="63"/>
      <c r="I344" s="63"/>
      <c r="J344" s="63"/>
      <c r="K344" s="63"/>
      <c r="L344" s="55"/>
      <c r="M344" s="55"/>
      <c r="P344" s="86"/>
      <c r="S344" s="47"/>
      <c r="T344" s="47"/>
    </row>
    <row r="345" spans="1:20" ht="16">
      <c r="A345" s="52"/>
      <c r="B345" s="52"/>
      <c r="C345" s="52"/>
      <c r="D345" s="53"/>
      <c r="E345" s="53"/>
      <c r="F345" s="66"/>
      <c r="G345" s="66"/>
      <c r="H345" s="65"/>
      <c r="I345" s="65"/>
      <c r="J345" s="65"/>
      <c r="K345" s="65"/>
      <c r="L345" s="52"/>
      <c r="M345" s="52"/>
      <c r="P345" s="86"/>
      <c r="S345" s="47"/>
      <c r="T345" s="47"/>
    </row>
    <row r="346" spans="1:20" ht="16">
      <c r="A346" s="55"/>
      <c r="B346" s="55"/>
      <c r="C346" s="55"/>
      <c r="D346" s="56"/>
      <c r="E346" s="56"/>
      <c r="F346" s="64"/>
      <c r="G346" s="64"/>
      <c r="H346" s="63"/>
      <c r="I346" s="63"/>
      <c r="J346" s="63"/>
      <c r="K346" s="63"/>
      <c r="L346" s="55"/>
      <c r="M346" s="55"/>
      <c r="P346" s="86"/>
      <c r="S346" s="47"/>
      <c r="T346" s="47"/>
    </row>
    <row r="347" spans="1:20" ht="16">
      <c r="A347" s="52"/>
      <c r="B347" s="52"/>
      <c r="C347" s="52"/>
      <c r="D347" s="53"/>
      <c r="E347" s="53"/>
      <c r="F347" s="66"/>
      <c r="G347" s="66"/>
      <c r="H347" s="65"/>
      <c r="I347" s="65"/>
      <c r="J347" s="65"/>
      <c r="K347" s="65"/>
      <c r="L347" s="52"/>
      <c r="M347" s="52"/>
      <c r="P347" s="86"/>
      <c r="S347" s="47"/>
      <c r="T347" s="47"/>
    </row>
    <row r="348" spans="1:20" ht="16">
      <c r="A348" s="55"/>
      <c r="B348" s="55"/>
      <c r="C348" s="55"/>
      <c r="D348" s="56"/>
      <c r="E348" s="56"/>
      <c r="F348" s="64"/>
      <c r="G348" s="64"/>
      <c r="H348" s="63"/>
      <c r="I348" s="63"/>
      <c r="J348" s="63"/>
      <c r="K348" s="63"/>
      <c r="L348" s="55"/>
      <c r="M348" s="55"/>
      <c r="P348" s="86"/>
      <c r="S348" s="47"/>
      <c r="T348" s="47"/>
    </row>
    <row r="349" spans="1:20" ht="16">
      <c r="A349" s="52"/>
      <c r="B349" s="52"/>
      <c r="C349" s="52"/>
      <c r="D349" s="53"/>
      <c r="E349" s="53"/>
      <c r="F349" s="66"/>
      <c r="G349" s="66"/>
      <c r="H349" s="65"/>
      <c r="I349" s="65"/>
      <c r="J349" s="65"/>
      <c r="K349" s="65"/>
      <c r="L349" s="52"/>
      <c r="M349" s="52"/>
      <c r="P349" s="86"/>
      <c r="S349" s="47"/>
      <c r="T349" s="47"/>
    </row>
    <row r="350" spans="1:20" ht="16">
      <c r="A350" s="55"/>
      <c r="B350" s="55"/>
      <c r="C350" s="55"/>
      <c r="D350" s="56"/>
      <c r="E350" s="56"/>
      <c r="F350" s="64"/>
      <c r="G350" s="64"/>
      <c r="H350" s="63"/>
      <c r="I350" s="63"/>
      <c r="J350" s="63"/>
      <c r="K350" s="63"/>
      <c r="L350" s="55"/>
      <c r="M350" s="55"/>
      <c r="P350" s="86"/>
      <c r="S350" s="47"/>
      <c r="T350" s="47"/>
    </row>
    <row r="351" spans="1:20" ht="16">
      <c r="A351" s="52"/>
      <c r="B351" s="52"/>
      <c r="C351" s="52"/>
      <c r="D351" s="53"/>
      <c r="E351" s="53"/>
      <c r="F351" s="66"/>
      <c r="G351" s="66"/>
      <c r="H351" s="65"/>
      <c r="I351" s="65"/>
      <c r="J351" s="65"/>
      <c r="K351" s="65"/>
      <c r="L351" s="52"/>
      <c r="M351" s="52"/>
      <c r="P351" s="86"/>
      <c r="S351" s="47"/>
      <c r="T351" s="47"/>
    </row>
    <row r="352" spans="1:20" ht="16">
      <c r="A352" s="55"/>
      <c r="B352" s="55"/>
      <c r="C352" s="55"/>
      <c r="D352" s="56"/>
      <c r="E352" s="56"/>
      <c r="F352" s="64"/>
      <c r="G352" s="64"/>
      <c r="H352" s="63"/>
      <c r="I352" s="63"/>
      <c r="J352" s="63"/>
      <c r="K352" s="63"/>
      <c r="L352" s="55"/>
      <c r="M352" s="55"/>
      <c r="P352" s="86"/>
      <c r="S352" s="47"/>
      <c r="T352" s="47"/>
    </row>
    <row r="353" spans="1:20" ht="16">
      <c r="A353" s="52"/>
      <c r="B353" s="52"/>
      <c r="C353" s="52"/>
      <c r="D353" s="53"/>
      <c r="E353" s="53"/>
      <c r="F353" s="66"/>
      <c r="G353" s="66"/>
      <c r="H353" s="65"/>
      <c r="I353" s="65"/>
      <c r="J353" s="65"/>
      <c r="K353" s="65"/>
      <c r="L353" s="52"/>
      <c r="M353" s="52"/>
      <c r="P353" s="86"/>
      <c r="S353" s="47"/>
      <c r="T353" s="47"/>
    </row>
    <row r="354" spans="1:20" ht="16">
      <c r="A354" s="55"/>
      <c r="B354" s="55"/>
      <c r="C354" s="55"/>
      <c r="D354" s="56"/>
      <c r="E354" s="56"/>
      <c r="F354" s="64"/>
      <c r="G354" s="64"/>
      <c r="H354" s="63"/>
      <c r="I354" s="63"/>
      <c r="J354" s="63"/>
      <c r="K354" s="63"/>
      <c r="L354" s="55"/>
      <c r="M354" s="55"/>
      <c r="P354" s="86"/>
      <c r="S354" s="47"/>
      <c r="T354" s="47"/>
    </row>
    <row r="355" spans="1:20" ht="16">
      <c r="A355" s="52"/>
      <c r="B355" s="52"/>
      <c r="C355" s="52"/>
      <c r="D355" s="53"/>
      <c r="E355" s="53"/>
      <c r="F355" s="66"/>
      <c r="G355" s="66"/>
      <c r="H355" s="65"/>
      <c r="I355" s="65"/>
      <c r="J355" s="65"/>
      <c r="K355" s="65"/>
      <c r="L355" s="52"/>
      <c r="M355" s="52"/>
      <c r="P355" s="86"/>
      <c r="S355" s="47"/>
      <c r="T355" s="47"/>
    </row>
    <row r="356" spans="1:20" ht="16">
      <c r="A356" s="55"/>
      <c r="B356" s="55"/>
      <c r="C356" s="55"/>
      <c r="D356" s="56"/>
      <c r="E356" s="56"/>
      <c r="F356" s="64"/>
      <c r="G356" s="64"/>
      <c r="H356" s="63"/>
      <c r="I356" s="63"/>
      <c r="J356" s="63"/>
      <c r="K356" s="63"/>
      <c r="L356" s="55"/>
      <c r="M356" s="55"/>
      <c r="P356" s="86"/>
      <c r="S356" s="47"/>
      <c r="T356" s="47"/>
    </row>
    <row r="357" spans="1:20" ht="16">
      <c r="A357" s="52"/>
      <c r="B357" s="52"/>
      <c r="C357" s="52"/>
      <c r="D357" s="53"/>
      <c r="E357" s="53"/>
      <c r="F357" s="66"/>
      <c r="G357" s="66"/>
      <c r="H357" s="65"/>
      <c r="I357" s="65"/>
      <c r="J357" s="65"/>
      <c r="K357" s="65"/>
      <c r="L357" s="52"/>
      <c r="M357" s="52"/>
      <c r="P357" s="86"/>
      <c r="S357" s="47"/>
      <c r="T357" s="47"/>
    </row>
    <row r="358" spans="1:20" ht="16">
      <c r="A358" s="55"/>
      <c r="B358" s="55"/>
      <c r="C358" s="55"/>
      <c r="D358" s="56"/>
      <c r="E358" s="56"/>
      <c r="F358" s="64"/>
      <c r="G358" s="64"/>
      <c r="H358" s="63"/>
      <c r="I358" s="63"/>
      <c r="J358" s="63"/>
      <c r="K358" s="63"/>
      <c r="L358" s="55"/>
      <c r="M358" s="55"/>
      <c r="P358" s="86"/>
      <c r="S358" s="47"/>
      <c r="T358" s="47"/>
    </row>
    <row r="359" spans="1:20" ht="16">
      <c r="A359" s="52"/>
      <c r="B359" s="52"/>
      <c r="C359" s="52"/>
      <c r="D359" s="53"/>
      <c r="E359" s="53"/>
      <c r="F359" s="66"/>
      <c r="G359" s="66"/>
      <c r="H359" s="65"/>
      <c r="I359" s="65"/>
      <c r="J359" s="65"/>
      <c r="K359" s="65"/>
      <c r="L359" s="52"/>
      <c r="M359" s="52"/>
      <c r="P359" s="86"/>
      <c r="S359" s="47"/>
      <c r="T359" s="47"/>
    </row>
    <row r="360" spans="1:20" ht="16">
      <c r="A360" s="55"/>
      <c r="B360" s="55"/>
      <c r="C360" s="55"/>
      <c r="D360" s="56"/>
      <c r="E360" s="56"/>
      <c r="F360" s="64"/>
      <c r="G360" s="64"/>
      <c r="H360" s="63"/>
      <c r="I360" s="63"/>
      <c r="J360" s="63"/>
      <c r="K360" s="63"/>
      <c r="L360" s="55"/>
      <c r="M360" s="55"/>
      <c r="P360" s="86"/>
      <c r="S360" s="47"/>
      <c r="T360" s="47"/>
    </row>
    <row r="361" spans="1:20" ht="16">
      <c r="A361" s="52"/>
      <c r="B361" s="52"/>
      <c r="C361" s="52"/>
      <c r="D361" s="53"/>
      <c r="E361" s="53"/>
      <c r="F361" s="66"/>
      <c r="G361" s="66"/>
      <c r="H361" s="65"/>
      <c r="I361" s="65"/>
      <c r="J361" s="65"/>
      <c r="K361" s="65"/>
      <c r="L361" s="52"/>
      <c r="M361" s="52"/>
      <c r="P361" s="86"/>
      <c r="S361" s="47"/>
      <c r="T361" s="47"/>
    </row>
    <row r="362" spans="1:20" ht="16">
      <c r="A362" s="55"/>
      <c r="B362" s="55"/>
      <c r="C362" s="55"/>
      <c r="D362" s="56"/>
      <c r="E362" s="56"/>
      <c r="F362" s="64"/>
      <c r="G362" s="64"/>
      <c r="H362" s="63"/>
      <c r="I362" s="63"/>
      <c r="J362" s="63"/>
      <c r="K362" s="63"/>
      <c r="L362" s="55"/>
      <c r="M362" s="55"/>
      <c r="P362" s="86"/>
      <c r="S362" s="47"/>
      <c r="T362" s="47"/>
    </row>
    <row r="363" spans="1:20" ht="16">
      <c r="A363" s="52"/>
      <c r="B363" s="52"/>
      <c r="C363" s="52"/>
      <c r="D363" s="53"/>
      <c r="E363" s="53"/>
      <c r="F363" s="66"/>
      <c r="G363" s="66"/>
      <c r="H363" s="65"/>
      <c r="I363" s="65"/>
      <c r="J363" s="65"/>
      <c r="K363" s="65"/>
      <c r="L363" s="52"/>
      <c r="M363" s="52"/>
      <c r="P363" s="86"/>
      <c r="S363" s="47"/>
      <c r="T363" s="47"/>
    </row>
    <row r="364" spans="1:20" ht="16">
      <c r="A364" s="55"/>
      <c r="B364" s="55"/>
      <c r="C364" s="55"/>
      <c r="D364" s="56"/>
      <c r="E364" s="56"/>
      <c r="F364" s="64"/>
      <c r="G364" s="64"/>
      <c r="H364" s="63"/>
      <c r="I364" s="63"/>
      <c r="J364" s="63"/>
      <c r="K364" s="63"/>
      <c r="L364" s="55"/>
      <c r="M364" s="55"/>
      <c r="P364" s="86"/>
      <c r="S364" s="47"/>
      <c r="T364" s="47"/>
    </row>
    <row r="365" spans="1:20" ht="16">
      <c r="A365" s="52"/>
      <c r="B365" s="52"/>
      <c r="C365" s="52"/>
      <c r="D365" s="53"/>
      <c r="E365" s="53"/>
      <c r="F365" s="66"/>
      <c r="G365" s="66"/>
      <c r="H365" s="65"/>
      <c r="I365" s="65"/>
      <c r="J365" s="65"/>
      <c r="K365" s="65"/>
      <c r="L365" s="52"/>
      <c r="M365" s="52"/>
      <c r="P365" s="86"/>
      <c r="S365" s="47"/>
      <c r="T365" s="47"/>
    </row>
    <row r="366" spans="1:20" ht="16">
      <c r="A366" s="55"/>
      <c r="B366" s="55"/>
      <c r="C366" s="55"/>
      <c r="D366" s="56"/>
      <c r="E366" s="56"/>
      <c r="F366" s="64"/>
      <c r="G366" s="64"/>
      <c r="H366" s="63"/>
      <c r="I366" s="63"/>
      <c r="J366" s="63"/>
      <c r="K366" s="63"/>
      <c r="L366" s="55"/>
      <c r="M366" s="55"/>
      <c r="P366" s="86"/>
      <c r="S366" s="47"/>
      <c r="T366" s="47"/>
    </row>
    <row r="367" spans="1:20" ht="16">
      <c r="A367" s="52"/>
      <c r="B367" s="52"/>
      <c r="C367" s="52"/>
      <c r="D367" s="53"/>
      <c r="E367" s="53"/>
      <c r="F367" s="66"/>
      <c r="G367" s="66"/>
      <c r="H367" s="65"/>
      <c r="I367" s="65"/>
      <c r="J367" s="65"/>
      <c r="K367" s="65"/>
      <c r="L367" s="52"/>
      <c r="M367" s="52"/>
      <c r="P367" s="86"/>
      <c r="S367" s="47"/>
      <c r="T367" s="47"/>
    </row>
    <row r="368" spans="1:20" ht="16">
      <c r="A368" s="55"/>
      <c r="B368" s="55"/>
      <c r="C368" s="55"/>
      <c r="D368" s="56"/>
      <c r="E368" s="56"/>
      <c r="F368" s="64"/>
      <c r="G368" s="64"/>
      <c r="H368" s="63"/>
      <c r="I368" s="63"/>
      <c r="J368" s="63"/>
      <c r="K368" s="63"/>
      <c r="L368" s="55"/>
      <c r="M368" s="55"/>
      <c r="P368" s="86"/>
      <c r="S368" s="47"/>
      <c r="T368" s="47"/>
    </row>
    <row r="369" spans="1:20" ht="16">
      <c r="A369" s="52"/>
      <c r="B369" s="52"/>
      <c r="C369" s="52"/>
      <c r="D369" s="53"/>
      <c r="E369" s="53"/>
      <c r="F369" s="66"/>
      <c r="G369" s="66"/>
      <c r="H369" s="65"/>
      <c r="I369" s="65"/>
      <c r="J369" s="65"/>
      <c r="K369" s="65"/>
      <c r="L369" s="52"/>
      <c r="M369" s="52"/>
      <c r="P369" s="86"/>
      <c r="S369" s="47"/>
      <c r="T369" s="47"/>
    </row>
    <row r="370" spans="1:20" ht="16">
      <c r="A370" s="55"/>
      <c r="B370" s="55"/>
      <c r="C370" s="55"/>
      <c r="D370" s="56"/>
      <c r="E370" s="56"/>
      <c r="F370" s="64"/>
      <c r="G370" s="64"/>
      <c r="H370" s="63"/>
      <c r="I370" s="63"/>
      <c r="J370" s="63"/>
      <c r="K370" s="63"/>
      <c r="L370" s="55"/>
      <c r="M370" s="55"/>
      <c r="P370" s="86"/>
      <c r="S370" s="47"/>
      <c r="T370" s="47"/>
    </row>
    <row r="371" spans="1:20" ht="16">
      <c r="A371" s="52"/>
      <c r="B371" s="52"/>
      <c r="C371" s="52"/>
      <c r="D371" s="53"/>
      <c r="E371" s="53"/>
      <c r="F371" s="66"/>
      <c r="G371" s="66"/>
      <c r="H371" s="65"/>
      <c r="I371" s="65"/>
      <c r="J371" s="65"/>
      <c r="K371" s="65"/>
      <c r="L371" s="52"/>
      <c r="M371" s="52"/>
      <c r="P371" s="86"/>
      <c r="S371" s="47"/>
      <c r="T371" s="47"/>
    </row>
    <row r="372" spans="1:20" ht="16">
      <c r="A372" s="55"/>
      <c r="B372" s="55"/>
      <c r="C372" s="55"/>
      <c r="D372" s="56"/>
      <c r="E372" s="56"/>
      <c r="F372" s="64"/>
      <c r="G372" s="64"/>
      <c r="H372" s="63"/>
      <c r="I372" s="63"/>
      <c r="J372" s="63"/>
      <c r="K372" s="63"/>
      <c r="L372" s="55"/>
      <c r="M372" s="55"/>
      <c r="P372" s="86"/>
      <c r="S372" s="47"/>
      <c r="T372" s="47"/>
    </row>
    <row r="373" spans="1:20" ht="16">
      <c r="A373" s="52"/>
      <c r="B373" s="52"/>
      <c r="C373" s="52"/>
      <c r="D373" s="53"/>
      <c r="E373" s="53"/>
      <c r="F373" s="66"/>
      <c r="G373" s="66"/>
      <c r="H373" s="65"/>
      <c r="I373" s="65"/>
      <c r="J373" s="65"/>
      <c r="K373" s="65"/>
      <c r="L373" s="52"/>
      <c r="M373" s="52"/>
      <c r="P373" s="86"/>
      <c r="S373" s="47"/>
      <c r="T373" s="47"/>
    </row>
    <row r="374" spans="1:20" ht="16">
      <c r="A374" s="55"/>
      <c r="B374" s="55"/>
      <c r="C374" s="55"/>
      <c r="D374" s="56"/>
      <c r="E374" s="56"/>
      <c r="F374" s="64"/>
      <c r="G374" s="64"/>
      <c r="H374" s="63"/>
      <c r="I374" s="63"/>
      <c r="J374" s="63"/>
      <c r="K374" s="63"/>
      <c r="L374" s="55"/>
      <c r="M374" s="55"/>
      <c r="P374" s="86"/>
      <c r="S374" s="47"/>
      <c r="T374" s="47"/>
    </row>
    <row r="375" spans="1:20" ht="16">
      <c r="A375" s="52"/>
      <c r="B375" s="52"/>
      <c r="C375" s="52"/>
      <c r="D375" s="53"/>
      <c r="E375" s="53"/>
      <c r="F375" s="66"/>
      <c r="G375" s="66"/>
      <c r="H375" s="65"/>
      <c r="I375" s="65"/>
      <c r="J375" s="65"/>
      <c r="K375" s="65"/>
      <c r="L375" s="52"/>
      <c r="M375" s="52"/>
      <c r="P375" s="86"/>
      <c r="S375" s="47"/>
      <c r="T375" s="47"/>
    </row>
    <row r="376" spans="1:20" ht="16">
      <c r="A376" s="55"/>
      <c r="B376" s="55"/>
      <c r="C376" s="55"/>
      <c r="D376" s="56"/>
      <c r="E376" s="56"/>
      <c r="F376" s="64"/>
      <c r="G376" s="64"/>
      <c r="H376" s="63"/>
      <c r="I376" s="63"/>
      <c r="J376" s="63"/>
      <c r="K376" s="63"/>
      <c r="L376" s="55"/>
      <c r="M376" s="55"/>
      <c r="P376" s="86"/>
      <c r="S376" s="47"/>
      <c r="T376" s="47"/>
    </row>
    <row r="377" spans="1:20" ht="16">
      <c r="A377" s="52"/>
      <c r="B377" s="52"/>
      <c r="C377" s="52"/>
      <c r="D377" s="53"/>
      <c r="E377" s="53"/>
      <c r="F377" s="66"/>
      <c r="G377" s="66"/>
      <c r="H377" s="65"/>
      <c r="I377" s="65"/>
      <c r="J377" s="65"/>
      <c r="K377" s="65"/>
      <c r="L377" s="52"/>
      <c r="M377" s="52"/>
      <c r="P377" s="86"/>
      <c r="S377" s="47"/>
      <c r="T377" s="47"/>
    </row>
    <row r="378" spans="1:20" ht="16">
      <c r="A378" s="55"/>
      <c r="B378" s="55"/>
      <c r="C378" s="55"/>
      <c r="D378" s="56"/>
      <c r="E378" s="56"/>
      <c r="F378" s="64"/>
      <c r="G378" s="64"/>
      <c r="H378" s="63"/>
      <c r="I378" s="63"/>
      <c r="J378" s="63"/>
      <c r="K378" s="63"/>
      <c r="L378" s="55"/>
      <c r="M378" s="55"/>
      <c r="P378" s="86"/>
      <c r="S378" s="47"/>
      <c r="T378" s="47"/>
    </row>
    <row r="379" spans="1:20" ht="16">
      <c r="A379" s="52"/>
      <c r="B379" s="52"/>
      <c r="C379" s="52"/>
      <c r="D379" s="53"/>
      <c r="E379" s="53"/>
      <c r="F379" s="66"/>
      <c r="G379" s="66"/>
      <c r="H379" s="65"/>
      <c r="I379" s="65"/>
      <c r="J379" s="65"/>
      <c r="K379" s="65"/>
      <c r="L379" s="52"/>
      <c r="M379" s="52"/>
      <c r="P379" s="86"/>
      <c r="S379" s="47"/>
      <c r="T379" s="47"/>
    </row>
    <row r="380" spans="1:20" ht="16">
      <c r="A380" s="55"/>
      <c r="B380" s="55"/>
      <c r="C380" s="55"/>
      <c r="D380" s="56"/>
      <c r="E380" s="56"/>
      <c r="F380" s="64"/>
      <c r="G380" s="64"/>
      <c r="H380" s="63"/>
      <c r="I380" s="63"/>
      <c r="J380" s="63"/>
      <c r="K380" s="63"/>
      <c r="L380" s="55"/>
      <c r="M380" s="55"/>
      <c r="P380" s="86"/>
      <c r="S380" s="47"/>
      <c r="T380" s="47"/>
    </row>
    <row r="381" spans="1:20" ht="16">
      <c r="A381" s="52"/>
      <c r="B381" s="52"/>
      <c r="C381" s="52"/>
      <c r="D381" s="53"/>
      <c r="E381" s="53"/>
      <c r="F381" s="66"/>
      <c r="G381" s="66"/>
      <c r="H381" s="65"/>
      <c r="I381" s="65"/>
      <c r="J381" s="65"/>
      <c r="K381" s="65"/>
      <c r="L381" s="52"/>
      <c r="M381" s="52"/>
      <c r="P381" s="86"/>
      <c r="S381" s="47"/>
      <c r="T381" s="47"/>
    </row>
    <row r="382" spans="1:20" ht="16">
      <c r="A382" s="55"/>
      <c r="B382" s="55"/>
      <c r="C382" s="55"/>
      <c r="D382" s="56"/>
      <c r="E382" s="56"/>
      <c r="F382" s="64"/>
      <c r="G382" s="64"/>
      <c r="H382" s="63"/>
      <c r="I382" s="63"/>
      <c r="J382" s="63"/>
      <c r="K382" s="63"/>
      <c r="L382" s="55"/>
      <c r="M382" s="55"/>
      <c r="P382" s="86"/>
      <c r="S382" s="47"/>
      <c r="T382" s="47"/>
    </row>
    <row r="383" spans="1:20" ht="16">
      <c r="A383" s="52"/>
      <c r="B383" s="52"/>
      <c r="C383" s="52"/>
      <c r="D383" s="53"/>
      <c r="E383" s="53"/>
      <c r="F383" s="66"/>
      <c r="G383" s="66"/>
      <c r="H383" s="65"/>
      <c r="I383" s="65"/>
      <c r="J383" s="65"/>
      <c r="K383" s="65"/>
      <c r="L383" s="52"/>
      <c r="M383" s="52"/>
      <c r="P383" s="86"/>
      <c r="S383" s="47"/>
      <c r="T383" s="47"/>
    </row>
    <row r="384" spans="1:20" ht="16">
      <c r="A384" s="55"/>
      <c r="B384" s="55"/>
      <c r="C384" s="55"/>
      <c r="D384" s="56"/>
      <c r="E384" s="56"/>
      <c r="F384" s="64"/>
      <c r="G384" s="64"/>
      <c r="H384" s="63"/>
      <c r="I384" s="63"/>
      <c r="J384" s="63"/>
      <c r="K384" s="63"/>
      <c r="L384" s="55"/>
      <c r="M384" s="55"/>
      <c r="P384" s="86"/>
      <c r="S384" s="47"/>
      <c r="T384" s="47"/>
    </row>
    <row r="385" spans="1:20" ht="16">
      <c r="A385" s="52"/>
      <c r="B385" s="52"/>
      <c r="C385" s="52"/>
      <c r="D385" s="53"/>
      <c r="E385" s="53"/>
      <c r="F385" s="66"/>
      <c r="G385" s="66"/>
      <c r="H385" s="65"/>
      <c r="I385" s="65"/>
      <c r="J385" s="65"/>
      <c r="K385" s="65"/>
      <c r="L385" s="52"/>
      <c r="M385" s="52"/>
      <c r="P385" s="86"/>
      <c r="S385" s="47"/>
      <c r="T385" s="47"/>
    </row>
    <row r="386" spans="1:20" ht="16">
      <c r="A386" s="55"/>
      <c r="B386" s="55"/>
      <c r="C386" s="55"/>
      <c r="D386" s="56"/>
      <c r="E386" s="56"/>
      <c r="F386" s="64"/>
      <c r="G386" s="64"/>
      <c r="H386" s="63"/>
      <c r="I386" s="63"/>
      <c r="J386" s="63"/>
      <c r="K386" s="63"/>
      <c r="L386" s="55"/>
      <c r="M386" s="55"/>
      <c r="P386" s="86"/>
      <c r="S386" s="47"/>
      <c r="T386" s="47"/>
    </row>
    <row r="387" spans="1:20" ht="16">
      <c r="A387" s="52"/>
      <c r="B387" s="52"/>
      <c r="C387" s="52"/>
      <c r="D387" s="53"/>
      <c r="E387" s="53"/>
      <c r="F387" s="66"/>
      <c r="G387" s="66"/>
      <c r="H387" s="65"/>
      <c r="I387" s="65"/>
      <c r="J387" s="65"/>
      <c r="K387" s="65"/>
      <c r="L387" s="52"/>
      <c r="M387" s="52"/>
      <c r="P387" s="86"/>
      <c r="S387" s="47"/>
      <c r="T387" s="47"/>
    </row>
    <row r="388" spans="1:20" ht="16">
      <c r="A388" s="55"/>
      <c r="B388" s="55"/>
      <c r="C388" s="55"/>
      <c r="D388" s="56"/>
      <c r="E388" s="56"/>
      <c r="F388" s="64"/>
      <c r="G388" s="64"/>
      <c r="H388" s="63"/>
      <c r="I388" s="63"/>
      <c r="J388" s="63"/>
      <c r="K388" s="63"/>
      <c r="L388" s="55"/>
      <c r="M388" s="55"/>
      <c r="P388" s="86"/>
      <c r="S388" s="47"/>
      <c r="T388" s="47"/>
    </row>
    <row r="389" spans="1:20" ht="16">
      <c r="A389" s="52"/>
      <c r="B389" s="52"/>
      <c r="C389" s="52"/>
      <c r="D389" s="53"/>
      <c r="E389" s="53"/>
      <c r="F389" s="66"/>
      <c r="G389" s="66"/>
      <c r="H389" s="65"/>
      <c r="I389" s="65"/>
      <c r="J389" s="65"/>
      <c r="K389" s="65"/>
      <c r="L389" s="52"/>
      <c r="M389" s="52"/>
      <c r="P389" s="86"/>
      <c r="S389" s="47"/>
      <c r="T389" s="47"/>
    </row>
    <row r="390" spans="1:20" ht="16">
      <c r="A390" s="55"/>
      <c r="B390" s="55"/>
      <c r="C390" s="55"/>
      <c r="D390" s="56"/>
      <c r="E390" s="56"/>
      <c r="F390" s="64"/>
      <c r="G390" s="64"/>
      <c r="H390" s="63"/>
      <c r="I390" s="63"/>
      <c r="J390" s="63"/>
      <c r="K390" s="63"/>
      <c r="L390" s="55"/>
      <c r="M390" s="55"/>
      <c r="P390" s="86"/>
      <c r="S390" s="47"/>
      <c r="T390" s="47"/>
    </row>
    <row r="391" spans="1:20" ht="16">
      <c r="A391" s="52"/>
      <c r="B391" s="52"/>
      <c r="C391" s="52"/>
      <c r="D391" s="53"/>
      <c r="E391" s="53"/>
      <c r="F391" s="66"/>
      <c r="G391" s="66"/>
      <c r="H391" s="65"/>
      <c r="I391" s="65"/>
      <c r="J391" s="65"/>
      <c r="K391" s="65"/>
      <c r="L391" s="52"/>
      <c r="M391" s="52"/>
      <c r="P391" s="86"/>
      <c r="S391" s="47"/>
      <c r="T391" s="47"/>
    </row>
    <row r="392" spans="1:20" ht="16">
      <c r="A392" s="55"/>
      <c r="B392" s="55"/>
      <c r="C392" s="55"/>
      <c r="D392" s="56"/>
      <c r="E392" s="56"/>
      <c r="F392" s="64"/>
      <c r="G392" s="64"/>
      <c r="H392" s="63"/>
      <c r="I392" s="63"/>
      <c r="J392" s="63"/>
      <c r="K392" s="63"/>
      <c r="L392" s="55"/>
      <c r="M392" s="55"/>
      <c r="P392" s="86"/>
      <c r="S392" s="47"/>
      <c r="T392" s="47"/>
    </row>
    <row r="393" spans="1:20" ht="16">
      <c r="A393" s="52"/>
      <c r="B393" s="52"/>
      <c r="C393" s="52"/>
      <c r="D393" s="53"/>
      <c r="E393" s="53"/>
      <c r="F393" s="66"/>
      <c r="G393" s="66"/>
      <c r="H393" s="65"/>
      <c r="I393" s="65"/>
      <c r="J393" s="65"/>
      <c r="K393" s="65"/>
      <c r="L393" s="52"/>
      <c r="M393" s="52"/>
      <c r="P393" s="86"/>
      <c r="S393" s="47"/>
      <c r="T393" s="47"/>
    </row>
    <row r="394" spans="1:20" ht="16">
      <c r="A394" s="55"/>
      <c r="B394" s="55"/>
      <c r="C394" s="55"/>
      <c r="D394" s="56"/>
      <c r="E394" s="56"/>
      <c r="F394" s="64"/>
      <c r="G394" s="64"/>
      <c r="H394" s="63"/>
      <c r="I394" s="63"/>
      <c r="J394" s="63"/>
      <c r="K394" s="63"/>
      <c r="L394" s="55"/>
      <c r="M394" s="55"/>
      <c r="P394" s="86"/>
      <c r="S394" s="47"/>
      <c r="T394" s="47"/>
    </row>
    <row r="395" spans="1:20" ht="16">
      <c r="A395" s="52"/>
      <c r="B395" s="52"/>
      <c r="C395" s="52"/>
      <c r="D395" s="53"/>
      <c r="E395" s="53"/>
      <c r="F395" s="66"/>
      <c r="G395" s="66"/>
      <c r="H395" s="65"/>
      <c r="I395" s="65"/>
      <c r="J395" s="65"/>
      <c r="K395" s="65"/>
      <c r="L395" s="52"/>
      <c r="M395" s="52"/>
      <c r="P395" s="86"/>
      <c r="S395" s="47"/>
      <c r="T395" s="47"/>
    </row>
    <row r="396" spans="1:20" ht="16">
      <c r="A396" s="55"/>
      <c r="B396" s="55"/>
      <c r="C396" s="55"/>
      <c r="D396" s="56"/>
      <c r="E396" s="56"/>
      <c r="F396" s="64"/>
      <c r="G396" s="64"/>
      <c r="H396" s="63"/>
      <c r="I396" s="63"/>
      <c r="J396" s="63"/>
      <c r="K396" s="63"/>
      <c r="L396" s="55"/>
      <c r="M396" s="55"/>
      <c r="P396" s="86"/>
      <c r="S396" s="47"/>
      <c r="T396" s="47"/>
    </row>
    <row r="397" spans="1:20" ht="16">
      <c r="A397" s="52"/>
      <c r="B397" s="52"/>
      <c r="C397" s="52"/>
      <c r="D397" s="53"/>
      <c r="E397" s="53"/>
      <c r="F397" s="66"/>
      <c r="G397" s="66"/>
      <c r="H397" s="65"/>
      <c r="I397" s="65"/>
      <c r="J397" s="65"/>
      <c r="K397" s="65"/>
      <c r="L397" s="52"/>
      <c r="M397" s="52"/>
      <c r="P397" s="86"/>
      <c r="S397" s="47"/>
      <c r="T397" s="47"/>
    </row>
    <row r="398" spans="1:20" ht="16">
      <c r="A398" s="55"/>
      <c r="B398" s="55"/>
      <c r="C398" s="55"/>
      <c r="D398" s="56"/>
      <c r="E398" s="56"/>
      <c r="F398" s="64"/>
      <c r="G398" s="64"/>
      <c r="H398" s="63"/>
      <c r="I398" s="63"/>
      <c r="J398" s="63"/>
      <c r="K398" s="63"/>
      <c r="L398" s="55"/>
      <c r="M398" s="55"/>
      <c r="P398" s="86"/>
      <c r="S398" s="47"/>
      <c r="T398" s="47"/>
    </row>
    <row r="399" spans="1:20" ht="16">
      <c r="A399" s="52"/>
      <c r="B399" s="52"/>
      <c r="C399" s="52"/>
      <c r="D399" s="53"/>
      <c r="E399" s="53"/>
      <c r="F399" s="66"/>
      <c r="G399" s="66"/>
      <c r="H399" s="65"/>
      <c r="I399" s="65"/>
      <c r="J399" s="65"/>
      <c r="K399" s="65"/>
      <c r="L399" s="52"/>
      <c r="M399" s="52"/>
      <c r="P399" s="86"/>
      <c r="S399" s="47"/>
      <c r="T399" s="47"/>
    </row>
    <row r="400" spans="1:20" ht="16">
      <c r="A400" s="55"/>
      <c r="B400" s="55"/>
      <c r="C400" s="55"/>
      <c r="D400" s="56"/>
      <c r="E400" s="56"/>
      <c r="F400" s="64"/>
      <c r="G400" s="64"/>
      <c r="H400" s="63"/>
      <c r="I400" s="63"/>
      <c r="J400" s="63"/>
      <c r="K400" s="63"/>
      <c r="L400" s="55"/>
      <c r="M400" s="55"/>
      <c r="P400" s="86"/>
      <c r="S400" s="47"/>
      <c r="T400" s="47"/>
    </row>
    <row r="401" spans="1:20" ht="16">
      <c r="A401" s="52"/>
      <c r="B401" s="52"/>
      <c r="C401" s="52"/>
      <c r="D401" s="53"/>
      <c r="E401" s="53"/>
      <c r="F401" s="66"/>
      <c r="G401" s="66"/>
      <c r="H401" s="65"/>
      <c r="I401" s="65"/>
      <c r="J401" s="65"/>
      <c r="K401" s="65"/>
      <c r="L401" s="52"/>
      <c r="M401" s="52"/>
      <c r="P401" s="86"/>
      <c r="S401" s="47"/>
      <c r="T401" s="47"/>
    </row>
    <row r="402" spans="1:20" ht="16">
      <c r="A402" s="55"/>
      <c r="B402" s="55"/>
      <c r="C402" s="55"/>
      <c r="D402" s="56"/>
      <c r="E402" s="56"/>
      <c r="F402" s="64"/>
      <c r="G402" s="64"/>
      <c r="H402" s="63"/>
      <c r="I402" s="63"/>
      <c r="J402" s="63"/>
      <c r="K402" s="63"/>
      <c r="L402" s="55"/>
      <c r="M402" s="55"/>
      <c r="P402" s="86"/>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sheetData>
  <autoFilter ref="A1:T262" xr:uid="{00000000-0009-0000-0000-000005000000}"/>
  <phoneticPr fontId="30" type="noConversion"/>
  <dataValidations count="1">
    <dataValidation type="list" allowBlank="1" showInputMessage="1" showErrorMessage="1" sqref="N2:N987"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3" t="s">
        <v>1042</v>
      </c>
      <c r="B1" s="93"/>
    </row>
    <row r="2" spans="1:8" ht="13.5" customHeight="1">
      <c r="A2" s="8" t="s">
        <v>42</v>
      </c>
      <c r="B2" s="8" t="s">
        <v>1043</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1044</v>
      </c>
      <c r="C7" s="71" t="s">
        <v>1045</v>
      </c>
      <c r="D7" s="71" t="s">
        <v>1046</v>
      </c>
      <c r="E7" s="71" t="s">
        <v>1047</v>
      </c>
      <c r="F7" s="71" t="s">
        <v>1048</v>
      </c>
      <c r="G7" s="71" t="s">
        <v>1049</v>
      </c>
      <c r="H7" s="71" t="s">
        <v>1050</v>
      </c>
    </row>
    <row r="8" spans="1:8" ht="13.5" customHeight="1">
      <c r="A8" s="9" t="s">
        <v>49</v>
      </c>
      <c r="B8" s="9">
        <f>IFERROR(SUMIF(Purchases!$B:$B,$A8,Purchases!$C:$C),0)</f>
        <v>262941</v>
      </c>
      <c r="C8" s="9">
        <f>SUM($B$8:$B$10)/3</f>
        <v>200731.66666666666</v>
      </c>
      <c r="D8" s="9">
        <f>B8-C8</f>
        <v>62209.333333333343</v>
      </c>
      <c r="E8" s="9">
        <f>IF(Summary!$B$6&gt;0, Summary!$B$6*VLOOKUP($A8,$A$3:$B$5,2,FALSE()),0)</f>
        <v>0</v>
      </c>
      <c r="F8" s="9">
        <f>D8+E8</f>
        <v>62209.333333333343</v>
      </c>
      <c r="G8" s="9">
        <f>IFERROR(SUMIFS($E$13:$E$499,$D$13:$D$499,$A8,$B$13:$B$499,"Contribution"),0)+IFERROR(SUMIFS($E$13:$E$499,$D$13:$D$499,$A8,$B$13:$B$499,"Profit"),0)-IFERROR(SUMIFS($E$13:$E$499,$C$13:$C$499,$A8,$B$13:$B$499,"Contribution"),0)-IFERROR(SUMIFS($E$13:$E$499,$C$13:$C$499,$A8,$B$13:$B$499,"Profit"),0)</f>
        <v>18303.34</v>
      </c>
      <c r="H8" s="73">
        <f>F8-G8</f>
        <v>43905.993333333347</v>
      </c>
    </row>
    <row r="9" spans="1:8" ht="13.5" customHeight="1">
      <c r="A9" s="11" t="s">
        <v>50</v>
      </c>
      <c r="B9" s="11">
        <f>IFERROR(SUMIF(Purchases!$B:$B,$A9,Purchases!$C:$C),0)</f>
        <v>306654</v>
      </c>
      <c r="C9" s="11">
        <f>SUM($B$8:$B$10)/3</f>
        <v>200731.66666666666</v>
      </c>
      <c r="D9" s="11">
        <f>B9-C9</f>
        <v>105922.33333333334</v>
      </c>
      <c r="E9" s="11">
        <f>IF(Summary!$B$6&gt;0, Summary!$B$6*VLOOKUP($A9,$A$3:$B$5,2,FALSE()),0)</f>
        <v>0</v>
      </c>
      <c r="F9" s="11">
        <f>D9+E9</f>
        <v>105922.33333333334</v>
      </c>
      <c r="G9" s="11">
        <f>IFERROR(SUMIFS($E$13:$E$499,$D$13:$D$499,$A9,$B$13:$B$499,"Contribution"),0)+IFERROR(SUMIFS($E$13:$E$499,$D$13:$D$499,$A9,$B$13:$B$499,"Profit"),0)-IFERROR(SUMIFS($E$13:$E$499,$C$13:$C$499,$A9,$B$13:$B$499,"Contribution"),0)-IFERROR(SUMIFS($E$13:$E$499,$C$13:$C$499,$A9,$B$13:$B$499,"Profit"),0)</f>
        <v>41639.33</v>
      </c>
      <c r="H9" s="74">
        <f>F9-G9</f>
        <v>64283.003333333341</v>
      </c>
    </row>
    <row r="10" spans="1:8" ht="13.5" customHeight="1">
      <c r="A10" s="9" t="s">
        <v>51</v>
      </c>
      <c r="B10" s="9">
        <f>IFERROR(SUMIF(Purchases!$B:$B,$A10,Purchases!$C:$C),0)</f>
        <v>32600</v>
      </c>
      <c r="C10" s="9">
        <f>SUM($B$8:$B$10)/3</f>
        <v>200731.66666666666</v>
      </c>
      <c r="D10" s="9">
        <f>B10-C10</f>
        <v>-168131.66666666666</v>
      </c>
      <c r="E10" s="9">
        <f>IF(Summary!$B$6&gt;0, Summary!$B$6*VLOOKUP($A10,$A$3:$B$5,2,FALSE()),0)</f>
        <v>0</v>
      </c>
      <c r="F10" s="9">
        <f>D10+E10</f>
        <v>-168131.66666666666</v>
      </c>
      <c r="G10" s="9">
        <f>IFERROR(SUMIFS($E$13:$E$499,$D$13:$D$499,$A10,$B$13:$B$499,"Contribution"),0)+IFERROR(SUMIFS($E$13:$E$499,$D$13:$D$499,$A10,$B$13:$B$499,"Profit"),0)-IFERROR(SUMIFS($E$13:$E$499,$C$13:$C$499,$A10,$B$13:$B$499,"Contribution"),0)-IFERROR(SUMIFS($E$13:$E$499,$C$13:$C$499,$A10,$B$13:$B$499,"Profit"),0)</f>
        <v>-59942.67</v>
      </c>
      <c r="H10" s="73">
        <f>F10-G10</f>
        <v>-108188.99666666666</v>
      </c>
    </row>
    <row r="12" spans="1:8" s="75" customFormat="1" ht="15.75" customHeight="1">
      <c r="A12" s="94" t="s">
        <v>1051</v>
      </c>
      <c r="B12" s="94"/>
      <c r="C12" s="94"/>
      <c r="D12" s="94"/>
      <c r="E12" s="94"/>
      <c r="F12" s="94"/>
    </row>
    <row r="13" spans="1:8" s="72" customFormat="1" ht="13.5" customHeight="1">
      <c r="A13" s="71" t="s">
        <v>98</v>
      </c>
      <c r="B13" s="71" t="s">
        <v>1052</v>
      </c>
      <c r="C13" s="71" t="s">
        <v>1053</v>
      </c>
      <c r="D13" s="71" t="s">
        <v>1054</v>
      </c>
      <c r="E13" s="71" t="s">
        <v>99</v>
      </c>
      <c r="F13" s="71" t="s">
        <v>100</v>
      </c>
    </row>
    <row r="14" spans="1:8" ht="13.5" customHeight="1">
      <c r="A14" s="76">
        <v>45952</v>
      </c>
      <c r="B14" s="9" t="s">
        <v>1055</v>
      </c>
      <c r="C14" s="9" t="s">
        <v>51</v>
      </c>
      <c r="D14" s="9" t="s">
        <v>49</v>
      </c>
      <c r="E14" s="69">
        <v>16032</v>
      </c>
      <c r="F14" s="9"/>
    </row>
    <row r="15" spans="1:8" ht="13.5" customHeight="1">
      <c r="A15" s="77">
        <v>45952</v>
      </c>
      <c r="B15" s="11" t="s">
        <v>1055</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1055</v>
      </c>
      <c r="C18" s="9" t="s">
        <v>50</v>
      </c>
      <c r="D18" s="9" t="s">
        <v>51</v>
      </c>
      <c r="E18" s="69">
        <v>3209.34</v>
      </c>
      <c r="F18" s="9"/>
    </row>
    <row r="19" spans="1:6" ht="13.5" customHeight="1">
      <c r="A19" s="77">
        <v>45970</v>
      </c>
      <c r="B19" s="11" t="s">
        <v>1055</v>
      </c>
      <c r="C19" s="11" t="s">
        <v>50</v>
      </c>
      <c r="D19" s="11" t="s">
        <v>49</v>
      </c>
      <c r="E19" s="70">
        <v>411</v>
      </c>
      <c r="F19" s="11"/>
    </row>
    <row r="20" spans="1:6" ht="13.5" customHeight="1">
      <c r="A20" s="76">
        <v>45973</v>
      </c>
      <c r="B20" s="9" t="s">
        <v>1055</v>
      </c>
      <c r="C20" s="9" t="s">
        <v>50</v>
      </c>
      <c r="D20" s="9" t="s">
        <v>51</v>
      </c>
      <c r="E20" s="69">
        <v>905</v>
      </c>
      <c r="F20" s="9"/>
    </row>
    <row r="21" spans="1:6" ht="13.5" customHeight="1">
      <c r="A21" s="77">
        <v>45973</v>
      </c>
      <c r="B21" s="11" t="s">
        <v>1055</v>
      </c>
      <c r="C21" s="11" t="s">
        <v>49</v>
      </c>
      <c r="D21" s="11" t="s">
        <v>51</v>
      </c>
      <c r="E21" s="70">
        <v>904</v>
      </c>
      <c r="F21" s="11"/>
    </row>
    <row r="22" spans="1:6" ht="13.5" customHeight="1">
      <c r="A22" s="76">
        <v>46058</v>
      </c>
      <c r="B22" s="9" t="s">
        <v>1055</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1055</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1055</v>
      </c>
      <c r="C26" s="9" t="s">
        <v>50</v>
      </c>
      <c r="D26" s="9" t="s">
        <v>49</v>
      </c>
      <c r="E26" s="69">
        <v>4933.33</v>
      </c>
      <c r="F26" s="9"/>
    </row>
    <row r="27" spans="1:6" ht="13.5" customHeight="1">
      <c r="A27" s="77">
        <v>46093</v>
      </c>
      <c r="B27" s="11" t="s">
        <v>1055</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1056</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1057</v>
      </c>
    </row>
    <row r="3" spans="1:7" s="72" customFormat="1" ht="13.5" customHeight="1">
      <c r="A3" s="71" t="s">
        <v>42</v>
      </c>
      <c r="B3" s="71" t="s">
        <v>1058</v>
      </c>
      <c r="C3" s="71" t="s">
        <v>1043</v>
      </c>
      <c r="D3" s="71" t="s">
        <v>1059</v>
      </c>
      <c r="E3" s="71" t="s">
        <v>1060</v>
      </c>
      <c r="F3" s="71" t="s">
        <v>1061</v>
      </c>
      <c r="G3" s="71" t="s">
        <v>1062</v>
      </c>
    </row>
    <row r="4" spans="1:7" ht="13.5" customHeight="1">
      <c r="A4" s="9" t="s">
        <v>49</v>
      </c>
      <c r="B4" s="9">
        <f>IFERROR(SUMIFS(Sales!$C:$C,Sales!$E:$E,$A4,Sales!$I:$I,"Completed"),0)</f>
        <v>483698</v>
      </c>
      <c r="C4" s="9">
        <f>VLOOKUP($A4,PartnerShares!$A$3:$B$5,2,FALSE())</f>
        <v>0.33339999999999997</v>
      </c>
      <c r="D4" s="9">
        <f>Summary!$B$4*C4</f>
        <v>184220.50339999999</v>
      </c>
      <c r="E4" s="9">
        <f>B4-D4</f>
        <v>299477.49660000001</v>
      </c>
      <c r="F4" s="9">
        <f>IFERROR(SUMIFS(PartnerShares!$E$13:$E$499,PartnerShares!$D$13:$D$499,$A4,PartnerShares!$B$13:$B$499,"Cash"),0)-IFERROR(SUMIFS(PartnerShares!$E$13:$E$499,PartnerShares!$C$13:$C$499,$A4,PartnerShares!$B$13:$B$499,"Cash"),0)</f>
        <v>-137310.02600000001</v>
      </c>
      <c r="G4" s="73">
        <f>E4+F4</f>
        <v>162167.4706</v>
      </c>
    </row>
    <row r="5" spans="1:7" ht="13.5" customHeight="1">
      <c r="A5" s="11" t="s">
        <v>50</v>
      </c>
      <c r="B5" s="11">
        <f>IFERROR(SUMIFS(Sales!$C:$C,Sales!$E:$E,$A5,Sales!$I:$I,"Completed"),0)</f>
        <v>55323</v>
      </c>
      <c r="C5" s="11">
        <f>VLOOKUP($A5,PartnerShares!$A$3:$B$5,2,FALSE())</f>
        <v>0.3332</v>
      </c>
      <c r="D5" s="11">
        <f>Summary!$B$4*C5</f>
        <v>184109.9932</v>
      </c>
      <c r="E5" s="11">
        <f>B5-D5</f>
        <v>-128786.9932</v>
      </c>
      <c r="F5" s="11">
        <f>IFERROR(SUMIFS(PartnerShares!$E$13:$E$499,PartnerShares!$D$13:$D$499,$A5,PartnerShares!$B$13:$B$499,"Cash"),0)-IFERROR(SUMIFS(PartnerShares!$E$13:$E$499,PartnerShares!$C$13:$C$499,$A5,PartnerShares!$B$13:$B$499,"Cash"),0)</f>
        <v>71587.042000000001</v>
      </c>
      <c r="G5" s="74">
        <f>E5+F5</f>
        <v>-57199.951199999996</v>
      </c>
    </row>
    <row r="6" spans="1:7" ht="13.5" customHeight="1">
      <c r="A6" s="9" t="s">
        <v>51</v>
      </c>
      <c r="B6" s="9">
        <f>IFERROR(SUMIFS(Sales!$C:$C,Sales!$E:$E,$A6,Sales!$I:$I,"Completed"),0)</f>
        <v>12530</v>
      </c>
      <c r="C6" s="9">
        <f>VLOOKUP($A6,PartnerShares!$A$3:$B$5,2,FALSE())</f>
        <v>0.33339999999999997</v>
      </c>
      <c r="D6" s="9">
        <f>Summary!$B$4*C6</f>
        <v>184220.50339999999</v>
      </c>
      <c r="E6" s="9">
        <f>B6-D6</f>
        <v>-171690.50339999999</v>
      </c>
      <c r="F6" s="9">
        <f>IFERROR(SUMIFS(PartnerShares!$E$13:$E$499,PartnerShares!$D$13:$D$499,$A6,PartnerShares!$B$13:$B$499,"Cash"),0)-IFERROR(SUMIFS(PartnerShares!$E$13:$E$499,PartnerShares!$C$13:$C$499,$A6,PartnerShares!$B$13:$B$499,"Cash"),0)</f>
        <v>65722.984000000011</v>
      </c>
      <c r="G6" s="73">
        <f>E6+F6</f>
        <v>-105967.51939999998</v>
      </c>
    </row>
    <row r="9" spans="1:7" ht="13.5" customHeight="1">
      <c r="A9" s="6" t="s">
        <v>0</v>
      </c>
    </row>
    <row r="10" spans="1:7" ht="13.5" customHeight="1">
      <c r="A10" s="6" t="s">
        <v>1063</v>
      </c>
    </row>
    <row r="11" spans="1:7" ht="13.5" customHeight="1">
      <c r="A11" s="6" t="s">
        <v>1064</v>
      </c>
    </row>
    <row r="12" spans="1:7" ht="13.5" customHeight="1">
      <c r="A12" s="6" t="s">
        <v>1065</v>
      </c>
    </row>
    <row r="13" spans="1:7" ht="13.5" customHeight="1">
      <c r="A13" s="6" t="s">
        <v>1066</v>
      </c>
    </row>
    <row r="14" spans="1:7" ht="13.5" customHeight="1">
      <c r="A14" s="6" t="s">
        <v>1067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2026-09-02T04:17:17Z</dcterms:modified>
  <dc:language>en-US</dc:language>
</cp:coreProperties>
</file>