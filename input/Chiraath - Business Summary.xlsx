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9F5DA603-7CD1-944E-ACA5-37C93750C159}"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Sales!$A$1:$I$315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33" i="6" l="1"/>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H225"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<sst xmlns="http://schemas.openxmlformats.org/spreadsheetml/2006/main" count="3356" uniqueCount="1331">
  <si>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</si>
  <si>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</si>
  <si>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</si>
  <si>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</si>
  <si>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</si>
  <si>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</si>
  <si>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</si>
  <si>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</si>
  <si>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</si>
  <si>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</si>
  <si>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</si>
  <si>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</si>
  <si>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</si>
  <si>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</si>
  <si>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</si>
  <si>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</si>
  <si>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</si>
  <si>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</si>
  <si>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</si>
  <si>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</si>
  <si>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</si>
  <si>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</si>
  <si>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</si>
  <si>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</si>
  <si>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</si>
  <si>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</si>
  <si>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</si>
  <si>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</si>
  <si>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</si>
  <si>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</si>
  <si>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</si>
  <si>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</si>
  <si>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</si>
  <si>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</si>
  <si>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</si>
  <si>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</si>
  <si>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</si>
  <si>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</si>
  <si>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</si>
  <si>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</si>
  <si>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</si>
  <si>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</si>
  <si>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</si>
  <si>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</si>
  <si>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</si>
  <si>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</si>
  <si>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</si>
  <si>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</si>
  <si>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</si>
  <si>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</si>
  <si>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</si>
  <si>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</si>
  <si>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</si>
  <si>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</si>
  <si>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</si>
  <si>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</si>
  <si>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</si>
  <si>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</si>
  <si>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</si>
  <si>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</si>
  <si>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</si>
  <si>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</si>
  <si>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</si>
  <si>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</si>
  <si>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</si>
  <si>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</si>
  <si>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</si>
  <si>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</si>
  <si>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</si>
  <si>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</si>
  <si>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</si>
  <si>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</si>
  <si>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</si>
  <si>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</si>
  <si>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</si>
  <si>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</si>
  <si>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</si>
  <si>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</si>
  <si>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</si>
  <si>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</si>
  <si>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</si>
  <si>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</si>
  <si>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</si>
  <si>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</si>
  <si>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</si>
  <si>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</si>
  <si>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</si>
  <si>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</si>
  <si>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</si>
  <si>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</si>
  <si>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</si>
  <si>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</si>
  <si>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</si>
  <si>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</si>
  <si>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</si>
  <si>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</si>
  <si>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</si>
  <si>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</si>
  <si>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</si>
  <si>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</si>
  <si>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</si>
  <si>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</si>
  <si>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</si>
  <si>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</si>
  <si>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</si>
  <si>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</si>
  <si>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</si>
  <si>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</si>
  <si>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</si>
  <si>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</si>
  <si>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</si>
  <si>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</si>
  <si>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</si>
  <si>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</si>
  <si>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</si>
  <si>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</si>
  <si>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</si>
  <si>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</si>
  <si>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</si>
  <si>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</si>
  <si>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</si>
  <si>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</si>
  <si>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</si>
  <si>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</si>
  <si>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</si>
  <si>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</si>
  <si>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</si>
  <si>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</si>
  <si>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</si>
  <si>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</si>
  <si>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</si>
  <si>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</si>
  <si>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</si>
  <si>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</si>
  <si>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</si>
  <si>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</si>
  <si>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</si>
  <si>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</si>
  <si>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</si>
  <si>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</si>
  <si>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</si>
  <si>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</si>
  <si>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</si>
  <si>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</si>
  <si>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</si>
  <si>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</si>
  <si>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</si>
  <si>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</si>
  <si>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</si>
  <si>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</si>
  <si>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</si>
  <si>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</si>
  <si>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</si>
  <si>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</si>
  <si>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</si>
  <si>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</si>
  <si>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</si>
  <si>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</si>
  <si>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</si>
  <si>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</si>
  <si>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</si>
  <si>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</si>
  <si>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</si>
  <si>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</si>
  <si>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</si>
  <si>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</si>
  <si>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</si>
  <si>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</si>
  <si>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</si>
  <si>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</si>
  <si>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</si>
  <si>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</si>
  <si>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</si>
  <si>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</si>
  <si>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</si>
  <si>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</si>
  <si>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</si>
  <si>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</si>
  <si>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</si>
  <si>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</si>
  <si>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</si>
  <si>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</si>
  <si>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</si>
  <si>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</si>
  <si>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</si>
  <si>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</si>
  <si>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</si>
  <si>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</si>
  <si>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</si>
  <si>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</si>
  <si>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</si>
  <si>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</si>
  <si>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</si>
  <si>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</si>
  <si>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</si>
  <si>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</si>
  <si>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</si>
  <si>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</si>
  <si>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</si>
  <si>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</si>
  <si>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</si>
  <si>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</si>
  <si>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</si>
  <si>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</si>
  <si>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</si>
  <si>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</si>
  <si>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</si>
  <si>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</si>
  <si>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</si>
  <si>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</si>
  <si>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</si>
  <si>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</si>
  <si>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</si>
  <si>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</si>
  <si>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</si>
  <si>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</si>
  <si>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</si>
  <si>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</si>
  <si>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</si>
  <si>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</si>
  <si>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</si>
  <si>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</si>
  <si>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</si>
  <si>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</si>
  <si>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</si>
  <si>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</si>
  <si>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</si>
  <si>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</si>
  <si>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</si>
  <si>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</si>
  <si>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</si>
  <si>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</si>
  <si>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</si>
  <si>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</si>
  <si>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</si>
  <si>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</si>
  <si>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</si>
  <si>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</si>
  <si>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</si>
  <si>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</si>
  <si>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</si>
  <si>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</si>
  <si>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</si>
  <si>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</si>
  <si>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</si>
  <si>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</si>
  <si>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</si>
  <si>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</si>
  <si>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</si>
  <si>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</si>
  <si>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</si>
  <si>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</si>
  <si>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</si>
  <si>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</si>
  <si>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</si>
  <si>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</si>
  <si>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</si>
  <si>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</si>
  <si>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</si>
  <si>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</si>
  <si>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</si>
  <si>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</si>
  <si>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</si>
  <si>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</si>
  <si>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</si>
  <si>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</si>
  <si>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</si>
  <si>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</si>
  <si>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</si>
  <si>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</si>
  <si>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</si>
  <si>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</si>
  <si>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</si>
  <si>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</si>
  <si>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</si>
  <si>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</si>
  <si>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</si>
  <si>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</si>
  <si>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</si>
  <si>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</si>
  <si>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</si>
  <si>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</si>
  <si>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</si>
  <si>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</si>
  <si>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</si>
  <si>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</si>
  <si>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</si>
  <si>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</si>
  <si>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</si>
  <si>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</si>
  <si>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</si>
  <si>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</si>
  <si>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</si>
  <si>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</si>
  <si>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</si>
  <si>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</si>
  <si>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</si>
  <si>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</si>
  <si>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</si>
  <si>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</si>
  <si>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</si>
  <si>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</si>
  <si>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</si>
  <si>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</si>
  <si>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</si>
  <si>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</si>
  <si>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</si>
  <si>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</si>
  <si>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</si>
  <si>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</si>
  <si>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</si>
  <si>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</si>
  <si>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</si>
  <si>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</si>
  <si>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</si>
  <si>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</si>
  <si>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</si>
  <si>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</si>
  <si>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</si>
  <si>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</si>
  <si>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</si>
  <si>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</si>
  <si>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</si>
  <si>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</si>
  <si>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</si>
  <si>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</si>
  <si>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</si>
  <si>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</si>
  <si>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</si>
  <si>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</si>
  <si>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</si>
  <si>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</si>
  <si>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</si>
  <si>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</si>
  <si>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</si>
  <si>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</si>
  <si>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</si>
  <si>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</si>
  <si>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</si>
  <si>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</si>
  <si>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</si>
  <si>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</si>
  <si>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</si>
  <si>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</si>
  <si>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</si>
  <si>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</si>
  <si>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</si>
  <si>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</si>
  <si>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</si>
  <si>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</si>
  <si>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</si>
  <si>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</si>
  <si>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</si>
  <si>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</si>
  <si>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</si>
  <si>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</si>
  <si>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</si>
  <si>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</si>
  <si>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</si>
  <si>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</si>
  <si>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</si>
  <si>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</si>
  <si>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</si>
  <si>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</si>
  <si>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</si>
  <si>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</si>
  <si>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</si>
  <si>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</si>
  <si>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</si>
  <si>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</si>
  <si>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</si>
  <si>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</si>
  <si>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</si>
  <si>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</si>
  <si>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</si>
  <si>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</si>
  <si>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</si>
  <si>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</si>
  <si>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</si>
  <si>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</si>
  <si>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</si>
  <si>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</si>
  <si>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</si>
  <si>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</si>
  <si>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</si>
  <si>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</si>
  <si>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</si>
  <si>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</si>
  <si>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</si>
  <si>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</si>
  <si>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</si>
  <si>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</si>
  <si>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</si>
  <si>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</si>
  <si>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</si>
  <si>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</si>
  <si>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</si>
  <si>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</si>
  <si>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</si>
  <si>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</si>
  <si>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</si>
  <si>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</si>
  <si>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</si>
  <si>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</si>
  <si>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</si>
  <si>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</si>
  <si>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</si>
  <si>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</si>
  <si>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</si>
  <si>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</si>
  <si>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</si>
  <si>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</si>
  <si>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</si>
  <si>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</si>
  <si>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</si>
  <si>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</si>
  <si>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</si>
  <si>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</si>
  <si>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</si>
  <si>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</si>
  <si>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</si>
  <si>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</si>
  <si>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</si>
  <si>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</si>
  <si>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</si>
  <si>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</si>
  <si>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</si>
  <si>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</si>
  <si>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</si>
  <si>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</si>
  <si>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</si>
  <si>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</si>
  <si>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</si>
  <si>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</si>
  <si>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</si>
  <si>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</si>
  <si>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</si>
  <si>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</si>
  <si>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</si>
  <si>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</si>
  <si>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</si>
  <si>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</si>
  <si>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</si>
  <si>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</si>
  <si>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</si>
  <si>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</si>
  <si>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</si>
  <si>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</si>
  <si>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</si>
  <si>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</si>
  <si>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</si>
  <si>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</si>
  <si>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</si>
  <si>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</si>
  <si>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</si>
  <si>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</si>
  <si>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</si>
  <si>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</si>
  <si>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</si>
  <si>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</si>
  <si>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</si>
  <si>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</si>
  <si>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</si>
  <si>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</si>
  <si>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</si>
  <si>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</si>
  <si>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</si>
  <si>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</si>
  <si>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</si>
  <si>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</si>
  <si>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</si>
  <si>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</si>
  <si>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</si>
  <si>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</si>
  <si>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</si>
  <si>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</si>
  <si>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</si>
  <si>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</si>
  <si>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</si>
  <si>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</si>
  <si>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</si>
  <si>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</si>
  <si>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</si>
  <si>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</si>
  <si>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</si>
  <si>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</si>
  <si>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</si>
  <si>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</si>
  <si>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</si>
  <si>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</si>
  <si>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</si>
  <si>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</si>
  <si>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</si>
  <si>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</si>
  <si>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</si>
  <si>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</si>
  <si>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</si>
  <si>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</si>
  <si>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</si>
  <si>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</si>
  <si>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</si>
  <si>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</si>
  <si>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</si>
  <si>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</si>
  <si>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</si>
  <si>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</si>
  <si>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</si>
  <si>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</si>
  <si>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</si>
  <si>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</si>
  <si>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</si>
  <si>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</si>
  <si>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</si>
  <si>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</si>
  <si>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</si>
  <si>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</si>
  <si>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</si>
  <si>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</si>
  <si>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</si>
  <si>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</si>
  <si>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</si>
  <si>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</si>
  <si>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</si>
  <si>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</si>
  <si>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</si>
  <si>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</si>
  <si>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</si>
  <si>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</si>
  <si>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</si>
  <si>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</si>
  <si>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</si>
  <si>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</si>
  <si>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</si>
  <si>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</si>
  <si>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</si>
  <si>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</si>
  <si>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</si>
  <si>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</si>
  <si>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</si>
  <si>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</si>
  <si>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</si>
  <si>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</si>
  <si>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</si>
  <si>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</si>
  <si>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</si>
  <si>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</si>
  <si>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</si>
  <si>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</si>
  <si>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</si>
  <si>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</si>
  <si>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</si>
  <si>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</si>
  <si>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</si>
  <si>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</si>
  <si>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</si>
  <si>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</si>
  <si>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</si>
  <si>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</si>
  <si>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</si>
  <si>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</si>
  <si>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</si>
  <si>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</si>
  <si>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</si>
  <si>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</si>
  <si>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</si>
  <si>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</si>
  <si>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</si>
  <si>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</si>
  <si>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</si>
  <si>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</si>
  <si>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</si>
  <si>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</si>
  <si>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</si>
  <si>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</si>
  <si>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</si>
  <si>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</si>
  <si>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</si>
  <si>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</si>
  <si>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</si>
  <si>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</si>
  <si>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</si>
  <si>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</si>
  <si>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</si>
  <si>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</si>
  <si>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</si>
  <si>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</si>
  <si>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</si>
  <si>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</si>
  <si>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</si>
  <si>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</si>
  <si>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</si>
  <si>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</si>
  <si>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</si>
  <si>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</si>
  <si>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</si>
  <si>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</si>
  <si>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</si>
  <si>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</si>
  <si>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</si>
  <si>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</si>
  <si>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</si>
  <si>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</si>
  <si>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</si>
  <si>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</si>
  <si>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</si>
  <si>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</si>
  <si>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</si>
  <si>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</si>
  <si>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</si>
  <si>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</si>
  <si>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</si>
  <si>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</si>
  <si>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</si>
  <si>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</si>
  <si>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</si>
  <si>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</si>
  <si>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</si>
  <si>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</si>
  <si>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</si>
  <si>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</si>
  <si>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</si>
  <si>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</si>
  <si>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</si>
  <si>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</si>
  <si>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</si>
  <si>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</si>
  <si>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</si>
  <si>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</si>
  <si>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</si>
  <si>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</si>
  <si>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</si>
  <si>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</si>
  <si>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</si>
  <si>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</si>
  <si>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</si>
  <si>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</si>
  <si>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</si>
  <si>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</si>
  <si>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</si>
  <si>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</si>
  <si>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</si>
  <si>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</si>
  <si>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</si>
  <si>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</si>
  <si>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</si>
  <si>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</si>
  <si>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</si>
  <si>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</si>
  <si>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</si>
  <si>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</si>
  <si>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</si>
  <si>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</si>
  <si>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</si>
  <si>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</si>
  <si>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</si>
  <si>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</si>
  <si>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</si>
  <si>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</si>
  <si>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</si>
  <si>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</si>
  <si>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</si>
  <si>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</si>
  <si>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</si>
  <si>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</si>
  <si>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</si>
  <si>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</si>
  <si>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</si>
  <si>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</si>
  <si>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</si>
  <si>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</si>
  <si>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</si>
  <si>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</si>
  <si>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</si>
  <si>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</si>
  <si>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</si>
  <si>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</si>
  <si>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</si>
  <si>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</si>
  <si>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</si>
  <si>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</si>
  <si>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</si>
  <si>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</si>
  <si>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</si>
  <si>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</si>
  <si>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</si>
  <si>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</si>
  <si>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</si>
  <si>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</si>
  <si>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</si>
  <si>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</si>
  <si>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</si>
  <si>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</si>
  <si>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</si>
  <si>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</si>
  <si>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</si>
  <si>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</si>
  <si>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</si>
  <si>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</si>
  <si>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</si>
  <si>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</si>
  <si>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</si>
  <si>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</si>
  <si>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</si>
  <si>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</si>
  <si>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</si>
  <si>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</si>
  <si>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</si>
  <si>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</si>
  <si>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</si>
  <si>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</si>
  <si>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</si>
  <si>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</si>
  <si>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</si>
  <si>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</si>
  <si>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</si>
  <si>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</si>
  <si>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</si>
  <si>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</si>
  <si>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</si>
  <si>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</si>
  <si>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</si>
  <si>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</si>
  <si>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</si>
  <si>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</si>
  <si>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</si>
  <si>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</si>
  <si>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</si>
  <si>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</si>
  <si>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</si>
  <si>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</si>
  <si>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</si>
  <si>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</si>
  <si>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</si>
  <si>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</si>
  <si>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</si>
  <si>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</si>
  <si>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</si>
  <si>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</si>
  <si>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</si>
  <si>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</si>
  <si>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</si>
  <si>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</si>
  <si>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</si>
  <si>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</si>
  <si>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</si>
  <si>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</si>
  <si>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</si>
  <si>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</si>
  <si>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</si>
  <si>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</si>
  <si>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</si>
  <si>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</si>
  <si>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</si>
  <si>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</si>
  <si>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</si>
  <si>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</si>
  <si>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</si>
  <si>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</si>
  <si>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</si>
  <si>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</si>
  <si>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</si>
  <si>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</si>
  <si>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</si>
  <si>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</si>
  <si>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</si>
  <si>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</si>
  <si>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</si>
  <si>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</si>
  <si>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</si>
  <si>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</si>
  <si>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</si>
  <si>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</si>
  <si>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</si>
  <si>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</si>
  <si>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</si>
  <si>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</si>
  <si>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</si>
  <si>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</si>
  <si>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</si>
  <si>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</si>
  <si>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</si>
  <si>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</si>
  <si>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</si>
  <si>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</si>
  <si>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</si>
  <si>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</si>
  <si>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</si>
  <si>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</si>
  <si>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</si>
  <si>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</si>
  <si>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</si>
  <si>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</si>
  <si>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</si>
  <si>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</si>
  <si>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</si>
  <si>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</si>
  <si>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</si>
  <si>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</si>
  <si>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</si>
  <si>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</si>
  <si>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</si>
  <si>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</si>
  <si>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</si>
  <si>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</si>
  <si>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</si>
  <si>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</si>
  <si>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</si>
  <si>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</si>
  <si>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</si>
  <si>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</si>
  <si>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</si>
  <si>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</si>
  <si>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</si>
  <si>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</si>
  <si>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</si>
  <si>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</si>
  <si>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</si>
  <si>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</si>
  <si>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</si>
  <si>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</si>
  <si>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</si>
  <si>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</si>
  <si>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</si>
  <si>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</si>
  <si>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</si>
  <si>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</si>
  <si>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</si>
  <si>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</si>
  <si>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</si>
  <si>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</si>
  <si>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</si>
  <si>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</si>
  <si>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</si>
  <si>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</si>
  <si>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</si>
  <si>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</si>
  <si>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</si>
  <si>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</si>
  <si>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</si>
  <si>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</si>
  <si>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</si>
  <si>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</si>
  <si>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</si>
  <si>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</si>
  <si>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</si>
  <si>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</si>
  <si>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</si>
  <si>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</si>
  <si>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</si>
  <si>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</si>
  <si>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</si>
  <si>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</si>
  <si>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</si>
  <si>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</si>
  <si>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</si>
  <si>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</si>
  <si>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</si>
  <si>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</si>
  <si>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</si>
  <si>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</si>
  <si>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</si>
  <si>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</si>
  <si>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</si>
  <si>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</si>
  <si>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</si>
  <si>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</si>
  <si>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</si>
  <si>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</si>
  <si>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</si>
  <si>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</si>
  <si>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</si>
  <si>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</si>
  <si>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</si>
  <si>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</si>
  <si>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</si>
  <si>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</si>
  <si>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</si>
  <si>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</si>
  <si>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</si>
  <si>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</si>
  <si>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</si>
  <si>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</si>
  <si>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</si>
  <si>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</si>
  <si>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</si>
  <si>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</si>
  <si>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</si>
  <si>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</si>
  <si>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</si>
  <si>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</si>
  <si>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</si>
  <si>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</si>
  <si>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</si>
  <si>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</si>
  <si>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</si>
  <si>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</si>
  <si>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</si>
  <si>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</si>
  <si>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</si>
  <si>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</si>
  <si>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</si>
  <si>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</si>
  <si>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</si>
  <si>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</si>
  <si>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</si>
  <si>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</si>
  <si>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</si>
  <si>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</si>
  <si>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</si>
  <si>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</si>
  <si>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</si>
  <si>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</si>
  <si>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</si>
  <si>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</si>
  <si>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</si>
  <si>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</si>
  <si>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</si>
  <si>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</si>
  <si>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</si>
  <si>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</si>
  <si>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</si>
  <si>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</si>
  <si>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</si>
  <si>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</si>
  <si>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</si>
  <si>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</si>
  <si>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</si>
  <si>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</si>
  <si>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</si>
  <si>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</si>
  <si>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</si>
  <si>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</si>
  <si>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</si>
  <si>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</si>
  <si>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</si>
  <si>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</si>
  <si>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</si>
  <si>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</si>
  <si>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</si>
  <si>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</si>
  <si>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</si>
  <si>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</si>
  <si>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</si>
  <si>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</si>
  <si>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</si>
  <si>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</si>
  <si>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</si>
  <si>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</si>
  <si>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</si>
  <si>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</si>
  <si>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</si>
  <si>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</si>
  <si>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</si>
  <si>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</si>
  <si>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</si>
  <si>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</si>
  <si>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</si>
  <si>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</si>
  <si>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</si>
  <si>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</si>
  <si>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</si>
  <si>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</si>
  <si>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</si>
  <si>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</si>
  <si>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</si>
  <si>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</si>
  <si>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</si>
  <si>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</si>
  <si>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</si>
  <si>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</si>
  <si>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</si>
  <si>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</si>
  <si>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</si>
  <si>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</si>
  <si>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</si>
  <si>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</si>
  <si>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</si>
  <si>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</si>
  <si>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</si>
  <si>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</si>
  <si>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</si>
  <si>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</si>
  <si>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</si>
  <si>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</si>
  <si>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</si>
  <si>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</si>
  <si>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</si>
  <si>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</si>
  <si>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</si>
  <si>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</si>
  <si>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</si>
  <si>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</si>
  <si>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</si>
  <si>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</si>
  <si>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</si>
  <si>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</si>
  <si>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</si>
  <si>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</si>
  <si>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</si>
  <si>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</si>
  <si>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</si>
  <si>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</si>
  <si>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</si>
  <si>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</si>
  <si>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</si>
  <si>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</si>
  <si>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</si>
  <si>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</si>
  <si>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</si>
  <si>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</si>
  <si>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</si>
  <si>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Navya - Black Orange</t>
  </si>
  <si>
    <t>Black/pink, black/orange, violet/bottle green</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</si>
  <si>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</si>
  <si>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</si>
  <si>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</si>
  <si>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</si>
  <si>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</si>
  <si>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</si>
  <si>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</si>
  <si>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</si>
  <si>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</si>
  <si>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</si>
  <si>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</si>
  <si>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</si>
  <si>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</si>
  <si>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</si>
  <si>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</si>
  <si>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</si>
  <si>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</si>
  <si>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</si>
  <si>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</si>
  <si>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</si>
  <si>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</si>
  <si>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</si>
  <si>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</si>
  <si>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</si>
  <si>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</si>
  <si>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</si>
  <si>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</si>
  <si>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</si>
  <si>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</si>
  <si>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</si>
  <si>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</si>
  <si>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</si>
  <si>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</si>
  <si>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</si>
  <si>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</si>
  <si>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</si>
  <si>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</si>
  <si>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</si>
  <si>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</si>
  <si>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</si>
  <si>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</si>
  <si>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</si>
  <si>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</si>
  <si>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</si>
  <si>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</si>
  <si>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</si>
  <si>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</si>
  <si>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</si>
  <si>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</si>
  <si>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</si>
  <si>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</si>
  <si>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</si>
  <si>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</si>
  <si>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</si>
  <si>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</si>
  <si>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</si>
  <si>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</si>
  <si>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</si>
  <si>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</si>
  <si>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</si>
  <si>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</si>
  <si>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</si>
  <si>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</si>
  <si>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</si>
  <si>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</si>
  <si>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</si>
  <si>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</si>
  <si>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</si>
  <si>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</si>
  <si>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</si>
  <si>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</si>
  <si>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</si>
  <si>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Cotton 2-piece set with blue floral prints-M (CHR-156), Short Kurti(CHR-151)-L, Dusty Rose Salwar(CHR-77)-L, Chanderis Silk Saree(Yellow-CHR-119), Matka - Lavender/Violet(CHR-174), Chikku Maroon new design(CHR-188)</t>
  </si>
  <si>
    <t>Dison Jose</t>
  </si>
  <si>
    <t>Albert (Kattapana)</t>
  </si>
  <si>
    <t>CHR-165 (Chocolate Brown)</t>
  </si>
  <si>
    <t>Chocolate Brown - Albert</t>
  </si>
  <si>
    <t xml:space="preserve">Violet, Bottle Green  </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</si>
  <si>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</si>
  <si>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</si>
  <si>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</si>
  <si>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</si>
  <si>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</si>
  <si>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</si>
  <si>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</si>
  <si>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</si>
  <si>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</si>
  <si>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</si>
  <si>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</si>
  <si>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</si>
  <si>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</si>
  <si>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</si>
  <si>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</si>
  <si>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</si>
  <si>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</si>
  <si>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</si>
  <si>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</si>
  <si>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</si>
  <si>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</si>
  <si>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</si>
  <si>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</si>
  <si>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</si>
  <si>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</si>
  <si>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</si>
  <si>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</si>
  <si>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</si>
  <si>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</si>
  <si>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</si>
  <si>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</si>
  <si>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</si>
  <si>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</si>
  <si>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</si>
  <si>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</si>
  <si>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</si>
  <si>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</si>
  <si>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</si>
  <si>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</si>
  <si>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</si>
  <si>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</si>
  <si>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</si>
  <si>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</si>
  <si>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</si>
  <si>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</si>
  <si>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</si>
  <si>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</si>
  <si>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</si>
  <si>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</si>
  <si>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</si>
  <si>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</si>
  <si>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</si>
  <si>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</si>
  <si>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</si>
  <si>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</si>
  <si>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</si>
  <si>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</si>
  <si>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</si>
  <si>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</si>
  <si>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</si>
  <si>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</si>
  <si>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</si>
  <si>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</si>
  <si>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</si>
  <si>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</si>
  <si>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</si>
  <si>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</si>
  <si>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</si>
  <si>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</si>
  <si>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</si>
  <si>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</si>
  <si>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</si>
  <si>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</si>
  <si>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</si>
  <si>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</si>
  <si>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</si>
  <si>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</si>
  <si>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</si>
  <si>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</si>
  <si>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</si>
  <si>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</si>
  <si>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</si>
  <si>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</si>
  <si>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</si>
  <si>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</si>
  <si>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</si>
  <si>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</si>
  <si>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</si>
  <si>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Shylaja - Green and maroon with golden design</t>
  </si>
  <si>
    <t>Green and maroon, deep purple and dark green, blue and dark green, rose pink and olive green, Red</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</si>
  <si>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</si>
  <si>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</si>
  <si>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</si>
  <si>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</si>
  <si>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</si>
  <si>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</si>
  <si>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</si>
  <si>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</si>
  <si>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</si>
  <si>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</si>
  <si>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</si>
  <si>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</si>
  <si>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</si>
  <si>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</si>
  <si>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</si>
  <si>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</si>
  <si>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</si>
  <si>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</si>
  <si>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</si>
  <si>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</si>
  <si>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</si>
  <si>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</si>
  <si>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</si>
  <si>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</si>
  <si>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</si>
  <si>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</si>
  <si>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</si>
  <si>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</si>
  <si>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</si>
  <si>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</si>
  <si>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</si>
  <si>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</si>
  <si>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</si>
  <si>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</si>
  <si>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</si>
  <si>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</si>
  <si>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Black, Wine</t>
  </si>
  <si>
    <t>Jet Black</t>
  </si>
  <si>
    <t>Black/Silver</t>
  </si>
  <si>
    <t>Golden (Different Designs)</t>
  </si>
  <si>
    <t>-</t>
  </si>
  <si>
    <t>White with Butterfly (Different Border Colors)</t>
  </si>
  <si>
    <t>Blue, Beige/Green, Orange/Maroon</t>
  </si>
  <si>
    <t>1479 - Jiji Fried</t>
  </si>
  <si>
    <t>CHR-214 - Yellow/Blue Chanderi Silk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</si>
  <si>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</si>
  <si>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</si>
  <si>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</si>
  <si>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</si>
  <si>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</si>
  <si>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</si>
  <si>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</si>
  <si>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</si>
  <si>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</si>
  <si>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Renju</t>
  </si>
  <si>
    <t>CHR-238</t>
  </si>
  <si>
    <t>1000 - Jiji friend</t>
  </si>
  <si>
    <t>CHR-238 - Kerala</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</si>
  <si>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</si>
  <si>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</si>
  <si>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</si>
  <si>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</si>
  <si>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</si>
  <si>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</si>
  <si>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</si>
  <si>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</si>
  <si>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</si>
  <si>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</si>
  <si>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</si>
  <si>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</si>
  <si>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</si>
  <si>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</si>
  <si>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</si>
  <si>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</si>
  <si>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</si>
  <si>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</si>
  <si>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</si>
  <si>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</si>
  <si>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</si>
  <si>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</si>
  <si>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</si>
  <si>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</si>
  <si>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</si>
  <si>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</si>
  <si>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</si>
  <si>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</si>
  <si>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</si>
  <si>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Pink, Black</t>
  </si>
  <si>
    <t>Blue - returned</t>
  </si>
  <si>
    <t>Red - retruned</t>
  </si>
  <si>
    <t>Green, Olive Green</t>
  </si>
  <si>
    <t>Prabha Chidambaram - Green, Wine red returned</t>
  </si>
  <si>
    <t>Blue</t>
  </si>
  <si>
    <t>2 - returned</t>
  </si>
  <si>
    <t>2 -return</t>
  </si>
  <si>
    <t>M, L</t>
  </si>
  <si>
    <t>Sruthi (1300) - L, Bank of baroda customer - M, Niroop - XL</t>
  </si>
  <si>
    <t>CHR-212 - Purple, CHR-215 - Green and Maroon with golden design - 1000 advance, 750 pending</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</si>
  <si>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</si>
  <si>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</si>
  <si>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</si>
  <si>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</si>
  <si>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</si>
  <si>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Dr.Reshna - Yellow/Black</t>
  </si>
  <si>
    <t>Pink with Silver Butas, Black/Red, Wine/Green</t>
  </si>
  <si>
    <t>Nisha Shaju</t>
  </si>
  <si>
    <t>CHR-174 Matka Peacock blue/maroon</t>
  </si>
  <si>
    <t>DTDC parcel charges</t>
  </si>
  <si>
    <t>Ranju Bank Staff (850)</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</si>
  <si>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</si>
  <si>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</si>
  <si>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</si>
  <si>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</si>
  <si>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</si>
  <si>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</si>
  <si>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</si>
  <si>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</si>
  <si>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</si>
  <si>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</si>
  <si>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</si>
  <si>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Light blue/onion peel, brown/dark maroon, black/light green, Navy, rani pink, olive green(2)</t>
  </si>
  <si>
    <t>Cotton Saree Collections</t>
  </si>
  <si>
    <t>CHR-241 - Net Kota, CHR-228 Jute Silk Navy Blue</t>
  </si>
  <si>
    <t>Navy Blue - Neethu</t>
  </si>
  <si>
    <t>Black, Maroon, Violet, Rani Pink, Olive Green</t>
  </si>
  <si>
    <t>Temple Design, CHR-240 New Kerala Golden Saree with flowers, CHR-242-Kerala Saree, CHR-230 - Jute Silk  (Advance -2800)</t>
  </si>
  <si>
    <t>Bank Account</t>
  </si>
  <si>
    <t>CHR-192 Small temple design, CHR-180 - Coffee Brown Cotton Salwar,CHR-226 - Jet black semi jute</t>
  </si>
  <si>
    <t>Prajisha (Construction Company)</t>
  </si>
  <si>
    <t>CHR-87 Red Salwar with Elephant print, CHR-58 Wine Red Salwar, CHR-180 Coffee Brown Salwar(M) (2100 advance, 1350 balance)</t>
  </si>
  <si>
    <t>Shinoob School - 1500(XXL), Niroop - XL, Prajisha(1100) - M</t>
  </si>
  <si>
    <t>Asha Binu (Haritha Karma Sena)</t>
  </si>
  <si>
    <t>Parrot Green Banarasi - 5 sarees</t>
  </si>
  <si>
    <t>Parrot Green Banarasi - 6 sarees</t>
  </si>
  <si>
    <t>Parrot Green Banarasi - 11 sarees</t>
  </si>
  <si>
    <t>Rejitha Sijo</t>
  </si>
  <si>
    <t>1250 X 6, 1250 X 11, 1250 X 5, 1250 x 5, 1250 X5</t>
  </si>
  <si>
    <t>CHR-212 - Red, CHR-214 - Yellow/Blue Chanderi Silk</t>
  </si>
  <si>
    <t>CHR-182 (Yellow Linen Saree with Lotus, CHR-217 cream/gold with stars and paisley &amp; cream/gold with flowers, CHR-212 Green elephant print - 1600 advance, 1150 - pending</t>
  </si>
  <si>
    <t>Latha - Red, Shylaja - Purple, Jisha - Red, Bank staff - Green</t>
  </si>
  <si>
    <t>Yellow/Orange(4), Blue</t>
  </si>
  <si>
    <t>Green/maroon - Rajitha Teacher,  chikku green - Razia Salim, Rust Orange/Coffee Brown - Nishida, Chikku Maroon(1200) - Nishida, Komalavalli - Red/green, peacock blue/navy - returned, mustard/blue - girija(1200), Suma - Golden yellow &amp; green triangle</t>
  </si>
  <si>
    <t>Suma Bank</t>
  </si>
  <si>
    <t>CHR-188 - Banarasi yellow triangle</t>
  </si>
  <si>
    <t>Red &amp; Green</t>
  </si>
  <si>
    <t>Sangeetha Prasad</t>
  </si>
  <si>
    <t>CHR-199 - Tissue Dark Green/navy</t>
  </si>
  <si>
    <t>Navy/blue &amp; maroon/grey - Navya, Sangeetha - Dark green/Navy</t>
  </si>
  <si>
    <t>Green/Navy, Red/maroon</t>
  </si>
  <si>
    <t>CHR-186 - Banarasi Silk (Golden Yellow Green)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</si>
</sst>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350</c:v>
                </c:pt>
                <c:pt idx="1">
                  <c:v>99</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179</c:v>
                </c:pt>
                <c:pt idx="1">
                  <c:v>51</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53945</c:v>
                </c:pt>
                <c:pt idx="1">
                  <c:v>127271.14666666667</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10461</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63426</c:v>
                </c:pt>
                <c:pt idx="7">
                  <c:v>65478</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-38774</c:v>
                </c:pt>
                <c:pt idx="7">
                  <c:v>55017</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454</c:v>
                </c:pt>
                <c:pt idx="1">
                  <c:v>275</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566808</v>
      </c>
      <c r="E3" s="8" t="s">
        <v>42</v>
      </c>
      <c r="F3" s="8" t="s">
        <v>43</v>
      </c>
    </row>
    <row r="4" spans="1:6" ht="13.5" customHeight="1">
      <c r="A4" s="9" t="s">
        <v>44</v>
      </c>
      <c r="B4" s="10">
        <f>SUMIFS(Sales!C:C, Sales!I:I, "Completed")</f>
        <v>537362</v>
      </c>
      <c r="E4" s="9" t="str">
        <f>PartnerShares!A3</f>
        <v>Rajna</v>
      </c>
      <c r="F4" s="10">
        <f>PartnerShares!B3</f>
        <v>0.33339999999999997</v>
      </c>
    </row>
    <row r="5" spans="1:6" ht="13.5" customHeight="1">
      <c r="A5" s="11" t="s">
        <v>45</v>
      </c>
      <c r="B5" s="12">
        <f>SUM(Sales!C:C)</f>
        <v>557402</v>
      </c>
      <c r="E5" s="11" t="str">
        <f>PartnerShares!A4</f>
        <v>Anoop</v>
      </c>
      <c r="F5" s="12">
        <f>PartnerShares!B4</f>
        <v>0.3332</v>
      </c>
    </row>
    <row r="6" spans="1:6" ht="13.5" customHeight="1">
      <c r="A6" s="9" t="s">
        <v>46</v>
      </c>
      <c r="B6" s="10">
        <f>B4-B3</f>
        <v>-29446</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55651.66</v>
      </c>
      <c r="C10" s="9"/>
    </row>
    <row r="11" spans="1:6" ht="13.5" customHeight="1">
      <c r="A11" s="11" t="s">
        <v>50</v>
      </c>
      <c r="B11" s="14">
        <f>PartnerShares!H9</f>
        <v>40741.67</v>
      </c>
      <c r="C11" s="11"/>
    </row>
    <row r="12" spans="1:6" ht="13.5" customHeight="1">
      <c r="A12" s="9" t="s">
        <v>51</v>
      </c>
      <c r="B12" s="13">
        <f>PartnerShares!H10</f>
        <v>-96393.33</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262891</v>
      </c>
      <c r="C18" s="10">
        <f>PartnerShares!C8</f>
        <v>188936</v>
      </c>
      <c r="D18" s="10">
        <f>PartnerShares!D8</f>
        <v>73955</v>
      </c>
      <c r="E18" s="10">
        <f>IFERROR(SUMIFS(PartnerShares!$E$14:$E$500,PartnerShares!$D$14:$D$500,$A18,PartnerShares!$B$14:$B$500,"Contribution"),0)-IFERROR(SUMIFS(PartnerShares!$E$14:$E$500,PartnerShares!$C$14:$C$500,$A18,PartnerShares!$B$14:$B$500,"Contribution"),0)</f>
        <v>18303.34</v>
      </c>
      <c r="F18" s="13">
        <f>D18-E18</f>
        <v>55651.66</v>
      </c>
      <c r="G18" s="16" t="str">
        <f>IF(ROUND(F18,0)&gt;0,"Receive ₹"&amp;TEXT(ABS(F18),"#,##0"),IF(ROUND(F18,0)&lt;0,"Pay ₹"&amp;TEXT(ABS(F18),"#,##0"),"✓ Settled"))</f>
        <v>Receive ₹55,652</v>
      </c>
    </row>
    <row r="19" spans="1:7" ht="13.5" customHeight="1">
      <c r="A19" s="11" t="str">
        <f>PartnerShares!A9</f>
        <v>Anoop</v>
      </c>
      <c r="B19" s="12">
        <f>PartnerShares!B9</f>
        <v>271317</v>
      </c>
      <c r="C19" s="12">
        <f>PartnerShares!C9</f>
        <v>188936</v>
      </c>
      <c r="D19" s="12">
        <f>PartnerShares!D9</f>
        <v>82381</v>
      </c>
      <c r="E19" s="12">
        <f>IFERROR(SUMIFS(PartnerShares!$E$14:$E$500,PartnerShares!$D$14:$D$500,$A19,PartnerShares!$B$14:$B$500,"Contribution"),0)-IFERROR(SUMIFS(PartnerShares!$E$14:$E$500,PartnerShares!$C$14:$C$500,$A19,PartnerShares!$B$14:$B$500,"Contribution"),0)</f>
        <v>41639.33</v>
      </c>
      <c r="F19" s="14">
        <f>D19-E19</f>
        <v>40741.67</v>
      </c>
      <c r="G19" s="17" t="str">
        <f>IF(ROUND(F19,0)&gt;0,"Receive ₹"&amp;TEXT(ABS(F19),"#,##0"),IF(ROUND(F19,0)&lt;0,"Pay ₹"&amp;TEXT(ABS(F19),"#,##0"),"✓ Settled"))</f>
        <v>Receive ₹40,742</v>
      </c>
    </row>
    <row r="20" spans="1:7" ht="13.5" customHeight="1">
      <c r="A20" s="9" t="str">
        <f>PartnerShares!A10</f>
        <v>Rameez</v>
      </c>
      <c r="B20" s="10">
        <f>PartnerShares!B10</f>
        <v>32600</v>
      </c>
      <c r="C20" s="10">
        <f>PartnerShares!C10</f>
        <v>188936</v>
      </c>
      <c r="D20" s="10">
        <f>PartnerShares!D10</f>
        <v>-156336</v>
      </c>
      <c r="E20" s="10">
        <f>IFERROR(SUMIFS(PartnerShares!$E$14:$E$500,PartnerShares!$D$14:$D$500,$A20,PartnerShares!$B$14:$B$500,"Contribution"),0)-IFERROR(SUMIFS(PartnerShares!$E$14:$E$500,PartnerShares!$C$14:$C$500,$A20,PartnerShares!$B$14:$B$500,"Contribution"),0)</f>
        <v>-59942.67</v>
      </c>
      <c r="F20" s="13">
        <f>D20-E20</f>
        <v>-96393.33</v>
      </c>
      <c r="G20" s="17" t="str">
        <f>IF(ROUND(F20,0)&gt;0,"Receive ₹"&amp;TEXT(ABS(F20),"#,##0"),IF(ROUND(F20,0)&lt;0,"Pay ₹"&amp;TEXT(ABS(F20),"#,##0"),"✓ Settled"))</f>
        <v>Pay ₹96,393</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469208</v>
      </c>
      <c r="C26" s="10">
        <f>'Cash Pool'!D4</f>
        <v>179156.4908</v>
      </c>
      <c r="D26" s="10">
        <f>'Cash Pool'!E4</f>
        <v>290051.50919999997</v>
      </c>
      <c r="E26" s="10">
        <f>'Cash Pool'!F4</f>
        <v>-137310.02600000001</v>
      </c>
      <c r="F26" s="13">
        <f>'Cash Pool'!G4</f>
        <v>152741.48319999996</v>
      </c>
      <c r="G26" s="17" t="str">
        <f>IF(ROUND(F26,0)&gt;0,"Pay ₹"&amp;TEXT(ABS(F26),"#,##0"),IF(ROUND(F26,0)&lt;0,"Receive ₹"&amp;TEXT(ABS(F26),"#,##0"),"✓ Settled"))</f>
        <v>Pay ₹152,741</v>
      </c>
    </row>
    <row r="27" spans="1:7" ht="13.5" customHeight="1">
      <c r="A27" s="11" t="str">
        <f>'Cash Pool'!A5</f>
        <v>Anoop</v>
      </c>
      <c r="B27" s="12">
        <f>'Cash Pool'!B5</f>
        <v>54624</v>
      </c>
      <c r="C27" s="12">
        <f>'Cash Pool'!D5</f>
        <v>179049.0184</v>
      </c>
      <c r="D27" s="12">
        <f>'Cash Pool'!E5</f>
        <v>-124425.0184</v>
      </c>
      <c r="E27" s="12">
        <f>'Cash Pool'!F5</f>
        <v>71587.042000000001</v>
      </c>
      <c r="F27" s="14">
        <f>'Cash Pool'!G5</f>
        <v>-52837.9764</v>
      </c>
      <c r="G27" s="18" t="str">
        <f>IF(ROUND(F27,0)&gt;0,"Pay ₹"&amp;TEXT(ABS(F27),"#,##0"),IF(ROUND(F27,0)&lt;0,"Receive ₹"&amp;TEXT(ABS(F27),"#,##0"),"✓ Settled"))</f>
        <v>Receive ₹52,838</v>
      </c>
    </row>
    <row r="28" spans="1:7" ht="13.5" customHeight="1">
      <c r="A28" s="9" t="str">
        <f>'Cash Pool'!A6</f>
        <v>Rameez</v>
      </c>
      <c r="B28" s="10">
        <f>'Cash Pool'!B6</f>
        <v>12530</v>
      </c>
      <c r="C28" s="10">
        <f>'Cash Pool'!D6</f>
        <v>179156.4908</v>
      </c>
      <c r="D28" s="10">
        <f>'Cash Pool'!E6</f>
        <v>-166626.4908</v>
      </c>
      <c r="E28" s="10">
        <f>'Cash Pool'!F6</f>
        <v>65722.984000000011</v>
      </c>
      <c r="F28" s="13">
        <f>'Cash Pool'!G6</f>
        <v>-100903.50679999999</v>
      </c>
      <c r="G28" s="16" t="str">
        <f>IF(ROUND(F28,0)&gt;0,"Pay ₹"&amp;TEXT(ABS(F28),"#,##0"),IF(ROUND(F28,0)&lt;0,"Receive ₹"&amp;TEXT(ABS(F28),"#,##0"),"✓ Settled"))</f>
        <v>Receive ₹100,904</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46253</v>
      </c>
    </row>
    <row r="5" spans="1:8" ht="15" customHeight="1">
      <c r="A5" s="19" t="s">
        <v>41</v>
      </c>
      <c r="B5" s="21">
        <f>Summary!B3</f>
        <v>566808</v>
      </c>
      <c r="D5" s="19" t="s">
        <v>69</v>
      </c>
      <c r="E5" s="21">
        <f>Summary!B4</f>
        <v>537362</v>
      </c>
    </row>
    <row r="6" spans="1:8" ht="15" customHeight="1">
      <c r="A6" s="19" t="s">
        <v>70</v>
      </c>
      <c r="B6" s="21">
        <f>Summary!B6</f>
        <v>-29446</v>
      </c>
      <c r="D6" s="19" t="s">
        <v>71</v>
      </c>
      <c r="E6" s="21">
        <f>SUMIFS(INVENTORY!K:K, INVENTORY!N:N, "&lt;&gt;Sold Out")</f>
        <v>171407.34666666665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IFERROR(SUMPRODUCT((TEXT(Sales!$A$2:$A$993,"MMM")=$A10)*(YEAR(Sales!$A$2:$A$993)=$B$7)*Sales!$C$2:$C$993),0)</f>
        <v>45448</v>
      </c>
      <c r="D10" s="21">
        <f t="shared" ref="D10:D21" si="0">C10-B10</f>
        <v>-1863</v>
      </c>
      <c r="F10" s="25" t="s">
        <v>80</v>
      </c>
      <c r="G10" s="21">
        <f>SUM(INVENTORY!F:F)</f>
        <v>454</v>
      </c>
    </row>
    <row r="11" spans="1:8" ht="15" customHeight="1">
      <c r="A11" s="26" t="s">
        <v>81</v>
      </c>
      <c r="B11" s="27">
        <f>IFERROR(SUMPRODUCT((TEXT(Purchases!$A$2:$A$998,"MMM")=$A11)*(YEAR(Purchases!$A$2:$A$998)=$B$7)*Purchases!$C$2:$C$998),0)</f>
        <v>5152</v>
      </c>
      <c r="C11" s="27">
        <f>IFERROR(SUMPRODUCT((TEXT(Sales!$A$2:$A$993,"MMM")=$A11)*(YEAR(Sales!$A$2:$A$993)=$B$7)*Sales!$C$2:$C$993),0)</f>
        <v>19089</v>
      </c>
      <c r="D11" s="27">
        <f t="shared" si="0"/>
        <v>13937</v>
      </c>
      <c r="F11" s="26" t="s">
        <v>82</v>
      </c>
      <c r="G11" s="27">
        <f>SUM(INVENTORY!G:G)</f>
        <v>275</v>
      </c>
    </row>
    <row r="12" spans="1:8" ht="15" customHeight="1">
      <c r="A12" s="25" t="s">
        <v>83</v>
      </c>
      <c r="B12" s="21">
        <f>IFERROR(SUMPRODUCT((TEXT(Purchases!$A$2:$A$998,"MMM")=$A12)*(YEAR(Purchases!$A$2:$A$998)=$B$7)*Purchases!$C$2:$C$998),0)</f>
        <v>22172</v>
      </c>
      <c r="C12" s="21">
        <f>IFERROR(SUMPRODUCT((TEXT(Sales!$A$2:$A$993,"MMM")=$A12)*(YEAR(Sales!$A$2:$A$993)=$B$7)*Sales!$C$2:$C$993),0)</f>
        <v>16248</v>
      </c>
      <c r="D12" s="21">
        <f t="shared" si="0"/>
        <v>-5924</v>
      </c>
    </row>
    <row r="13" spans="1:8" ht="15" customHeight="1">
      <c r="A13" s="26" t="s">
        <v>84</v>
      </c>
      <c r="B13" s="27">
        <f>IFERROR(SUMPRODUCT((TEXT(Purchases!$A$2:$A$998,"MMM")=$A13)*(YEAR(Purchases!$A$2:$A$998)=$B$7)*Purchases!$C$2:$C$998),0)</f>
        <v>71002</v>
      </c>
      <c r="C13" s="27">
        <f>IFERROR(SUMPRODUCT((TEXT(Sales!$A$2:$A$993,"MMM")=$A13)*(YEAR(Sales!$A$2:$A$993)=$B$7)*Sales!$C$2:$C$993),0)</f>
        <v>54177</v>
      </c>
      <c r="D13" s="27">
        <f t="shared" si="0"/>
        <v>-16825</v>
      </c>
    </row>
    <row r="14" spans="1:8" ht="15" customHeight="1">
      <c r="A14" s="25" t="s">
        <v>85</v>
      </c>
      <c r="B14" s="21">
        <f>IFERROR(SUMPRODUCT((TEXT(Purchases!$A$2:$A$998,"MMM")=$A14)*(YEAR(Purchases!$A$2:$A$998)=$B$7)*Purchases!$C$2:$C$998),0)</f>
        <v>4449</v>
      </c>
      <c r="C14" s="21">
        <f>IFERROR(SUMPRODUCT((TEXT(Sales!$A$2:$A$993,"MMM")=$A14)*(YEAR(Sales!$A$2:$A$993)=$B$7)*Sales!$C$2:$C$993),0)</f>
        <v>54624</v>
      </c>
      <c r="D14" s="21">
        <f t="shared" si="0"/>
        <v>50175</v>
      </c>
    </row>
    <row r="15" spans="1:8" ht="15" customHeight="1">
      <c r="A15" s="26" t="s">
        <v>86</v>
      </c>
      <c r="B15" s="27">
        <f>IFERROR(SUMPRODUCT((TEXT(Purchases!$A$2:$A$998,"MMM")=$A15)*(YEAR(Purchases!$A$2:$A$998)=$B$7)*Purchases!$C$2:$C$998),0)</f>
        <v>99043</v>
      </c>
      <c r="C15" s="27">
        <f>IFERROR(SUMPRODUCT((TEXT(Sales!$A$2:$A$993,"MMM")=$A15)*(YEAR(Sales!$A$2:$A$993)=$B$7)*Sales!$C$2:$C$993),0)</f>
        <v>72885</v>
      </c>
      <c r="D15" s="27">
        <f t="shared" si="0"/>
        <v>-26158</v>
      </c>
    </row>
    <row r="16" spans="1:8" ht="15" customHeight="1">
      <c r="A16" s="25" t="s">
        <v>87</v>
      </c>
      <c r="B16" s="21">
        <f>IFERROR(SUMPRODUCT((TEXT(Purchases!$A$2:$A$998,"MMM")=$A16)*(YEAR(Purchases!$A$2:$A$998)=$B$7)*Purchases!$C$2:$C$998),0)</f>
        <v>102200</v>
      </c>
      <c r="C16" s="21">
        <f>IFERROR(SUMPRODUCT((TEXT(Sales!$A$2:$A$993,"MMM")=$A16)*(YEAR(Sales!$A$2:$A$993)=$B$7)*Sales!$C$2:$C$993),0)</f>
        <v>63426</v>
      </c>
      <c r="D16" s="21">
        <f t="shared" si="0"/>
        <v>-38774</v>
      </c>
    </row>
    <row r="17" spans="1:4" ht="15" customHeight="1">
      <c r="A17" s="26" t="s">
        <v>88</v>
      </c>
      <c r="B17" s="27">
        <f>IFERROR(SUMPRODUCT((TEXT(Purchases!$A$2:$A$998,"MMM")=$A17)*(YEAR(Purchases!$A$2:$A$998)=$B$7)*Purchases!$C$2:$C$998),0)</f>
        <v>10461</v>
      </c>
      <c r="C17" s="27">
        <f>IFERROR(SUMPRODUCT((TEXT(Sales!$A$2:$A$993,"MMM")=$A17)*(YEAR(Sales!$A$2:$A$993)=$B$7)*Sales!$C$2:$C$993),0)</f>
        <v>65478</v>
      </c>
      <c r="D17" s="27">
        <f t="shared" si="0"/>
        <v>55017</v>
      </c>
    </row>
    <row r="18" spans="1:4" ht="15" customHeight="1">
      <c r="A18" s="25" t="s">
        <v>89</v>
      </c>
      <c r="B18" s="21">
        <f>IFERROR(SUMPRODUCT((TEXT(Purchases!$A$2:$A$998,"MMM")=$A18)*(YEAR(Purchases!$A$2:$A$998)=$B$7)*Purchases!$C$2:$C$998),0)</f>
        <v>0</v>
      </c>
      <c r="C18" s="21">
        <f>IFERROR(SUMPRODUCT((TEXT(Sales!$A$2:$A$993,"MMM")=$A18)*(YEAR(Sales!$A$2:$A$993)=$B$7)*Sales!$C$2:$C$993),0)</f>
        <v>0</v>
      </c>
      <c r="D18" s="21">
        <f t="shared" si="0"/>
        <v>0</v>
      </c>
    </row>
    <row r="19" spans="1:4" ht="15" customHeight="1">
      <c r="A19" s="26" t="s">
        <v>90</v>
      </c>
      <c r="B19" s="27">
        <f>IFERROR(SUMPRODUCT((TEXT(Purchases!$A$2:$A$998,"MMM")=$A19)*(YEAR(Purchases!$A$2:$A$998)=$B$7)*Purchases!$C$2:$C$998),0)</f>
        <v>0</v>
      </c>
      <c r="C19" s="27">
        <f>IFERROR(SUMPRODUCT((TEXT(Sales!$A$2:$A$993,"MMM")=$A19)*(YEAR(Sales!$A$2:$A$993)=$B$7)*Sales!$C$2:$C$993),0)</f>
        <v>0</v>
      </c>
      <c r="D19" s="27">
        <f t="shared" si="0"/>
        <v>0</v>
      </c>
    </row>
    <row r="20" spans="1:4" ht="15" customHeight="1">
      <c r="A20" s="25" t="s">
        <v>91</v>
      </c>
      <c r="B20" s="21">
        <f>IFERROR(SUMPRODUCT((TEXT(Purchases!$A$2:$A$998,"MMM")=$A20)*(YEAR(Purchases!$A$2:$A$998)=$B$7)*Purchases!$C$2:$C$998),0)</f>
        <v>0</v>
      </c>
      <c r="C20" s="21">
        <f>IFERROR(SUMPRODUCT((TEXT(Sales!$A$2:$A$993,"MMM")=$A20)*(YEAR(Sales!$A$2:$A$993)=$B$7)*Sales!$C$2:$C$993),0)</f>
        <v>0</v>
      </c>
      <c r="D20" s="21">
        <f t="shared" si="0"/>
        <v>0</v>
      </c>
    </row>
    <row r="21" spans="1:4" ht="15" customHeight="1">
      <c r="A21" s="26" t="s">
        <v>92</v>
      </c>
      <c r="B21" s="27">
        <f>IFERROR(SUMPRODUCT((TEXT(Purchases!$A$2:$A$998,"MMM")=$A21)*(YEAR(Purchases!$A$2:$A$998)=$B$7)*Purchases!$C$2:$C$998),0)</f>
        <v>0</v>
      </c>
      <c r="C21" s="27">
        <f>IFERROR(SUMPRODUCT((TEXT(Sales!$A$2:$A$993,"MMM")=$A21)*(YEAR(Sales!$A$2:$A$993)=$B$7)*Sales!$C$2:$C$993),0)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350</v>
      </c>
      <c r="H47" s="30">
        <f>SUMIF(INVENTORY!C:C, F47, INVENTORY!G:G)</f>
        <v>179</v>
      </c>
      <c r="J47" s="30" t="s">
        <v>96</v>
      </c>
      <c r="K47" s="31">
        <f t="array" ref="K47">SUMPRODUCT((INVENTORY!$C$2:$C$476=J47)*(INVENTORY!$D$2:$D$476)*(INVENTORY!$G$2:$G$476))</f>
        <v>53945</v>
      </c>
    </row>
    <row r="48" spans="6:11" ht="15" customHeight="1">
      <c r="F48" s="29" t="s">
        <v>96</v>
      </c>
      <c r="G48" s="30">
        <f>SUMIF(INVENTORY!C:C, F48, INVENTORY!F:F)</f>
        <v>99</v>
      </c>
      <c r="H48" s="30">
        <f>SUMIF(INVENTORY!C:C, F48, INVENTORY!G:G)</f>
        <v>51</v>
      </c>
      <c r="J48" s="30" t="s">
        <v>95</v>
      </c>
      <c r="K48" s="31">
        <f t="array" ref="K48">SUMPRODUCT((INVENTORY!$C$2:$C$476=J48)*(INVENTORY!$D$2:$D$476)*(INVENTORY!$G$2:$G$476))</f>
        <v>127271.14666666667</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2" activePane="bottomLeft" state="frozen"/>
      <selection pane="bottomLeft" activeCell="A105" sqref="A105"/>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1098</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1128</v>
      </c>
    </row>
    <row r="97" spans="1:4" ht="15" customHeight="1">
      <c r="A97" s="38">
        <v>46218</v>
      </c>
      <c r="B97" s="39" t="s">
        <v>49</v>
      </c>
      <c r="C97" s="40">
        <v>1375</v>
      </c>
      <c r="D97" s="39" t="s">
        <v>1129</v>
      </c>
    </row>
    <row r="98" spans="1:4" ht="15" customHeight="1">
      <c r="A98" s="35">
        <v>46219</v>
      </c>
      <c r="B98" s="36" t="s">
        <v>49</v>
      </c>
      <c r="C98" s="37">
        <v>189</v>
      </c>
      <c r="D98" s="36" t="s">
        <v>1130</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1288</v>
      </c>
    </row>
    <row r="108" spans="1:4" ht="15" customHeight="1">
      <c r="A108" s="35">
        <v>46246</v>
      </c>
      <c r="B108" s="36" t="s">
        <v>49</v>
      </c>
      <c r="C108" s="37">
        <v>184</v>
      </c>
      <c r="D108" s="36" t="s">
        <v>119</v>
      </c>
    </row>
    <row r="109" spans="1:4" ht="15" customHeight="1">
      <c r="A109" s="38">
        <v>46249</v>
      </c>
      <c r="B109" s="39" t="s">
        <v>49</v>
      </c>
      <c r="C109" s="40">
        <v>320</v>
      </c>
      <c r="D109" s="39" t="s">
        <v>1288</v>
      </c>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8"/>
  <sheetViews>
    <sheetView zoomScale="130" zoomScaleNormal="130" workbookViewId="0">
      <pane ySplit="1" topLeftCell="A293" activePane="bottomLeft" state="frozen"/>
      <selection pane="bottomLeft" activeCell="J314" sqref="J314"/>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1085</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1071</v>
      </c>
      <c r="I249" s="45" t="s">
        <v>148</v>
      </c>
    </row>
    <row r="250" spans="1:9" ht="14">
      <c r="A250" s="82">
        <v>46200</v>
      </c>
      <c r="B250" s="44" t="s">
        <v>164</v>
      </c>
      <c r="C250" s="83">
        <v>950</v>
      </c>
      <c r="D250" s="44"/>
      <c r="E250" s="44"/>
      <c r="F250" s="44"/>
      <c r="G250" s="44"/>
      <c r="H250" s="44" t="s">
        <v>1073</v>
      </c>
      <c r="I250" s="44" t="s">
        <v>356</v>
      </c>
    </row>
    <row r="251" spans="1:9" ht="14">
      <c r="A251" s="84">
        <v>46201</v>
      </c>
      <c r="B251" s="45" t="s">
        <v>1086</v>
      </c>
      <c r="C251" s="85">
        <v>1380</v>
      </c>
      <c r="D251" s="45" t="s">
        <v>205</v>
      </c>
      <c r="E251" s="45" t="s">
        <v>49</v>
      </c>
      <c r="F251" s="46"/>
      <c r="G251" s="46"/>
      <c r="H251" s="46" t="s">
        <v>366</v>
      </c>
      <c r="I251" s="45" t="s">
        <v>148</v>
      </c>
    </row>
    <row r="252" spans="1:9" ht="14">
      <c r="A252" s="82">
        <v>46201</v>
      </c>
      <c r="B252" s="44" t="s">
        <v>1074</v>
      </c>
      <c r="C252" s="83">
        <v>699</v>
      </c>
      <c r="D252" s="44" t="s">
        <v>162</v>
      </c>
      <c r="E252" s="44" t="s">
        <v>49</v>
      </c>
      <c r="F252" s="44"/>
      <c r="G252" s="44"/>
      <c r="H252" s="44" t="s">
        <v>1075</v>
      </c>
      <c r="I252" s="44" t="s">
        <v>148</v>
      </c>
    </row>
    <row r="253" spans="1:9" ht="14">
      <c r="A253" s="84">
        <v>46201</v>
      </c>
      <c r="B253" s="45" t="s">
        <v>1076</v>
      </c>
      <c r="C253" s="85">
        <v>699</v>
      </c>
      <c r="D253" s="45" t="s">
        <v>162</v>
      </c>
      <c r="E253" s="45" t="s">
        <v>49</v>
      </c>
      <c r="F253" s="46"/>
      <c r="G253" s="46"/>
      <c r="H253" s="46" t="s">
        <v>1077</v>
      </c>
      <c r="I253" s="45" t="s">
        <v>148</v>
      </c>
    </row>
    <row r="254" spans="1:9" ht="14">
      <c r="A254" s="82">
        <v>46201</v>
      </c>
      <c r="B254" s="44" t="s">
        <v>1078</v>
      </c>
      <c r="C254" s="83">
        <v>699</v>
      </c>
      <c r="D254" s="44" t="s">
        <v>162</v>
      </c>
      <c r="E254" s="44" t="s">
        <v>49</v>
      </c>
      <c r="F254" s="44"/>
      <c r="G254" s="44"/>
      <c r="H254" s="44" t="s">
        <v>1079</v>
      </c>
      <c r="I254" s="44" t="s">
        <v>148</v>
      </c>
    </row>
    <row r="255" spans="1:9" ht="14">
      <c r="A255" s="84">
        <v>46201</v>
      </c>
      <c r="B255" s="45" t="s">
        <v>472</v>
      </c>
      <c r="C255" s="85">
        <v>2650</v>
      </c>
      <c r="D255" s="45" t="s">
        <v>162</v>
      </c>
      <c r="E255" s="45" t="s">
        <v>49</v>
      </c>
      <c r="F255" s="46"/>
      <c r="G255" s="46"/>
      <c r="H255" s="46" t="s">
        <v>1080</v>
      </c>
      <c r="I255" s="45" t="s">
        <v>148</v>
      </c>
    </row>
    <row r="256" spans="1:9" ht="14">
      <c r="A256" s="82">
        <v>46203</v>
      </c>
      <c r="B256" s="44" t="s">
        <v>1087</v>
      </c>
      <c r="C256" s="83">
        <v>950</v>
      </c>
      <c r="D256" s="44" t="s">
        <v>162</v>
      </c>
      <c r="E256" s="44" t="s">
        <v>49</v>
      </c>
      <c r="F256" s="44"/>
      <c r="G256" s="44"/>
      <c r="H256" s="44" t="s">
        <v>1088</v>
      </c>
      <c r="I256" s="44" t="s">
        <v>148</v>
      </c>
    </row>
    <row r="257" spans="1:9" ht="14">
      <c r="A257" s="84">
        <v>46204</v>
      </c>
      <c r="B257" s="45" t="s">
        <v>1091</v>
      </c>
      <c r="C257" s="85">
        <v>699</v>
      </c>
      <c r="D257" s="45" t="s">
        <v>162</v>
      </c>
      <c r="E257" s="45" t="s">
        <v>49</v>
      </c>
      <c r="F257" s="46"/>
      <c r="G257" s="46"/>
      <c r="H257" s="46" t="s">
        <v>1092</v>
      </c>
      <c r="I257" s="45" t="s">
        <v>148</v>
      </c>
    </row>
    <row r="258" spans="1:9" ht="14">
      <c r="A258" s="82">
        <v>46205</v>
      </c>
      <c r="B258" s="44" t="s">
        <v>1093</v>
      </c>
      <c r="C258" s="83">
        <v>1500</v>
      </c>
      <c r="D258" s="44" t="s">
        <v>162</v>
      </c>
      <c r="E258" s="44" t="s">
        <v>49</v>
      </c>
      <c r="F258" s="44"/>
      <c r="G258" s="44"/>
      <c r="H258" s="44" t="s">
        <v>1094</v>
      </c>
      <c r="I258" s="44" t="s">
        <v>148</v>
      </c>
    </row>
    <row r="259" spans="1:9" ht="14">
      <c r="A259" s="84">
        <v>46205</v>
      </c>
      <c r="B259" s="45" t="s">
        <v>1093</v>
      </c>
      <c r="C259" s="85">
        <v>1200</v>
      </c>
      <c r="D259" s="45" t="s">
        <v>162</v>
      </c>
      <c r="E259" s="45" t="s">
        <v>49</v>
      </c>
      <c r="F259" s="46"/>
      <c r="G259" s="46"/>
      <c r="H259" s="46" t="s">
        <v>1095</v>
      </c>
      <c r="I259" s="45" t="s">
        <v>148</v>
      </c>
    </row>
    <row r="260" spans="1:9" ht="14">
      <c r="A260" s="82">
        <v>46205</v>
      </c>
      <c r="B260" s="44" t="s">
        <v>1097</v>
      </c>
      <c r="C260" s="83">
        <v>1500</v>
      </c>
      <c r="D260" s="44" t="s">
        <v>162</v>
      </c>
      <c r="E260" s="44" t="s">
        <v>49</v>
      </c>
      <c r="F260" s="44"/>
      <c r="G260" s="44"/>
      <c r="H260" s="44" t="s">
        <v>1096</v>
      </c>
      <c r="I260" s="44" t="s">
        <v>148</v>
      </c>
    </row>
    <row r="261" spans="1:9" ht="14">
      <c r="A261" s="84">
        <v>46205</v>
      </c>
      <c r="B261" s="45" t="s">
        <v>1100</v>
      </c>
      <c r="C261" s="85">
        <v>2600</v>
      </c>
      <c r="D261" s="45" t="s">
        <v>162</v>
      </c>
      <c r="E261" s="45" t="s">
        <v>49</v>
      </c>
      <c r="F261" s="46"/>
      <c r="G261" s="46"/>
      <c r="H261" s="46" t="s">
        <v>1181</v>
      </c>
      <c r="I261" s="45" t="s">
        <v>148</v>
      </c>
    </row>
    <row r="262" spans="1:9" ht="14">
      <c r="A262" s="82">
        <v>46206</v>
      </c>
      <c r="B262" s="44" t="s">
        <v>1102</v>
      </c>
      <c r="C262" s="83">
        <v>1380</v>
      </c>
      <c r="D262" s="44" t="s">
        <v>162</v>
      </c>
      <c r="E262" s="44" t="s">
        <v>49</v>
      </c>
      <c r="F262" s="44"/>
      <c r="G262" s="44"/>
      <c r="H262" s="44" t="s">
        <v>366</v>
      </c>
      <c r="I262" s="44" t="s">
        <v>148</v>
      </c>
    </row>
    <row r="263" spans="1:9" ht="14">
      <c r="A263" s="84">
        <v>46206</v>
      </c>
      <c r="B263" s="45" t="s">
        <v>1103</v>
      </c>
      <c r="C263" s="85">
        <v>1380</v>
      </c>
      <c r="D263" s="45" t="s">
        <v>162</v>
      </c>
      <c r="E263" s="45" t="s">
        <v>49</v>
      </c>
      <c r="F263" s="46"/>
      <c r="G263" s="46"/>
      <c r="H263" s="46" t="s">
        <v>366</v>
      </c>
      <c r="I263" s="45" t="s">
        <v>148</v>
      </c>
    </row>
    <row r="264" spans="1:9" ht="42">
      <c r="A264" s="82">
        <v>46206</v>
      </c>
      <c r="B264" s="44" t="s">
        <v>1113</v>
      </c>
      <c r="C264" s="83">
        <v>2500</v>
      </c>
      <c r="D264" s="44" t="s">
        <v>162</v>
      </c>
      <c r="E264" s="44" t="s">
        <v>49</v>
      </c>
      <c r="F264" s="44"/>
      <c r="G264" s="44"/>
      <c r="H264" s="44" t="s">
        <v>1279</v>
      </c>
      <c r="I264" s="44" t="s">
        <v>356</v>
      </c>
    </row>
    <row r="265" spans="1:9" ht="14">
      <c r="A265" s="84">
        <v>46206</v>
      </c>
      <c r="B265" s="45" t="s">
        <v>1106</v>
      </c>
      <c r="C265" s="85">
        <v>1300</v>
      </c>
      <c r="D265" s="45" t="s">
        <v>162</v>
      </c>
      <c r="E265" s="45" t="s">
        <v>49</v>
      </c>
      <c r="F265" s="46"/>
      <c r="G265" s="46"/>
      <c r="H265" s="46" t="s">
        <v>1118</v>
      </c>
      <c r="I265" s="45" t="s">
        <v>356</v>
      </c>
    </row>
    <row r="266" spans="1:9" ht="14">
      <c r="A266" s="82">
        <v>46206</v>
      </c>
      <c r="B266" s="44" t="s">
        <v>1097</v>
      </c>
      <c r="C266" s="83">
        <v>1380</v>
      </c>
      <c r="D266" s="44" t="s">
        <v>162</v>
      </c>
      <c r="E266" s="44" t="s">
        <v>49</v>
      </c>
      <c r="F266" s="44"/>
      <c r="G266" s="44"/>
      <c r="H266" s="44" t="s">
        <v>1107</v>
      </c>
      <c r="I266" s="44" t="s">
        <v>148</v>
      </c>
    </row>
    <row r="267" spans="1:9" ht="14">
      <c r="A267" s="84">
        <v>46207</v>
      </c>
      <c r="B267" s="45" t="s">
        <v>173</v>
      </c>
      <c r="C267" s="85">
        <v>1250</v>
      </c>
      <c r="D267" s="45" t="s">
        <v>162</v>
      </c>
      <c r="E267" s="45" t="s">
        <v>49</v>
      </c>
      <c r="F267" s="46"/>
      <c r="G267" s="46"/>
      <c r="H267" s="46" t="s">
        <v>1108</v>
      </c>
      <c r="I267" s="45" t="s">
        <v>148</v>
      </c>
    </row>
    <row r="268" spans="1:9" ht="42">
      <c r="A268" s="82">
        <v>46208</v>
      </c>
      <c r="B268" s="44" t="s">
        <v>1309</v>
      </c>
      <c r="C268" s="83">
        <v>2350</v>
      </c>
      <c r="D268" s="44"/>
      <c r="E268" s="44"/>
      <c r="F268" s="44"/>
      <c r="G268" s="44"/>
      <c r="H268" s="44" t="s">
        <v>1310</v>
      </c>
      <c r="I268" s="44" t="s">
        <v>356</v>
      </c>
    </row>
    <row r="269" spans="1:9" ht="14">
      <c r="A269" s="84">
        <v>46209</v>
      </c>
      <c r="B269" s="45" t="s">
        <v>1111</v>
      </c>
      <c r="C269" s="85">
        <v>1100</v>
      </c>
      <c r="D269" s="45" t="s">
        <v>162</v>
      </c>
      <c r="E269" s="45" t="s">
        <v>49</v>
      </c>
      <c r="F269" s="46"/>
      <c r="G269" s="46"/>
      <c r="H269" s="46" t="s">
        <v>1112</v>
      </c>
      <c r="I269" s="45" t="s">
        <v>148</v>
      </c>
    </row>
    <row r="270" spans="1:9" ht="14">
      <c r="A270" s="82">
        <v>46210</v>
      </c>
      <c r="B270" s="44" t="s">
        <v>1312</v>
      </c>
      <c r="C270" s="83">
        <v>3200</v>
      </c>
      <c r="D270" s="44" t="s">
        <v>162</v>
      </c>
      <c r="E270" s="44" t="s">
        <v>49</v>
      </c>
      <c r="F270" s="44"/>
      <c r="G270" s="44"/>
      <c r="H270" s="44" t="s">
        <v>1115</v>
      </c>
      <c r="I270" s="44" t="s">
        <v>148</v>
      </c>
    </row>
    <row r="271" spans="1:9" ht="14">
      <c r="A271" s="84">
        <v>46211</v>
      </c>
      <c r="B271" s="45" t="s">
        <v>1116</v>
      </c>
      <c r="C271" s="85">
        <v>1380</v>
      </c>
      <c r="D271" s="45" t="s">
        <v>162</v>
      </c>
      <c r="E271" s="45" t="s">
        <v>49</v>
      </c>
      <c r="F271" s="46"/>
      <c r="G271" s="46"/>
      <c r="H271" s="46" t="s">
        <v>1117</v>
      </c>
      <c r="I271" s="45" t="s">
        <v>148</v>
      </c>
    </row>
    <row r="272" spans="1:9" ht="14">
      <c r="A272" s="82">
        <v>46215</v>
      </c>
      <c r="B272" s="44" t="s">
        <v>1119</v>
      </c>
      <c r="C272" s="83">
        <v>1380</v>
      </c>
      <c r="D272" s="44" t="s">
        <v>162</v>
      </c>
      <c r="E272" s="44" t="s">
        <v>49</v>
      </c>
      <c r="F272" s="44"/>
      <c r="G272" s="44"/>
      <c r="H272" s="44" t="s">
        <v>366</v>
      </c>
      <c r="I272" s="44" t="s">
        <v>148</v>
      </c>
    </row>
    <row r="273" spans="1:9" ht="14">
      <c r="A273" s="84">
        <v>46215</v>
      </c>
      <c r="B273" s="45" t="s">
        <v>1120</v>
      </c>
      <c r="C273" s="85">
        <v>699</v>
      </c>
      <c r="D273" s="45" t="s">
        <v>162</v>
      </c>
      <c r="E273" s="45" t="s">
        <v>49</v>
      </c>
      <c r="F273" s="46"/>
      <c r="G273" s="46"/>
      <c r="H273" s="46" t="s">
        <v>1092</v>
      </c>
      <c r="I273" s="45" t="s">
        <v>148</v>
      </c>
    </row>
    <row r="274" spans="1:9" ht="14">
      <c r="A274" s="82">
        <v>46215</v>
      </c>
      <c r="B274" s="44" t="s">
        <v>197</v>
      </c>
      <c r="C274" s="83">
        <v>1350</v>
      </c>
      <c r="D274" s="44" t="s">
        <v>162</v>
      </c>
      <c r="E274" s="44" t="s">
        <v>49</v>
      </c>
      <c r="F274" s="44"/>
      <c r="G274" s="44"/>
      <c r="H274" s="44" t="s">
        <v>1122</v>
      </c>
      <c r="I274" s="44" t="s">
        <v>148</v>
      </c>
    </row>
    <row r="275" spans="1:9" ht="14">
      <c r="A275" s="84">
        <v>46216</v>
      </c>
      <c r="B275" s="45" t="s">
        <v>1123</v>
      </c>
      <c r="C275" s="85">
        <v>699</v>
      </c>
      <c r="D275" s="45" t="s">
        <v>162</v>
      </c>
      <c r="E275" s="45" t="s">
        <v>49</v>
      </c>
      <c r="F275" s="46"/>
      <c r="G275" s="46"/>
      <c r="H275" s="46" t="s">
        <v>1092</v>
      </c>
      <c r="I275" s="45" t="s">
        <v>148</v>
      </c>
    </row>
    <row r="276" spans="1:9" ht="14">
      <c r="A276" s="82">
        <v>46216</v>
      </c>
      <c r="B276" s="44" t="s">
        <v>1125</v>
      </c>
      <c r="C276" s="83">
        <v>3000</v>
      </c>
      <c r="D276" s="44" t="s">
        <v>162</v>
      </c>
      <c r="E276" s="44" t="s">
        <v>49</v>
      </c>
      <c r="F276" s="44"/>
      <c r="G276" s="44"/>
      <c r="H276" s="44" t="s">
        <v>1124</v>
      </c>
      <c r="I276" s="44" t="s">
        <v>148</v>
      </c>
    </row>
    <row r="277" spans="1:9" ht="14">
      <c r="A277" s="84">
        <v>46219</v>
      </c>
      <c r="B277" s="45" t="s">
        <v>1126</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1127</v>
      </c>
      <c r="I279" s="45" t="s">
        <v>148</v>
      </c>
    </row>
    <row r="280" spans="1:9" ht="14">
      <c r="A280" s="82">
        <v>46219</v>
      </c>
      <c r="B280" s="44" t="s">
        <v>220</v>
      </c>
      <c r="C280" s="83">
        <v>2500</v>
      </c>
      <c r="D280" s="44" t="s">
        <v>162</v>
      </c>
      <c r="E280" s="44" t="s">
        <v>49</v>
      </c>
      <c r="F280" s="44"/>
      <c r="G280" s="44"/>
      <c r="H280" s="44" t="s">
        <v>1133</v>
      </c>
      <c r="I280" s="44" t="s">
        <v>148</v>
      </c>
    </row>
    <row r="281" spans="1:9" ht="14">
      <c r="A281" s="84">
        <v>46219</v>
      </c>
      <c r="B281" s="45" t="s">
        <v>153</v>
      </c>
      <c r="C281" s="85">
        <v>3200</v>
      </c>
      <c r="D281" s="45" t="s">
        <v>162</v>
      </c>
      <c r="E281" s="45" t="s">
        <v>49</v>
      </c>
      <c r="F281" s="46"/>
      <c r="G281" s="46"/>
      <c r="H281" s="46" t="s">
        <v>1137</v>
      </c>
      <c r="I281" s="45" t="s">
        <v>148</v>
      </c>
    </row>
    <row r="282" spans="1:9" ht="14">
      <c r="A282" s="82">
        <v>46220</v>
      </c>
      <c r="B282" s="44" t="s">
        <v>1147</v>
      </c>
      <c r="C282" s="83">
        <v>1500</v>
      </c>
      <c r="D282" s="44" t="s">
        <v>162</v>
      </c>
      <c r="E282" s="44" t="s">
        <v>49</v>
      </c>
      <c r="F282" s="44"/>
      <c r="G282" s="44"/>
      <c r="H282" s="44" t="s">
        <v>1148</v>
      </c>
      <c r="I282" s="44" t="s">
        <v>148</v>
      </c>
    </row>
    <row r="283" spans="1:9" ht="14">
      <c r="A283" s="84">
        <v>46221</v>
      </c>
      <c r="B283" s="45" t="s">
        <v>1151</v>
      </c>
      <c r="C283" s="85">
        <v>1100</v>
      </c>
      <c r="D283" s="45" t="s">
        <v>162</v>
      </c>
      <c r="E283" s="45" t="s">
        <v>49</v>
      </c>
      <c r="F283" s="46"/>
      <c r="G283" s="46"/>
      <c r="H283" s="46" t="s">
        <v>1152</v>
      </c>
      <c r="I283" s="45" t="s">
        <v>148</v>
      </c>
    </row>
    <row r="284" spans="1:9" ht="14">
      <c r="A284" s="82">
        <v>46222</v>
      </c>
      <c r="B284" s="44" t="s">
        <v>1153</v>
      </c>
      <c r="C284" s="83">
        <v>850</v>
      </c>
      <c r="D284" s="44" t="s">
        <v>162</v>
      </c>
      <c r="E284" s="44" t="s">
        <v>49</v>
      </c>
      <c r="F284" s="44"/>
      <c r="G284" s="44"/>
      <c r="H284" s="44" t="s">
        <v>1154</v>
      </c>
      <c r="I284" s="44" t="s">
        <v>148</v>
      </c>
    </row>
    <row r="285" spans="1:9" ht="14">
      <c r="A285" s="84">
        <v>46222</v>
      </c>
      <c r="B285" s="45" t="s">
        <v>1155</v>
      </c>
      <c r="C285" s="85">
        <v>1250</v>
      </c>
      <c r="D285" s="45" t="s">
        <v>162</v>
      </c>
      <c r="E285" s="45" t="s">
        <v>49</v>
      </c>
      <c r="F285" s="46"/>
      <c r="G285" s="46"/>
      <c r="H285" s="46" t="s">
        <v>1156</v>
      </c>
      <c r="I285" s="45" t="s">
        <v>148</v>
      </c>
    </row>
    <row r="286" spans="1:9" ht="14">
      <c r="A286" s="82">
        <v>46222</v>
      </c>
      <c r="B286" s="44" t="s">
        <v>1158</v>
      </c>
      <c r="C286" s="83">
        <v>700</v>
      </c>
      <c r="D286" s="44" t="s">
        <v>162</v>
      </c>
      <c r="E286" s="44" t="s">
        <v>49</v>
      </c>
      <c r="F286" s="44"/>
      <c r="G286" s="44"/>
      <c r="H286" s="44" t="s">
        <v>395</v>
      </c>
      <c r="I286" s="44" t="s">
        <v>148</v>
      </c>
    </row>
    <row r="287" spans="1:9" ht="14">
      <c r="A287" s="84">
        <v>46222</v>
      </c>
      <c r="B287" s="45" t="s">
        <v>1159</v>
      </c>
      <c r="C287" s="85">
        <v>699</v>
      </c>
      <c r="D287" s="45" t="s">
        <v>162</v>
      </c>
      <c r="E287" s="45" t="s">
        <v>49</v>
      </c>
      <c r="F287" s="46"/>
      <c r="G287" s="46"/>
      <c r="H287" s="46" t="s">
        <v>395</v>
      </c>
      <c r="I287" s="45" t="s">
        <v>148</v>
      </c>
    </row>
    <row r="288" spans="1:9" ht="14">
      <c r="A288" s="82">
        <v>46223</v>
      </c>
      <c r="B288" s="44" t="s">
        <v>1162</v>
      </c>
      <c r="C288" s="83">
        <v>1380</v>
      </c>
      <c r="D288" s="44" t="s">
        <v>162</v>
      </c>
      <c r="E288" s="44" t="s">
        <v>49</v>
      </c>
      <c r="F288" s="44"/>
      <c r="G288" s="44"/>
      <c r="H288" s="44" t="s">
        <v>1163</v>
      </c>
      <c r="I288" s="44" t="s">
        <v>148</v>
      </c>
    </row>
    <row r="289" spans="1:9" ht="14">
      <c r="A289" s="84">
        <v>46224</v>
      </c>
      <c r="B289" s="45" t="s">
        <v>1165</v>
      </c>
      <c r="C289" s="85">
        <v>1380</v>
      </c>
      <c r="D289" s="45" t="s">
        <v>162</v>
      </c>
      <c r="E289" s="45" t="s">
        <v>49</v>
      </c>
      <c r="F289" s="46"/>
      <c r="G289" s="46"/>
      <c r="H289" s="46" t="s">
        <v>1168</v>
      </c>
      <c r="I289" s="45" t="s">
        <v>148</v>
      </c>
    </row>
    <row r="290" spans="1:9" ht="14">
      <c r="A290" s="82">
        <v>46224</v>
      </c>
      <c r="B290" s="44" t="s">
        <v>1164</v>
      </c>
      <c r="C290" s="83">
        <v>1380</v>
      </c>
      <c r="D290" s="44" t="s">
        <v>162</v>
      </c>
      <c r="E290" s="44" t="s">
        <v>49</v>
      </c>
      <c r="F290" s="44"/>
      <c r="G290" s="44"/>
      <c r="H290" s="44" t="s">
        <v>1169</v>
      </c>
      <c r="I290" s="44" t="s">
        <v>148</v>
      </c>
    </row>
    <row r="291" spans="1:9" ht="14">
      <c r="A291" s="82">
        <v>46228</v>
      </c>
      <c r="B291" s="44" t="s">
        <v>186</v>
      </c>
      <c r="C291" s="83">
        <v>1250</v>
      </c>
      <c r="D291" s="44" t="s">
        <v>162</v>
      </c>
      <c r="E291" s="44" t="s">
        <v>49</v>
      </c>
      <c r="F291" s="44"/>
      <c r="G291" s="44"/>
      <c r="H291" s="44" t="s">
        <v>1172</v>
      </c>
      <c r="I291" s="44" t="s">
        <v>148</v>
      </c>
    </row>
    <row r="292" spans="1:9" ht="42">
      <c r="A292" s="84">
        <v>46229</v>
      </c>
      <c r="B292" s="45" t="s">
        <v>1175</v>
      </c>
      <c r="C292" s="85">
        <v>2750</v>
      </c>
      <c r="D292" s="45"/>
      <c r="E292" s="45"/>
      <c r="F292" s="46"/>
      <c r="G292" s="46"/>
      <c r="H292" s="46" t="s">
        <v>1319</v>
      </c>
      <c r="I292" s="45" t="s">
        <v>356</v>
      </c>
    </row>
    <row r="293" spans="1:9" ht="28">
      <c r="A293" s="82">
        <v>46229</v>
      </c>
      <c r="B293" s="44" t="s">
        <v>293</v>
      </c>
      <c r="C293" s="83">
        <v>1750</v>
      </c>
      <c r="D293" s="44"/>
      <c r="E293" s="44"/>
      <c r="F293" s="44"/>
      <c r="G293" s="44"/>
      <c r="H293" s="44" t="s">
        <v>1278</v>
      </c>
      <c r="I293" s="44" t="s">
        <v>356</v>
      </c>
    </row>
    <row r="294" spans="1:9" ht="14">
      <c r="A294" s="84">
        <v>46229</v>
      </c>
      <c r="B294" s="45" t="s">
        <v>1100</v>
      </c>
      <c r="C294" s="85">
        <v>2230</v>
      </c>
      <c r="D294" s="45" t="s">
        <v>162</v>
      </c>
      <c r="E294" s="45" t="s">
        <v>49</v>
      </c>
      <c r="F294" s="46"/>
      <c r="G294" s="46"/>
      <c r="H294" s="46" t="s">
        <v>1318</v>
      </c>
      <c r="I294" s="45" t="s">
        <v>148</v>
      </c>
    </row>
    <row r="295" spans="1:9" ht="28">
      <c r="A295" s="82">
        <v>46229</v>
      </c>
      <c r="B295" s="44" t="s">
        <v>1184</v>
      </c>
      <c r="C295" s="83">
        <v>3700</v>
      </c>
      <c r="D295" s="44" t="s">
        <v>1307</v>
      </c>
      <c r="E295" s="44" t="s">
        <v>49</v>
      </c>
      <c r="F295" s="44"/>
      <c r="G295" s="44"/>
      <c r="H295" s="44" t="s">
        <v>1308</v>
      </c>
      <c r="I295" s="44" t="s">
        <v>148</v>
      </c>
    </row>
    <row r="296" spans="1:9" ht="14">
      <c r="A296" s="84">
        <v>46235</v>
      </c>
      <c r="B296" s="45" t="s">
        <v>1226</v>
      </c>
      <c r="C296" s="85">
        <v>1450</v>
      </c>
      <c r="D296" s="45" t="s">
        <v>162</v>
      </c>
      <c r="E296" s="45" t="s">
        <v>49</v>
      </c>
      <c r="F296" s="46"/>
      <c r="G296" s="46"/>
      <c r="H296" s="46" t="s">
        <v>1225</v>
      </c>
      <c r="I296" s="45" t="s">
        <v>148</v>
      </c>
    </row>
    <row r="297" spans="1:9" ht="14">
      <c r="A297" s="82">
        <v>46236</v>
      </c>
      <c r="B297" s="44" t="s">
        <v>1312</v>
      </c>
      <c r="C297" s="83">
        <v>6900</v>
      </c>
      <c r="D297" s="44" t="s">
        <v>162</v>
      </c>
      <c r="E297" s="44" t="s">
        <v>49</v>
      </c>
      <c r="F297" s="44"/>
      <c r="G297" s="44"/>
      <c r="H297" s="44" t="s">
        <v>1314</v>
      </c>
      <c r="I297" s="44" t="s">
        <v>148</v>
      </c>
    </row>
    <row r="298" spans="1:9" ht="14">
      <c r="A298" s="84">
        <v>46236</v>
      </c>
      <c r="B298" s="45" t="s">
        <v>1229</v>
      </c>
      <c r="C298" s="85">
        <v>1479</v>
      </c>
      <c r="D298" s="45" t="s">
        <v>162</v>
      </c>
      <c r="E298" s="45" t="s">
        <v>49</v>
      </c>
      <c r="F298" s="46"/>
      <c r="G298" s="46"/>
      <c r="H298" s="46" t="s">
        <v>1228</v>
      </c>
      <c r="I298" s="45" t="s">
        <v>148</v>
      </c>
    </row>
    <row r="299" spans="1:9" ht="14">
      <c r="A299" s="82">
        <v>46236</v>
      </c>
      <c r="B299" s="44" t="s">
        <v>1233</v>
      </c>
      <c r="C299" s="83">
        <v>2630</v>
      </c>
      <c r="D299" s="44" t="s">
        <v>162</v>
      </c>
      <c r="E299" s="44" t="s">
        <v>49</v>
      </c>
      <c r="F299" s="44"/>
      <c r="G299" s="44"/>
      <c r="H299" s="44" t="s">
        <v>1231</v>
      </c>
      <c r="I299" s="44" t="s">
        <v>148</v>
      </c>
    </row>
    <row r="300" spans="1:9" ht="14">
      <c r="A300" s="84">
        <v>46238</v>
      </c>
      <c r="B300" s="45" t="s">
        <v>1097</v>
      </c>
      <c r="C300" s="85">
        <v>1380</v>
      </c>
      <c r="D300" s="45" t="s">
        <v>162</v>
      </c>
      <c r="E300" s="45" t="s">
        <v>49</v>
      </c>
      <c r="F300" s="46"/>
      <c r="G300" s="46"/>
      <c r="H300" s="46" t="s">
        <v>272</v>
      </c>
      <c r="I300" s="45" t="s">
        <v>148</v>
      </c>
    </row>
    <row r="301" spans="1:9" ht="14">
      <c r="A301" s="82">
        <v>46238</v>
      </c>
      <c r="B301" s="44" t="s">
        <v>1312</v>
      </c>
      <c r="C301" s="83">
        <v>12650</v>
      </c>
      <c r="D301" s="44" t="s">
        <v>162</v>
      </c>
      <c r="E301" s="44" t="s">
        <v>49</v>
      </c>
      <c r="F301" s="44"/>
      <c r="G301" s="44"/>
      <c r="H301" s="44" t="s">
        <v>1315</v>
      </c>
      <c r="I301" s="44" t="s">
        <v>148</v>
      </c>
    </row>
    <row r="302" spans="1:9" ht="14">
      <c r="A302" s="84">
        <v>46240</v>
      </c>
      <c r="B302" s="45" t="s">
        <v>1229</v>
      </c>
      <c r="C302" s="85">
        <v>1000</v>
      </c>
      <c r="D302" s="45"/>
      <c r="E302" s="45"/>
      <c r="F302" s="46"/>
      <c r="G302" s="46"/>
      <c r="H302" s="46" t="s">
        <v>1238</v>
      </c>
      <c r="I302" s="45" t="s">
        <v>148</v>
      </c>
    </row>
    <row r="303" spans="1:9" ht="42">
      <c r="A303" s="82">
        <v>46241</v>
      </c>
      <c r="B303" s="44" t="s">
        <v>201</v>
      </c>
      <c r="C303" s="83">
        <v>4750</v>
      </c>
      <c r="D303" s="44"/>
      <c r="E303" s="44"/>
      <c r="F303" s="44"/>
      <c r="G303" s="44"/>
      <c r="H303" s="44" t="s">
        <v>1306</v>
      </c>
      <c r="I303" s="44" t="s">
        <v>356</v>
      </c>
    </row>
    <row r="304" spans="1:9" ht="14">
      <c r="A304" s="84">
        <v>46243</v>
      </c>
      <c r="B304" s="45" t="s">
        <v>1280</v>
      </c>
      <c r="C304" s="85">
        <v>1380</v>
      </c>
      <c r="D304" s="45"/>
      <c r="E304" s="45"/>
      <c r="F304" s="46"/>
      <c r="G304" s="46"/>
      <c r="H304" s="46" t="s">
        <v>1281</v>
      </c>
      <c r="I304" s="45" t="s">
        <v>356</v>
      </c>
    </row>
    <row r="305" spans="1:9" ht="14">
      <c r="A305" s="82">
        <v>46243</v>
      </c>
      <c r="B305" s="44" t="s">
        <v>1282</v>
      </c>
      <c r="C305" s="83">
        <v>1380</v>
      </c>
      <c r="D305" s="44" t="s">
        <v>162</v>
      </c>
      <c r="E305" s="44" t="s">
        <v>49</v>
      </c>
      <c r="F305" s="44"/>
      <c r="G305" s="44"/>
      <c r="H305" s="44" t="s">
        <v>1283</v>
      </c>
      <c r="I305" s="44" t="s">
        <v>148</v>
      </c>
    </row>
    <row r="306" spans="1:9" ht="14">
      <c r="A306" s="84">
        <v>46243</v>
      </c>
      <c r="B306" s="45" t="s">
        <v>1286</v>
      </c>
      <c r="C306" s="85">
        <v>1250</v>
      </c>
      <c r="D306" s="45" t="s">
        <v>162</v>
      </c>
      <c r="E306" s="45" t="s">
        <v>49</v>
      </c>
      <c r="F306" s="46"/>
      <c r="G306" s="46"/>
      <c r="H306" s="46" t="s">
        <v>1287</v>
      </c>
      <c r="I306" s="45" t="s">
        <v>148</v>
      </c>
    </row>
    <row r="307" spans="1:9" ht="14">
      <c r="A307" s="82">
        <v>46243</v>
      </c>
      <c r="B307" s="44" t="s">
        <v>1312</v>
      </c>
      <c r="C307" s="83">
        <v>5750</v>
      </c>
      <c r="D307" s="44" t="s">
        <v>162</v>
      </c>
      <c r="E307" s="44" t="s">
        <v>49</v>
      </c>
      <c r="F307" s="44"/>
      <c r="G307" s="44"/>
      <c r="H307" s="44" t="s">
        <v>1313</v>
      </c>
      <c r="I307" s="44" t="s">
        <v>148</v>
      </c>
    </row>
    <row r="308" spans="1:9" ht="14">
      <c r="A308" s="82">
        <v>46248</v>
      </c>
      <c r="B308" s="44" t="s">
        <v>1290</v>
      </c>
      <c r="C308" s="83">
        <v>1380</v>
      </c>
      <c r="D308" s="44" t="s">
        <v>162</v>
      </c>
      <c r="E308" s="44" t="s">
        <v>49</v>
      </c>
      <c r="F308" s="44"/>
      <c r="G308" s="44"/>
      <c r="H308" s="44" t="s">
        <v>1291</v>
      </c>
      <c r="I308" s="44" t="s">
        <v>148</v>
      </c>
    </row>
    <row r="309" spans="1:9" ht="14">
      <c r="A309" s="84">
        <v>46248</v>
      </c>
      <c r="B309" s="45" t="s">
        <v>1292</v>
      </c>
      <c r="C309" s="85">
        <v>1380</v>
      </c>
      <c r="D309" s="45" t="s">
        <v>162</v>
      </c>
      <c r="E309" s="45" t="s">
        <v>49</v>
      </c>
      <c r="F309" s="46"/>
      <c r="G309" s="46"/>
      <c r="H309" s="46" t="s">
        <v>1293</v>
      </c>
      <c r="I309" s="45" t="s">
        <v>148</v>
      </c>
    </row>
    <row r="310" spans="1:9" ht="14">
      <c r="A310" s="82">
        <v>46250</v>
      </c>
      <c r="B310" s="44" t="s">
        <v>329</v>
      </c>
      <c r="C310" s="83">
        <v>1979</v>
      </c>
      <c r="D310" s="44" t="s">
        <v>162</v>
      </c>
      <c r="E310" s="44" t="s">
        <v>49</v>
      </c>
      <c r="F310" s="44"/>
      <c r="G310" s="44"/>
      <c r="H310" s="44" t="s">
        <v>1303</v>
      </c>
      <c r="I310" s="44" t="s">
        <v>148</v>
      </c>
    </row>
    <row r="311" spans="1:9" ht="14">
      <c r="A311" s="84">
        <v>46250</v>
      </c>
      <c r="B311" s="45" t="s">
        <v>197</v>
      </c>
      <c r="C311" s="85">
        <v>980</v>
      </c>
      <c r="D311" s="45" t="s">
        <v>162</v>
      </c>
      <c r="E311" s="45" t="s">
        <v>49</v>
      </c>
      <c r="F311" s="46"/>
      <c r="G311" s="46"/>
      <c r="H311" s="46" t="s">
        <v>1295</v>
      </c>
      <c r="I311" s="45" t="s">
        <v>148</v>
      </c>
    </row>
    <row r="312" spans="1:9" ht="14">
      <c r="A312" s="82">
        <v>46250</v>
      </c>
      <c r="B312" s="44" t="s">
        <v>1298</v>
      </c>
      <c r="C312" s="83">
        <v>2250</v>
      </c>
      <c r="D312" s="44" t="s">
        <v>162</v>
      </c>
      <c r="E312" s="44" t="s">
        <v>49</v>
      </c>
      <c r="F312" s="44"/>
      <c r="G312" s="44"/>
      <c r="H312" s="44" t="s">
        <v>1300</v>
      </c>
      <c r="I312" s="44" t="s">
        <v>148</v>
      </c>
    </row>
    <row r="313" spans="1:9" ht="14">
      <c r="A313" s="84">
        <v>46252</v>
      </c>
      <c r="B313" s="45" t="s">
        <v>1312</v>
      </c>
      <c r="C313" s="85">
        <v>5750</v>
      </c>
      <c r="D313" s="45" t="s">
        <v>162</v>
      </c>
      <c r="E313" s="45" t="s">
        <v>49</v>
      </c>
      <c r="F313" s="46"/>
      <c r="G313" s="46"/>
      <c r="H313" s="46" t="s">
        <v>1313</v>
      </c>
      <c r="I313" s="45" t="s">
        <v>148</v>
      </c>
    </row>
    <row r="314" spans="1:9" ht="14">
      <c r="A314" s="82">
        <v>46252</v>
      </c>
      <c r="B314" s="44" t="s">
        <v>1316</v>
      </c>
      <c r="C314" s="83">
        <v>1380</v>
      </c>
      <c r="D314" s="44" t="s">
        <v>162</v>
      </c>
      <c r="E314" s="44" t="s">
        <v>49</v>
      </c>
      <c r="F314" s="44"/>
      <c r="G314" s="44"/>
      <c r="H314" s="44" t="s">
        <v>1330</v>
      </c>
      <c r="I314" s="44" t="s">
        <v>148</v>
      </c>
    </row>
    <row r="315" spans="1:9" ht="14">
      <c r="A315" s="84">
        <v>46252</v>
      </c>
      <c r="B315" s="45" t="s">
        <v>1312</v>
      </c>
      <c r="C315" s="85">
        <v>5750</v>
      </c>
      <c r="D315" s="45" t="s">
        <v>162</v>
      </c>
      <c r="E315" s="45" t="s">
        <v>49</v>
      </c>
      <c r="F315" s="46"/>
      <c r="G315" s="46"/>
      <c r="H315" s="46" t="s">
        <v>1313</v>
      </c>
      <c r="I315" s="45" t="s">
        <v>148</v>
      </c>
    </row>
    <row r="316" spans="1:9" ht="14">
      <c r="A316" s="82">
        <v>46252</v>
      </c>
      <c r="B316" s="44" t="s">
        <v>1323</v>
      </c>
      <c r="C316" s="83">
        <v>1380</v>
      </c>
      <c r="D316" s="44"/>
      <c r="E316" s="44"/>
      <c r="F316" s="44"/>
      <c r="G316" s="44"/>
      <c r="H316" s="44" t="s">
        <v>1324</v>
      </c>
      <c r="I316" s="44" t="s">
        <v>356</v>
      </c>
    </row>
    <row r="317" spans="1:9" ht="14">
      <c r="A317" s="84">
        <v>46252</v>
      </c>
      <c r="B317" s="45" t="s">
        <v>1326</v>
      </c>
      <c r="C317" s="85">
        <v>1250</v>
      </c>
      <c r="D317" s="45" t="s">
        <v>162</v>
      </c>
      <c r="E317" s="45" t="s">
        <v>49</v>
      </c>
      <c r="F317" s="46"/>
      <c r="G317" s="46"/>
      <c r="H317" s="46" t="s">
        <v>1327</v>
      </c>
      <c r="I317" s="45" t="s">
        <v>148</v>
      </c>
    </row>
    <row r="318" spans="1:9">
      <c r="A318" s="82"/>
      <c r="B318" s="44"/>
      <c r="C318" s="83"/>
      <c r="D318" s="44"/>
      <c r="E318" s="44"/>
      <c r="F318" s="44"/>
      <c r="G318" s="44"/>
      <c r="H318" s="44"/>
      <c r="I318" s="44"/>
    </row>
    <row r="319" spans="1:9">
      <c r="A319" s="84"/>
      <c r="B319" s="45"/>
      <c r="C319" s="85"/>
      <c r="D319" s="45"/>
      <c r="E319" s="45"/>
      <c r="F319" s="46"/>
      <c r="G319" s="46"/>
      <c r="H319" s="46"/>
      <c r="I319" s="45"/>
    </row>
    <row r="320" spans="1:9">
      <c r="A320" s="82"/>
      <c r="B320" s="44"/>
      <c r="C320" s="83"/>
      <c r="D320" s="44"/>
      <c r="E320" s="44"/>
      <c r="F320" s="44"/>
      <c r="G320" s="44"/>
      <c r="H320" s="44"/>
      <c r="I320" s="44"/>
    </row>
    <row r="321" spans="1:9">
      <c r="A321" s="84"/>
      <c r="B321" s="45"/>
      <c r="C321" s="85"/>
      <c r="D321" s="45"/>
      <c r="E321" s="45"/>
      <c r="F321" s="46"/>
      <c r="G321" s="46"/>
      <c r="H321" s="46"/>
      <c r="I321" s="45"/>
    </row>
    <row r="322" spans="1:9">
      <c r="A322" s="82"/>
      <c r="B322" s="44"/>
      <c r="C322" s="83"/>
      <c r="D322" s="44"/>
      <c r="E322" s="44"/>
      <c r="F322" s="44"/>
      <c r="G322" s="44"/>
      <c r="H322" s="44"/>
      <c r="I322" s="44"/>
    </row>
    <row r="323" spans="1:9">
      <c r="A323" s="84"/>
      <c r="B323" s="45"/>
      <c r="C323" s="85"/>
      <c r="D323" s="45"/>
      <c r="E323" s="45"/>
      <c r="F323" s="46"/>
      <c r="G323" s="46"/>
      <c r="H323" s="46"/>
      <c r="I323" s="45"/>
    </row>
    <row r="324" spans="1:9">
      <c r="A324" s="82"/>
      <c r="B324" s="44"/>
      <c r="C324" s="83"/>
      <c r="D324" s="44"/>
      <c r="E324" s="44"/>
      <c r="F324" s="44"/>
      <c r="G324" s="44"/>
      <c r="H324" s="44"/>
      <c r="I324" s="44"/>
    </row>
    <row r="325" spans="1:9">
      <c r="A325" s="84"/>
      <c r="B325" s="45"/>
      <c r="C325" s="85"/>
      <c r="D325" s="45"/>
      <c r="E325" s="45"/>
      <c r="F325" s="46"/>
      <c r="G325" s="46"/>
      <c r="H325" s="46"/>
      <c r="I325" s="45"/>
    </row>
    <row r="326" spans="1:9">
      <c r="A326" s="82"/>
      <c r="B326" s="44"/>
      <c r="C326" s="83"/>
      <c r="D326" s="44"/>
      <c r="E326" s="44"/>
      <c r="F326" s="44"/>
      <c r="G326" s="44"/>
      <c r="H326" s="44"/>
      <c r="I326" s="44"/>
    </row>
    <row r="327" spans="1:9">
      <c r="A327" s="84"/>
      <c r="B327" s="45"/>
      <c r="C327" s="85"/>
      <c r="D327" s="45"/>
      <c r="E327" s="45"/>
      <c r="F327" s="46"/>
      <c r="G327" s="46"/>
      <c r="H327" s="46"/>
      <c r="I327" s="45"/>
    </row>
    <row r="328" spans="1:9">
      <c r="A328" s="82"/>
      <c r="B328" s="44"/>
      <c r="C328" s="83"/>
      <c r="D328" s="44"/>
      <c r="E328" s="44"/>
      <c r="F328" s="44"/>
      <c r="G328" s="44"/>
      <c r="H328" s="44"/>
      <c r="I328" s="44"/>
    </row>
  </sheetData>
  <autoFilter ref="A1:I315" xr:uid="{00000000-0009-0000-0000-000004000000}"/>
  <dataValidations count="1">
    <dataValidation type="list" allowBlank="1" showInputMessage="1" showErrorMessage="1" sqref="G2:G1257"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zoomScaleNormal="100" workbookViewId="0">
      <pane ySplit="1" topLeftCell="A185" activePane="bottomLeft" state="frozen"/>
      <selection activeCell="E1" sqref="E1"/>
      <selection pane="bottomLeft" activeCell="B187" sqref="B187"/>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1277</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1114</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1166</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1100</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1160</v>
      </c>
      <c r="M120" s="52" t="s">
        <v>49</v>
      </c>
      <c r="N120" s="52" t="s">
        <v>589</v>
      </c>
      <c r="O120" s="52"/>
      <c r="P120" s="52" t="s">
        <v>1161</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1072</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1157</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1131</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1132</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1104</v>
      </c>
      <c r="M154" s="52"/>
      <c r="N154" s="52" t="s">
        <v>589</v>
      </c>
      <c r="O154" s="52" t="s">
        <v>1101</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1121</v>
      </c>
      <c r="M155" s="55"/>
      <c r="N155" s="55" t="s">
        <v>589</v>
      </c>
      <c r="O155" s="55" t="s">
        <v>1101</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1105</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1136</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1</v>
      </c>
      <c r="G166" s="66">
        <v>2</v>
      </c>
      <c r="H166" s="65">
        <f t="shared" si="11"/>
        <v>3</v>
      </c>
      <c r="I166" s="65">
        <f>IF(D166&lt;&gt;"",D166,IFERROR(E166/(IFERROR(SUM(Sales!C:C),0))*(IFERROR(SUM(Purchases!C:C),0)),0))</f>
        <v>606</v>
      </c>
      <c r="J166" s="65">
        <f t="shared" si="9"/>
        <v>606</v>
      </c>
      <c r="K166" s="65">
        <f t="shared" si="10"/>
        <v>1212</v>
      </c>
      <c r="L166" s="52" t="s">
        <v>1089</v>
      </c>
      <c r="M166" s="52"/>
      <c r="N166" s="52" t="s">
        <v>504</v>
      </c>
      <c r="O166" s="52"/>
      <c r="P166" s="52" t="s">
        <v>1090</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1267</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1299</v>
      </c>
      <c r="M175" s="55"/>
      <c r="N175" s="55" t="s">
        <v>589</v>
      </c>
      <c r="O175" s="55"/>
      <c r="P175" s="55" t="s">
        <v>1297</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3</v>
      </c>
      <c r="G181" s="64">
        <v>1</v>
      </c>
      <c r="H181" s="63">
        <f t="shared" si="11"/>
        <v>4</v>
      </c>
      <c r="I181" s="63">
        <f>IF(D181&lt;&gt;"",D181,IFERROR(E181/(IFERROR(SUM(Sales!C:C),0))*(IFERROR(SUM(Purchases!C:C),0)),0))</f>
        <v>1019</v>
      </c>
      <c r="J181" s="63">
        <f t="shared" si="9"/>
        <v>3057</v>
      </c>
      <c r="K181" s="63">
        <f t="shared" si="10"/>
        <v>1019</v>
      </c>
      <c r="L181" s="55" t="s">
        <v>1311</v>
      </c>
      <c r="M181" s="55"/>
      <c r="N181" s="55" t="s">
        <v>589</v>
      </c>
      <c r="O181" s="55" t="s">
        <v>1276</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1176</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1234</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1</v>
      </c>
      <c r="G187" s="64">
        <v>1</v>
      </c>
      <c r="H187" s="63">
        <f t="shared" si="12"/>
        <v>2</v>
      </c>
      <c r="I187" s="63">
        <f>IF(D187&lt;&gt;"",D187,IFERROR(E187/(IFERROR(SUM(Sales!C:C),0))*(IFERROR(SUM(Purchases!C:C),0)),0))</f>
        <v>891</v>
      </c>
      <c r="J187" s="63">
        <f t="shared" si="9"/>
        <v>891</v>
      </c>
      <c r="K187" s="63">
        <f t="shared" si="10"/>
        <v>891</v>
      </c>
      <c r="L187" s="55" t="s">
        <v>1316</v>
      </c>
      <c r="M187" s="55"/>
      <c r="N187" s="55" t="s">
        <v>589</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1235</v>
      </c>
      <c r="M188" s="52"/>
      <c r="N188" s="52" t="s">
        <v>589</v>
      </c>
      <c r="O188" s="52"/>
      <c r="P188" s="52"/>
      <c r="Q188" s="52"/>
      <c r="R188" s="52"/>
      <c r="S188" s="52"/>
      <c r="T188" s="52"/>
    </row>
    <row r="189" spans="1:20" ht="63" customHeight="1">
      <c r="A189" s="55" t="s">
        <v>970</v>
      </c>
      <c r="B189" s="52" t="s">
        <v>971</v>
      </c>
      <c r="C189" s="52" t="s">
        <v>95</v>
      </c>
      <c r="D189" s="53">
        <v>891</v>
      </c>
      <c r="E189" s="53">
        <v>1380</v>
      </c>
      <c r="F189" s="64">
        <v>7</v>
      </c>
      <c r="G189" s="64">
        <v>1</v>
      </c>
      <c r="H189" s="63">
        <f t="shared" si="12"/>
        <v>8</v>
      </c>
      <c r="I189" s="63">
        <f>IF(D189&lt;&gt;"",D189,IFERROR(E189/(IFERROR(SUM(Sales!C:C),0))*(IFERROR(SUM(Purchases!C:C),0)),0))</f>
        <v>891</v>
      </c>
      <c r="J189" s="63">
        <f t="shared" si="9"/>
        <v>6237</v>
      </c>
      <c r="K189" s="63">
        <f t="shared" si="10"/>
        <v>891</v>
      </c>
      <c r="L189" s="55" t="s">
        <v>1322</v>
      </c>
      <c r="M189" s="55"/>
      <c r="N189" s="55" t="s">
        <v>589</v>
      </c>
      <c r="O189" s="55"/>
      <c r="P189" s="55" t="s">
        <v>1325</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1167</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1081</v>
      </c>
      <c r="M192" s="52"/>
      <c r="N192" s="47" t="s">
        <v>589</v>
      </c>
      <c r="P192" s="47" t="s">
        <v>1082</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1302</v>
      </c>
      <c r="C194" s="52" t="s">
        <v>95</v>
      </c>
      <c r="D194" s="53">
        <v>790</v>
      </c>
      <c r="E194" s="53">
        <v>1250</v>
      </c>
      <c r="F194" s="66">
        <v>2</v>
      </c>
      <c r="G194" s="66">
        <v>8</v>
      </c>
      <c r="H194" s="65">
        <f t="shared" si="12"/>
        <v>10</v>
      </c>
      <c r="I194" s="65">
        <f>IF(D194&lt;&gt;"",D194,IFERROR(E194/(IFERROR(SUM(Sales!C:C),0))*(IFERROR(SUM(Purchases!C:C),0)),0))</f>
        <v>790</v>
      </c>
      <c r="J194" s="65">
        <f t="shared" ref="J194:J225" si="13">F194*I194</f>
        <v>1580</v>
      </c>
      <c r="K194" s="65">
        <f t="shared" ref="K194:K225" si="14">IF(LEN(G194)=0,0,G194)*I194</f>
        <v>6320</v>
      </c>
      <c r="L194" s="52" t="s">
        <v>1135</v>
      </c>
      <c r="M194" s="52"/>
      <c r="N194" s="47" t="s">
        <v>589</v>
      </c>
      <c r="P194" s="47" t="s">
        <v>1301</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1182</v>
      </c>
      <c r="M198" s="55"/>
      <c r="N198" s="47" t="s">
        <v>589</v>
      </c>
      <c r="P198" s="47" t="s">
        <v>1183</v>
      </c>
      <c r="S198" s="47"/>
      <c r="T198" s="47"/>
    </row>
    <row r="199" spans="1:20" ht="30" customHeight="1">
      <c r="A199" s="52" t="s">
        <v>995</v>
      </c>
      <c r="B199" s="55" t="s">
        <v>996</v>
      </c>
      <c r="C199" s="55" t="s">
        <v>95</v>
      </c>
      <c r="D199" s="56">
        <v>866</v>
      </c>
      <c r="E199" s="56">
        <v>1350</v>
      </c>
      <c r="F199" s="66">
        <v>3</v>
      </c>
      <c r="G199" s="66">
        <v>2</v>
      </c>
      <c r="H199" s="65">
        <f t="shared" si="12"/>
        <v>5</v>
      </c>
      <c r="I199" s="65">
        <f>IF(D199&lt;&gt;"",D199,IFERROR(E199/(IFERROR(SUM(Sales!C:C),0))*(IFERROR(SUM(Purchases!C:C),0)),0))</f>
        <v>866</v>
      </c>
      <c r="J199" s="65">
        <f t="shared" si="13"/>
        <v>2598</v>
      </c>
      <c r="K199" s="65">
        <f t="shared" si="14"/>
        <v>1732</v>
      </c>
      <c r="L199" s="52" t="s">
        <v>1328</v>
      </c>
      <c r="M199" s="52"/>
      <c r="N199" s="47" t="s">
        <v>589</v>
      </c>
      <c r="P199" s="47" t="s">
        <v>1329</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1149</v>
      </c>
      <c r="M201" s="52"/>
      <c r="N201" s="47" t="s">
        <v>589</v>
      </c>
      <c r="P201" s="47" t="s">
        <v>1150</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1110</v>
      </c>
      <c r="M203" s="52"/>
      <c r="N203" s="47" t="s">
        <v>589</v>
      </c>
      <c r="P203" s="47" t="s">
        <v>1109</v>
      </c>
      <c r="S203" s="47"/>
      <c r="T203" s="47"/>
    </row>
    <row r="204" spans="1:20" ht="15" customHeight="1">
      <c r="A204" s="55" t="s">
        <v>1009</v>
      </c>
      <c r="B204" s="55" t="s">
        <v>1010</v>
      </c>
      <c r="C204" s="55" t="s">
        <v>95</v>
      </c>
      <c r="D204" s="56">
        <v>761</v>
      </c>
      <c r="E204" s="56">
        <v>1250</v>
      </c>
      <c r="F204" s="64">
        <v>1</v>
      </c>
      <c r="G204" s="64">
        <v>2</v>
      </c>
      <c r="H204" s="63">
        <f t="shared" si="12"/>
        <v>3</v>
      </c>
      <c r="I204" s="63">
        <f>IF(D204&lt;&gt;"",D204,IFERROR(E204/(IFERROR(SUM(Sales!C:C),0))*(IFERROR(SUM(Purchases!C:C),0)),0))</f>
        <v>761</v>
      </c>
      <c r="J204" s="63">
        <f t="shared" si="13"/>
        <v>761</v>
      </c>
      <c r="K204" s="63">
        <f t="shared" si="14"/>
        <v>1522</v>
      </c>
      <c r="L204" s="55" t="s">
        <v>1011</v>
      </c>
      <c r="M204" s="55"/>
      <c r="N204" s="47" t="s">
        <v>678</v>
      </c>
      <c r="P204" s="47" t="s">
        <v>1012</v>
      </c>
      <c r="S204" s="47"/>
      <c r="T204" s="47"/>
    </row>
    <row r="205" spans="1:20" ht="15" customHeight="1">
      <c r="A205" s="52" t="s">
        <v>1013</v>
      </c>
      <c r="B205" s="52" t="s">
        <v>1014</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1015</v>
      </c>
      <c r="S205" s="47"/>
      <c r="T205" s="47"/>
    </row>
    <row r="206" spans="1:20" ht="15" customHeight="1">
      <c r="A206" s="55" t="s">
        <v>1016</v>
      </c>
      <c r="B206" s="55" t="s">
        <v>1017</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1018</v>
      </c>
      <c r="M206" s="55"/>
      <c r="N206" s="47" t="s">
        <v>589</v>
      </c>
      <c r="P206" s="47" t="s">
        <v>1019</v>
      </c>
      <c r="S206" s="47"/>
      <c r="T206" s="47"/>
    </row>
    <row r="207" spans="1:20" ht="30" customHeight="1">
      <c r="A207" s="52" t="s">
        <v>1020</v>
      </c>
      <c r="B207" s="52" t="s">
        <v>1021</v>
      </c>
      <c r="C207" s="52" t="s">
        <v>95</v>
      </c>
      <c r="D207" s="53">
        <v>782</v>
      </c>
      <c r="E207" s="53">
        <v>1250</v>
      </c>
      <c r="F207" s="66">
        <v>0</v>
      </c>
      <c r="G207" s="66">
        <v>4</v>
      </c>
      <c r="H207" s="65">
        <f t="shared" si="12"/>
        <v>4</v>
      </c>
      <c r="I207" s="65">
        <f>IF(D207&lt;&gt;"",D207,IFERROR(E207/(IFERROR(SUM(Sales!C:C),0))*(IFERROR(SUM(Purchases!C:C),0)),0))</f>
        <v>782</v>
      </c>
      <c r="J207" s="65">
        <f t="shared" si="13"/>
        <v>0</v>
      </c>
      <c r="K207" s="65">
        <f t="shared" si="14"/>
        <v>3128</v>
      </c>
      <c r="L207" s="52"/>
      <c r="M207" s="52"/>
      <c r="N207" s="47" t="s">
        <v>678</v>
      </c>
      <c r="P207" s="47" t="s">
        <v>1022</v>
      </c>
      <c r="S207" s="47"/>
      <c r="T207" s="47"/>
    </row>
    <row r="208" spans="1:20" ht="15" customHeight="1">
      <c r="A208" s="55" t="s">
        <v>1023</v>
      </c>
      <c r="B208" s="52" t="s">
        <v>1024</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1084</v>
      </c>
      <c r="M208" s="55"/>
      <c r="N208" s="47" t="s">
        <v>589</v>
      </c>
      <c r="P208" s="47" t="s">
        <v>1083</v>
      </c>
      <c r="S208" s="47"/>
      <c r="T208" s="47"/>
    </row>
    <row r="209" spans="1:20" ht="15" customHeight="1">
      <c r="A209" s="52" t="s">
        <v>1025</v>
      </c>
      <c r="B209" s="55" t="s">
        <v>1026</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1027</v>
      </c>
      <c r="S209" s="47"/>
      <c r="T209" s="47"/>
    </row>
    <row r="210" spans="1:20" ht="15" customHeight="1">
      <c r="A210" s="55" t="s">
        <v>1028</v>
      </c>
      <c r="B210" s="52" t="s">
        <v>901</v>
      </c>
      <c r="C210" s="52" t="s">
        <v>95</v>
      </c>
      <c r="D210" s="53">
        <v>922</v>
      </c>
      <c r="E210" s="53">
        <v>1499</v>
      </c>
      <c r="F210" s="64">
        <v>0</v>
      </c>
      <c r="G210" s="64">
        <v>2</v>
      </c>
      <c r="H210" s="63">
        <f t="shared" si="12"/>
        <v>2</v>
      </c>
      <c r="I210" s="63">
        <f>IF(D210&lt;&gt;"",D210,IFERROR(E210/(IFERROR(SUM(Sales!C:C),0))*(IFERROR(SUM(Purchases!C:C),0)),0))</f>
        <v>922</v>
      </c>
      <c r="J210" s="63">
        <f t="shared" si="13"/>
        <v>0</v>
      </c>
      <c r="K210" s="63">
        <f t="shared" si="14"/>
        <v>1844</v>
      </c>
      <c r="L210" s="55"/>
      <c r="M210" s="55"/>
      <c r="N210" s="47" t="s">
        <v>678</v>
      </c>
      <c r="P210" s="47" t="s">
        <v>1029</v>
      </c>
      <c r="S210" s="47"/>
      <c r="T210" s="47"/>
    </row>
    <row r="211" spans="1:20" ht="15" customHeight="1">
      <c r="A211" s="52" t="s">
        <v>1030</v>
      </c>
      <c r="B211" s="55" t="s">
        <v>1099</v>
      </c>
      <c r="C211" s="55" t="s">
        <v>95</v>
      </c>
      <c r="D211" s="56">
        <v>891.5</v>
      </c>
      <c r="E211" s="56">
        <v>1380</v>
      </c>
      <c r="F211" s="66">
        <v>32</v>
      </c>
      <c r="G211" s="66">
        <v>0</v>
      </c>
      <c r="H211" s="65">
        <f t="shared" si="12"/>
        <v>32</v>
      </c>
      <c r="I211" s="65">
        <f>IF(D211&lt;&gt;"",D211,IFERROR(E211/(IFERROR(SUM(Sales!C:C),0))*(IFERROR(SUM(Purchases!C:C),0)),0))</f>
        <v>891.5</v>
      </c>
      <c r="J211" s="65">
        <f t="shared" si="13"/>
        <v>28528</v>
      </c>
      <c r="K211" s="65">
        <f t="shared" si="14"/>
        <v>0</v>
      </c>
      <c r="L211" s="52" t="s">
        <v>1317</v>
      </c>
      <c r="M211" s="52"/>
      <c r="N211" s="47" t="s">
        <v>504</v>
      </c>
      <c r="S211" s="47"/>
      <c r="T211" s="47"/>
    </row>
    <row r="212" spans="1:20" ht="15" customHeight="1">
      <c r="A212" s="55" t="s">
        <v>1031</v>
      </c>
      <c r="B212" s="52" t="s">
        <v>1134</v>
      </c>
      <c r="C212" s="52" t="s">
        <v>95</v>
      </c>
      <c r="D212" s="53">
        <v>555</v>
      </c>
      <c r="E212" s="53">
        <v>850</v>
      </c>
      <c r="F212" s="64">
        <v>4</v>
      </c>
      <c r="G212" s="64">
        <v>5</v>
      </c>
      <c r="H212" s="63">
        <f t="shared" si="12"/>
        <v>9</v>
      </c>
      <c r="I212" s="63">
        <f>IF(D212&lt;&gt;"",D212,IFERROR(E212/(IFERROR(SUM(Sales!C:C),0))*(IFERROR(SUM(Purchases!C:C),0)),0))</f>
        <v>555</v>
      </c>
      <c r="J212" s="63">
        <f t="shared" si="13"/>
        <v>2220</v>
      </c>
      <c r="K212" s="63">
        <f t="shared" si="14"/>
        <v>2775</v>
      </c>
      <c r="L212" s="55" t="s">
        <v>1320</v>
      </c>
      <c r="M212" s="55"/>
      <c r="N212" s="47" t="s">
        <v>589</v>
      </c>
      <c r="P212" s="47" t="s">
        <v>1321</v>
      </c>
      <c r="S212" s="47"/>
      <c r="T212" s="47"/>
    </row>
    <row r="213" spans="1:20" ht="15" customHeight="1">
      <c r="A213" s="52" t="s">
        <v>1032</v>
      </c>
      <c r="B213" s="52" t="s">
        <v>1138</v>
      </c>
      <c r="C213" s="52" t="s">
        <v>95</v>
      </c>
      <c r="D213" s="53">
        <v>835</v>
      </c>
      <c r="E213" s="53">
        <v>1250</v>
      </c>
      <c r="F213" s="66">
        <v>0</v>
      </c>
      <c r="G213" s="66">
        <v>5</v>
      </c>
      <c r="H213" s="65">
        <f t="shared" si="12"/>
        <v>5</v>
      </c>
      <c r="I213" s="65">
        <f>IF(D213&lt;&gt;"",D213,IFERROR(E213/(IFERROR(SUM(Sales!C:C),0))*(IFERROR(SUM(Purchases!C:C),0)),0))</f>
        <v>835</v>
      </c>
      <c r="J213" s="65">
        <f t="shared" si="13"/>
        <v>0</v>
      </c>
      <c r="K213" s="65">
        <f t="shared" si="14"/>
        <v>4175</v>
      </c>
      <c r="L213" s="52"/>
      <c r="M213" s="52"/>
      <c r="N213" s="47" t="s">
        <v>678</v>
      </c>
      <c r="P213" s="47" t="s">
        <v>1139</v>
      </c>
      <c r="S213" s="47"/>
      <c r="T213" s="47"/>
    </row>
    <row r="214" spans="1:20" ht="15" customHeight="1">
      <c r="A214" s="55" t="s">
        <v>1033</v>
      </c>
      <c r="B214" s="55" t="s">
        <v>1140</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1227</v>
      </c>
      <c r="M214" s="55"/>
      <c r="N214" s="47" t="s">
        <v>589</v>
      </c>
      <c r="P214" s="47" t="s">
        <v>1141</v>
      </c>
      <c r="S214" s="47"/>
      <c r="T214" s="47"/>
    </row>
    <row r="215" spans="1:20" ht="30">
      <c r="A215" s="52" t="s">
        <v>1034</v>
      </c>
      <c r="B215" s="52" t="s">
        <v>994</v>
      </c>
      <c r="C215" s="52" t="s">
        <v>95</v>
      </c>
      <c r="D215" s="53">
        <v>576</v>
      </c>
      <c r="E215" s="53">
        <v>899</v>
      </c>
      <c r="F215" s="66">
        <v>1</v>
      </c>
      <c r="G215" s="66">
        <v>5</v>
      </c>
      <c r="H215" s="65">
        <f t="shared" si="12"/>
        <v>6</v>
      </c>
      <c r="I215" s="65">
        <f>IF(D215&lt;&gt;"",D215,IFERROR(E215/(IFERROR(SUM(Sales!C:C),0))*(IFERROR(SUM(Purchases!C:C),0)),0))</f>
        <v>576</v>
      </c>
      <c r="J215" s="65">
        <f t="shared" si="13"/>
        <v>576</v>
      </c>
      <c r="K215" s="65">
        <f t="shared" si="14"/>
        <v>2880</v>
      </c>
      <c r="L215" s="52" t="s">
        <v>1179</v>
      </c>
      <c r="M215" s="52"/>
      <c r="N215" s="47" t="s">
        <v>589</v>
      </c>
      <c r="P215" s="47" t="s">
        <v>1180</v>
      </c>
      <c r="S215" s="47"/>
      <c r="T215" s="47"/>
    </row>
    <row r="216" spans="1:20" ht="15" customHeight="1">
      <c r="A216" s="55" t="s">
        <v>1035</v>
      </c>
      <c r="B216" s="55" t="s">
        <v>1142</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1275</v>
      </c>
      <c r="M216" s="55"/>
      <c r="N216" s="47" t="s">
        <v>504</v>
      </c>
      <c r="P216" s="47" t="s">
        <v>1143</v>
      </c>
      <c r="S216" s="47"/>
      <c r="T216" s="47"/>
    </row>
    <row r="217" spans="1:20" ht="15">
      <c r="A217" s="52" t="s">
        <v>1036</v>
      </c>
      <c r="B217" s="52" t="s">
        <v>1144</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1177</v>
      </c>
      <c r="M217" s="52"/>
      <c r="N217" s="47" t="s">
        <v>589</v>
      </c>
      <c r="P217" s="47" t="s">
        <v>1178</v>
      </c>
      <c r="S217" s="47"/>
      <c r="T217" s="47"/>
    </row>
    <row r="218" spans="1:20" ht="15" customHeight="1">
      <c r="A218" s="55" t="s">
        <v>1037</v>
      </c>
      <c r="B218" s="55" t="s">
        <v>1145</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1186</v>
      </c>
      <c r="M218" s="55"/>
      <c r="N218" s="47" t="s">
        <v>678</v>
      </c>
      <c r="P218" s="47" t="s">
        <v>1185</v>
      </c>
      <c r="S218" s="47"/>
      <c r="T218" s="47"/>
    </row>
    <row r="219" spans="1:20" ht="15">
      <c r="A219" s="52" t="s">
        <v>1038</v>
      </c>
      <c r="B219" s="52" t="s">
        <v>1146</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1173</v>
      </c>
      <c r="M219" s="52"/>
      <c r="N219" s="47" t="s">
        <v>589</v>
      </c>
      <c r="P219" s="47" t="s">
        <v>1174</v>
      </c>
      <c r="S219" s="47"/>
      <c r="T219" s="47"/>
    </row>
    <row r="220" spans="1:20" ht="15" customHeight="1">
      <c r="A220" s="55" t="s">
        <v>1039</v>
      </c>
      <c r="B220" s="55" t="s">
        <v>1170</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1171</v>
      </c>
      <c r="S220" s="47"/>
      <c r="T220" s="47"/>
    </row>
    <row r="221" spans="1:20" ht="17">
      <c r="A221" s="52" t="s">
        <v>1040</v>
      </c>
      <c r="B221" s="52" t="s">
        <v>1187</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1214</v>
      </c>
      <c r="S221" s="47"/>
      <c r="T221" s="47"/>
    </row>
    <row r="222" spans="1:20" ht="15" customHeight="1">
      <c r="A222" s="55" t="s">
        <v>1041</v>
      </c>
      <c r="B222" s="55" t="s">
        <v>1188</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1215</v>
      </c>
      <c r="S222" s="47"/>
      <c r="T222" s="47"/>
    </row>
    <row r="223" spans="1:20" ht="15" customHeight="1">
      <c r="A223" s="52" t="s">
        <v>1042</v>
      </c>
      <c r="B223" s="52" t="s">
        <v>1189</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1230</v>
      </c>
      <c r="M223" s="52"/>
      <c r="N223" s="47" t="s">
        <v>589</v>
      </c>
      <c r="P223" s="86" t="s">
        <v>1232</v>
      </c>
      <c r="S223" s="47"/>
      <c r="T223" s="47"/>
    </row>
    <row r="224" spans="1:20" ht="15" customHeight="1">
      <c r="A224" s="55" t="s">
        <v>1043</v>
      </c>
      <c r="B224" s="55" t="s">
        <v>1190</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1216</v>
      </c>
      <c r="S224" s="47"/>
      <c r="T224" s="47"/>
    </row>
    <row r="225" spans="1:20" ht="15" customHeight="1">
      <c r="A225" s="52" t="s">
        <v>1044</v>
      </c>
      <c r="B225" s="52" t="s">
        <v>1191</v>
      </c>
      <c r="C225" s="52" t="s">
        <v>95</v>
      </c>
      <c r="D225" s="53">
        <v>940</v>
      </c>
      <c r="E225" s="53">
        <v>1500</v>
      </c>
      <c r="F225" s="66">
        <v>0</v>
      </c>
      <c r="G225" s="66">
        <v>2</v>
      </c>
      <c r="H225" s="65">
        <f t="shared" si="12"/>
        <v>2</v>
      </c>
      <c r="I225" s="65">
        <f>IF(D225&lt;&gt;"",D225,IFERROR(E225/(IFERROR(SUM(Sales!C:C),0))*(IFERROR(SUM(Purchases!C:C),0)),0))</f>
        <v>940</v>
      </c>
      <c r="J225" s="65">
        <f t="shared" si="13"/>
        <v>0</v>
      </c>
      <c r="K225" s="65">
        <f t="shared" si="14"/>
        <v>1880</v>
      </c>
      <c r="L225" s="52"/>
      <c r="M225" s="52"/>
      <c r="N225" s="47" t="s">
        <v>678</v>
      </c>
      <c r="P225" s="86" t="s">
        <v>1217</v>
      </c>
      <c r="S225" s="47"/>
      <c r="T225" s="47"/>
    </row>
    <row r="226" spans="1:20" ht="17">
      <c r="A226" s="52" t="s">
        <v>1202</v>
      </c>
      <c r="B226" s="55" t="s">
        <v>1192</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1184</v>
      </c>
      <c r="M226" s="55"/>
      <c r="N226" s="47" t="s">
        <v>678</v>
      </c>
      <c r="P226" s="86" t="s">
        <v>1218</v>
      </c>
      <c r="S226" s="47"/>
      <c r="T226" s="47"/>
    </row>
    <row r="227" spans="1:20" ht="17">
      <c r="A227" s="55" t="s">
        <v>1203</v>
      </c>
      <c r="B227" s="52" t="s">
        <v>1193</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1219</v>
      </c>
      <c r="S227" s="47"/>
      <c r="T227" s="47"/>
    </row>
    <row r="228" spans="1:20" ht="17">
      <c r="A228" s="52" t="s">
        <v>1204</v>
      </c>
      <c r="B228" s="55" t="s">
        <v>1194</v>
      </c>
      <c r="C228" s="55" t="s">
        <v>95</v>
      </c>
      <c r="D228" s="56">
        <v>555</v>
      </c>
      <c r="E228" s="56">
        <v>999</v>
      </c>
      <c r="F228" s="64">
        <v>1</v>
      </c>
      <c r="G228" s="64">
        <v>5</v>
      </c>
      <c r="H228" s="63">
        <f t="shared" si="15"/>
        <v>6</v>
      </c>
      <c r="I228" s="63">
        <f>IF(D228&lt;&gt;"",D228,IFERROR(E228/(IFERROR(SUM(Sales!C:C),0))*(IFERROR(SUM(Purchases!C:C),0)),0))</f>
        <v>555</v>
      </c>
      <c r="J228" s="63">
        <f t="shared" si="16"/>
        <v>555</v>
      </c>
      <c r="K228" s="63">
        <f t="shared" si="17"/>
        <v>2775</v>
      </c>
      <c r="L228" s="55" t="s">
        <v>1304</v>
      </c>
      <c r="M228" s="55"/>
      <c r="N228" s="47" t="s">
        <v>589</v>
      </c>
      <c r="P228" s="86" t="s">
        <v>1305</v>
      </c>
      <c r="S228" s="47"/>
      <c r="T228" s="47"/>
    </row>
    <row r="229" spans="1:20" ht="17">
      <c r="A229" s="55" t="s">
        <v>1205</v>
      </c>
      <c r="B229" s="52" t="s">
        <v>1195</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1272</v>
      </c>
      <c r="M229" s="52"/>
      <c r="N229" s="47" t="s">
        <v>589</v>
      </c>
      <c r="P229" s="86" t="s">
        <v>1273</v>
      </c>
      <c r="S229" s="47"/>
      <c r="T229" s="47"/>
    </row>
    <row r="230" spans="1:20" ht="17">
      <c r="A230" s="52" t="s">
        <v>1206</v>
      </c>
      <c r="B230" s="55" t="s">
        <v>1194</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1220</v>
      </c>
      <c r="S230" s="47"/>
      <c r="T230" s="47"/>
    </row>
    <row r="231" spans="1:20" ht="17">
      <c r="A231" s="52" t="s">
        <v>1207</v>
      </c>
      <c r="B231" s="52" t="s">
        <v>1196</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1171</v>
      </c>
      <c r="S231" s="47"/>
      <c r="T231" s="47"/>
    </row>
    <row r="232" spans="1:20" ht="17">
      <c r="A232" s="55" t="s">
        <v>1208</v>
      </c>
      <c r="B232" s="55" t="s">
        <v>1197</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1224</v>
      </c>
      <c r="M232" s="55"/>
      <c r="N232" s="47" t="s">
        <v>504</v>
      </c>
      <c r="P232" s="86" t="s">
        <v>1221</v>
      </c>
      <c r="S232" s="47"/>
      <c r="T232" s="47"/>
    </row>
    <row r="233" spans="1:20" ht="17">
      <c r="A233" s="52" t="s">
        <v>1209</v>
      </c>
      <c r="B233" s="52" t="s">
        <v>1198</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1274</v>
      </c>
      <c r="M233" s="52"/>
      <c r="N233" s="47" t="s">
        <v>678</v>
      </c>
      <c r="P233" s="86" t="s">
        <v>1222</v>
      </c>
      <c r="S233" s="47"/>
      <c r="T233" s="47"/>
    </row>
    <row r="234" spans="1:20" ht="17">
      <c r="A234" s="55" t="s">
        <v>1210</v>
      </c>
      <c r="B234" s="55" t="s">
        <v>1199</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1294</v>
      </c>
      <c r="M234" s="55"/>
      <c r="N234" s="47" t="s">
        <v>589</v>
      </c>
      <c r="P234" s="86" t="s">
        <v>1223</v>
      </c>
      <c r="S234" s="47"/>
      <c r="T234" s="47"/>
    </row>
    <row r="235" spans="1:20" ht="17">
      <c r="A235" s="52" t="s">
        <v>1211</v>
      </c>
      <c r="B235" s="52" t="s">
        <v>510</v>
      </c>
      <c r="C235" s="52" t="s">
        <v>95</v>
      </c>
      <c r="D235" s="53">
        <v>912</v>
      </c>
      <c r="E235" s="53">
        <v>1380</v>
      </c>
      <c r="F235" s="66">
        <v>1</v>
      </c>
      <c r="G235" s="66">
        <v>3</v>
      </c>
      <c r="H235" s="65">
        <f t="shared" si="15"/>
        <v>4</v>
      </c>
      <c r="I235" s="65">
        <f>IF(D235&lt;&gt;"",D235,IFERROR(E235/(IFERROR(SUM(Sales!C:C),0))*(IFERROR(SUM(Purchases!C:C),0)),0))</f>
        <v>912</v>
      </c>
      <c r="J235" s="65">
        <f t="shared" si="16"/>
        <v>912</v>
      </c>
      <c r="K235" s="65">
        <f t="shared" si="17"/>
        <v>2736</v>
      </c>
      <c r="L235" s="52" t="s">
        <v>1284</v>
      </c>
      <c r="M235" s="52"/>
      <c r="N235" s="47" t="s">
        <v>589</v>
      </c>
      <c r="P235" s="86" t="s">
        <v>1285</v>
      </c>
      <c r="S235" s="47"/>
      <c r="T235" s="47"/>
    </row>
    <row r="236" spans="1:20" ht="17">
      <c r="A236" s="52" t="s">
        <v>1212</v>
      </c>
      <c r="B236" s="55" t="s">
        <v>1200</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1270</v>
      </c>
      <c r="M236" s="55"/>
      <c r="N236" s="47" t="s">
        <v>678</v>
      </c>
      <c r="P236" s="86" t="s">
        <v>1271</v>
      </c>
      <c r="S236" s="47"/>
      <c r="T236" s="47"/>
    </row>
    <row r="237" spans="1:20" ht="17">
      <c r="A237" s="55" t="s">
        <v>1213</v>
      </c>
      <c r="B237" s="52" t="s">
        <v>1201</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1269</v>
      </c>
      <c r="M237" s="52"/>
      <c r="N237" s="47" t="s">
        <v>678</v>
      </c>
      <c r="P237" s="86" t="s">
        <v>1268</v>
      </c>
      <c r="S237" s="47"/>
      <c r="T237" s="47"/>
    </row>
    <row r="238" spans="1:20" ht="16">
      <c r="A238" s="55" t="s">
        <v>1236</v>
      </c>
      <c r="B238" s="55" t="s">
        <v>1197</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1237</v>
      </c>
      <c r="M238" s="55"/>
      <c r="N238" s="47" t="s">
        <v>504</v>
      </c>
      <c r="P238" s="86"/>
      <c r="S238" s="47"/>
      <c r="T238" s="47"/>
    </row>
    <row r="239" spans="1:20" ht="17">
      <c r="A239" s="52" t="s">
        <v>1239</v>
      </c>
      <c r="B239" s="52" t="s">
        <v>1249</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1260</v>
      </c>
      <c r="S239" s="47"/>
      <c r="T239" s="47"/>
    </row>
    <row r="240" spans="1:20" ht="17">
      <c r="A240" s="55" t="s">
        <v>1240</v>
      </c>
      <c r="B240" s="55" t="s">
        <v>1258</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1259</v>
      </c>
      <c r="M240" s="55"/>
      <c r="N240" s="47" t="s">
        <v>504</v>
      </c>
      <c r="P240" s="86" t="s">
        <v>201</v>
      </c>
      <c r="S240" s="47"/>
      <c r="T240" s="47"/>
    </row>
    <row r="241" spans="1:20" ht="17">
      <c r="A241" s="52" t="s">
        <v>1241</v>
      </c>
      <c r="B241" s="52" t="s">
        <v>1250</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1296</v>
      </c>
      <c r="M241" s="52"/>
      <c r="N241" s="47" t="s">
        <v>589</v>
      </c>
      <c r="P241" s="86" t="s">
        <v>1261</v>
      </c>
      <c r="S241" s="47"/>
      <c r="T241" s="47"/>
    </row>
    <row r="242" spans="1:20" ht="17">
      <c r="A242" s="55" t="s">
        <v>1242</v>
      </c>
      <c r="B242" s="55" t="s">
        <v>1251</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1262</v>
      </c>
      <c r="S242" s="47"/>
      <c r="T242" s="47"/>
    </row>
    <row r="243" spans="1:20" ht="17">
      <c r="A243" s="52" t="s">
        <v>1243</v>
      </c>
      <c r="B243" s="52" t="s">
        <v>1252</v>
      </c>
      <c r="C243" s="52" t="s">
        <v>95</v>
      </c>
      <c r="D243" s="53">
        <v>545</v>
      </c>
      <c r="E243" s="53">
        <v>900</v>
      </c>
      <c r="F243" s="66">
        <v>1</v>
      </c>
      <c r="G243" s="66">
        <v>1</v>
      </c>
      <c r="H243" s="65">
        <f t="shared" si="18"/>
        <v>2</v>
      </c>
      <c r="I243" s="65">
        <f>IF(D243&lt;&gt;"",D243,IFERROR(E243/(IFERROR(SUM(Sales!C:C),0))*(IFERROR(SUM(Purchases!C:C),0)),0))</f>
        <v>545</v>
      </c>
      <c r="J243" s="65">
        <f t="shared" si="19"/>
        <v>545</v>
      </c>
      <c r="K243" s="65">
        <f t="shared" si="20"/>
        <v>545</v>
      </c>
      <c r="L243" s="52" t="s">
        <v>1289</v>
      </c>
      <c r="M243" s="52"/>
      <c r="N243" s="47" t="s">
        <v>589</v>
      </c>
      <c r="P243" s="86" t="s">
        <v>1263</v>
      </c>
      <c r="S243" s="47"/>
      <c r="T243" s="47"/>
    </row>
    <row r="244" spans="1:20" ht="17">
      <c r="A244" s="55" t="s">
        <v>1244</v>
      </c>
      <c r="B244" s="55" t="s">
        <v>1253</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1264</v>
      </c>
      <c r="S244" s="47"/>
      <c r="T244" s="47"/>
    </row>
    <row r="245" spans="1:20" ht="16">
      <c r="A245" s="52" t="s">
        <v>1245</v>
      </c>
      <c r="B245" s="52" t="s">
        <v>1254</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0" ht="17">
      <c r="A246" s="55" t="s">
        <v>1246</v>
      </c>
      <c r="B246" s="55" t="s">
        <v>1255</v>
      </c>
      <c r="C246" s="55" t="s">
        <v>95</v>
      </c>
      <c r="D246" s="56">
        <v>629</v>
      </c>
      <c r="E246" s="56"/>
      <c r="F246" s="64">
        <v>0</v>
      </c>
      <c r="G246" s="64">
        <v>0</v>
      </c>
      <c r="H246" s="63">
        <f t="shared" si="18"/>
        <v>0</v>
      </c>
      <c r="I246" s="63">
        <f>IF(D246&lt;&gt;"",D246,IFERROR(E246/(IFERROR(SUM(Sales!C:C),0))*(IFERROR(SUM(Purchases!C:C),0)),0))</f>
        <v>629</v>
      </c>
      <c r="J246" s="63">
        <f t="shared" si="19"/>
        <v>0</v>
      </c>
      <c r="K246" s="63">
        <f t="shared" si="20"/>
        <v>0</v>
      </c>
      <c r="L246" s="55" t="s">
        <v>608</v>
      </c>
      <c r="M246" s="55"/>
      <c r="N246" s="47" t="s">
        <v>504</v>
      </c>
      <c r="P246" s="86" t="s">
        <v>1265</v>
      </c>
      <c r="S246" s="47"/>
      <c r="T246" s="47"/>
    </row>
    <row r="247" spans="1:20" ht="16">
      <c r="A247" s="52" t="s">
        <v>1247</v>
      </c>
      <c r="B247" s="52" t="s">
        <v>1256</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0" ht="17">
      <c r="A248" s="55" t="s">
        <v>1248</v>
      </c>
      <c r="B248" s="55" t="s">
        <v>1257</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1266</v>
      </c>
      <c r="S248" s="47"/>
      <c r="T248" s="47"/>
    </row>
    <row r="249" spans="1:20" ht="16">
      <c r="A249" s="52"/>
      <c r="B249" s="52"/>
      <c r="C249" s="52"/>
      <c r="D249" s="53"/>
      <c r="E249" s="53"/>
      <c r="F249" s="66">
        <v>0</v>
      </c>
      <c r="G249" s="66">
        <v>3</v>
      </c>
      <c r="H249" s="65">
        <f t="shared" si="18"/>
        <v>3</v>
      </c>
      <c r="I249" s="65">
        <f>IF(D249&lt;&gt;"",D249,IFERROR(E249/(IFERROR(SUM(Sales!C:C),0))*(IFERROR(SUM(Purchases!C:C),0)),0))</f>
        <v>0</v>
      </c>
      <c r="J249" s="65">
        <f t="shared" si="19"/>
        <v>0</v>
      </c>
      <c r="K249" s="65">
        <f t="shared" si="20"/>
        <v>0</v>
      </c>
      <c r="L249" s="52"/>
      <c r="M249" s="52"/>
      <c r="P249" s="86"/>
      <c r="S249" s="47"/>
      <c r="T249" s="47"/>
    </row>
    <row r="250" spans="1:20" ht="16">
      <c r="A250" s="55"/>
      <c r="B250" s="55"/>
      <c r="C250" s="55"/>
      <c r="D250" s="56"/>
      <c r="E250" s="56"/>
      <c r="F250" s="64">
        <v>0</v>
      </c>
      <c r="G250" s="64">
        <v>3</v>
      </c>
      <c r="H250" s="63">
        <f t="shared" si="18"/>
        <v>3</v>
      </c>
      <c r="I250" s="63">
        <f>IF(D250&lt;&gt;"",D250,IFERROR(E250/(IFERROR(SUM(Sales!C:C),0))*(IFERROR(SUM(Purchases!C:C),0)),0))</f>
        <v>0</v>
      </c>
      <c r="J250" s="63">
        <f t="shared" si="19"/>
        <v>0</v>
      </c>
      <c r="K250" s="63">
        <f t="shared" si="20"/>
        <v>0</v>
      </c>
      <c r="L250" s="55"/>
      <c r="M250" s="55"/>
      <c r="P250" s="86"/>
      <c r="S250" s="47"/>
      <c r="T250" s="47"/>
    </row>
    <row r="251" spans="1:20" ht="16">
      <c r="A251" s="52"/>
      <c r="B251" s="52"/>
      <c r="C251" s="52"/>
      <c r="D251" s="53"/>
      <c r="E251" s="53"/>
      <c r="F251" s="66">
        <v>0</v>
      </c>
      <c r="G251" s="66">
        <v>3</v>
      </c>
      <c r="H251" s="65">
        <f t="shared" si="18"/>
        <v>3</v>
      </c>
      <c r="I251" s="65">
        <f>IF(D251&lt;&gt;"",D251,IFERROR(E251/(IFERROR(SUM(Sales!C:C),0))*(IFERROR(SUM(Purchases!C:C),0)),0))</f>
        <v>0</v>
      </c>
      <c r="J251" s="65">
        <f t="shared" si="19"/>
        <v>0</v>
      </c>
      <c r="K251" s="65">
        <f t="shared" si="20"/>
        <v>0</v>
      </c>
      <c r="L251" s="52"/>
      <c r="M251" s="52"/>
      <c r="P251" s="86"/>
      <c r="S251" s="47"/>
      <c r="T251" s="47"/>
    </row>
    <row r="252" spans="1:20" ht="16">
      <c r="A252" s="55"/>
      <c r="B252" s="55"/>
      <c r="C252" s="55"/>
      <c r="D252" s="56"/>
      <c r="E252" s="56"/>
      <c r="F252" s="64">
        <v>0</v>
      </c>
      <c r="G252" s="64">
        <v>3</v>
      </c>
      <c r="H252" s="63">
        <f t="shared" si="18"/>
        <v>3</v>
      </c>
      <c r="I252" s="63">
        <f>IF(D252&lt;&gt;"",D252,IFERROR(E252/(IFERROR(SUM(Sales!C:C),0))*(IFERROR(SUM(Purchases!C:C),0)),0))</f>
        <v>0</v>
      </c>
      <c r="J252" s="63">
        <f t="shared" si="19"/>
        <v>0</v>
      </c>
      <c r="K252" s="63">
        <f t="shared" si="20"/>
        <v>0</v>
      </c>
      <c r="L252" s="55"/>
      <c r="M252" s="55"/>
      <c r="P252" s="86"/>
      <c r="S252" s="47"/>
      <c r="T252" s="47"/>
    </row>
    <row r="253" spans="1:20" ht="16">
      <c r="A253" s="52"/>
      <c r="B253" s="52"/>
      <c r="C253" s="52"/>
      <c r="D253" s="53"/>
      <c r="E253" s="53"/>
      <c r="F253" s="66">
        <v>0</v>
      </c>
      <c r="G253" s="66">
        <v>3</v>
      </c>
      <c r="H253" s="65">
        <f t="shared" si="18"/>
        <v>3</v>
      </c>
      <c r="I253" s="65">
        <f>IF(D253&lt;&gt;"",D253,IFERROR(E253/(IFERROR(SUM(Sales!C:C),0))*(IFERROR(SUM(Purchases!C:C),0)),0))</f>
        <v>0</v>
      </c>
      <c r="J253" s="65">
        <f t="shared" si="19"/>
        <v>0</v>
      </c>
      <c r="K253" s="65">
        <f t="shared" si="20"/>
        <v>0</v>
      </c>
      <c r="L253" s="52"/>
      <c r="M253" s="52"/>
      <c r="P253" s="86"/>
      <c r="S253" s="47"/>
      <c r="T253" s="47"/>
    </row>
    <row r="254" spans="1:20" ht="16">
      <c r="A254" s="55"/>
      <c r="B254" s="55"/>
      <c r="C254" s="55"/>
      <c r="D254" s="56"/>
      <c r="E254" s="56"/>
      <c r="F254" s="64">
        <v>0</v>
      </c>
      <c r="G254" s="64">
        <v>3</v>
      </c>
      <c r="H254" s="63">
        <f t="shared" si="18"/>
        <v>3</v>
      </c>
      <c r="I254" s="63">
        <f>IF(D254&lt;&gt;"",D254,IFERROR(E254/(IFERROR(SUM(Sales!C:C),0))*(IFERROR(SUM(Purchases!C:C),0)),0))</f>
        <v>0</v>
      </c>
      <c r="J254" s="63">
        <f t="shared" si="19"/>
        <v>0</v>
      </c>
      <c r="K254" s="63">
        <f t="shared" si="20"/>
        <v>0</v>
      </c>
      <c r="L254" s="55"/>
      <c r="M254" s="55"/>
      <c r="P254" s="86"/>
      <c r="S254" s="47"/>
      <c r="T254" s="47"/>
    </row>
    <row r="255" spans="1:20" ht="16">
      <c r="A255" s="52"/>
      <c r="B255" s="52"/>
      <c r="C255" s="52"/>
      <c r="D255" s="53"/>
      <c r="E255" s="53"/>
      <c r="F255" s="66">
        <v>0</v>
      </c>
      <c r="G255" s="66">
        <v>3</v>
      </c>
      <c r="H255" s="65">
        <f t="shared" si="18"/>
        <v>3</v>
      </c>
      <c r="I255" s="65">
        <f>IF(D255&lt;&gt;"",D255,IFERROR(E255/(IFERROR(SUM(Sales!C:C),0))*(IFERROR(SUM(Purchases!C:C),0)),0))</f>
        <v>0</v>
      </c>
      <c r="J255" s="65">
        <f t="shared" si="19"/>
        <v>0</v>
      </c>
      <c r="K255" s="65">
        <f t="shared" si="20"/>
        <v>0</v>
      </c>
      <c r="L255" s="52"/>
      <c r="M255" s="52"/>
      <c r="P255" s="86"/>
      <c r="S255" s="47"/>
      <c r="T255" s="47"/>
    </row>
    <row r="256" spans="1:20" ht="16">
      <c r="A256" s="55"/>
      <c r="B256" s="55"/>
      <c r="C256" s="55"/>
      <c r="D256" s="56"/>
      <c r="E256" s="56"/>
      <c r="F256" s="64">
        <v>0</v>
      </c>
      <c r="G256" s="64">
        <v>3</v>
      </c>
      <c r="H256" s="63">
        <f t="shared" si="18"/>
        <v>3</v>
      </c>
      <c r="I256" s="63">
        <f>IF(D256&lt;&gt;"",D256,IFERROR(E256/(IFERROR(SUM(Sales!C:C),0))*(IFERROR(SUM(Purchases!C:C),0)),0))</f>
        <v>0</v>
      </c>
      <c r="J256" s="63">
        <f t="shared" si="19"/>
        <v>0</v>
      </c>
      <c r="K256" s="63">
        <f t="shared" si="20"/>
        <v>0</v>
      </c>
      <c r="L256" s="55"/>
      <c r="M256" s="55"/>
      <c r="P256" s="86"/>
      <c r="S256" s="47"/>
      <c r="T256" s="47"/>
    </row>
    <row r="257" spans="1:20" ht="16">
      <c r="A257" s="52"/>
      <c r="B257" s="52"/>
      <c r="C257" s="52"/>
      <c r="D257" s="53"/>
      <c r="E257" s="53"/>
      <c r="F257" s="66">
        <v>0</v>
      </c>
      <c r="G257" s="66">
        <v>3</v>
      </c>
      <c r="H257" s="65">
        <f t="shared" si="18"/>
        <v>3</v>
      </c>
      <c r="I257" s="65">
        <f>IF(D257&lt;&gt;"",D257,IFERROR(E257/(IFERROR(SUM(Sales!C:C),0))*(IFERROR(SUM(Purchases!C:C),0)),0))</f>
        <v>0</v>
      </c>
      <c r="J257" s="65">
        <f t="shared" si="19"/>
        <v>0</v>
      </c>
      <c r="K257" s="65">
        <f t="shared" si="20"/>
        <v>0</v>
      </c>
      <c r="L257" s="52"/>
      <c r="M257" s="52"/>
      <c r="P257" s="86"/>
      <c r="S257" s="47"/>
      <c r="T257" s="47"/>
    </row>
    <row r="258" spans="1:20" ht="16">
      <c r="A258" s="55"/>
      <c r="B258" s="55"/>
      <c r="C258" s="55"/>
      <c r="D258" s="56"/>
      <c r="E258" s="56"/>
      <c r="F258" s="64">
        <v>0</v>
      </c>
      <c r="G258" s="64">
        <v>3</v>
      </c>
      <c r="H258" s="63">
        <f t="shared" si="18"/>
        <v>3</v>
      </c>
      <c r="I258" s="63">
        <f>IF(D258&lt;&gt;"",D258,IFERROR(E258/(IFERROR(SUM(Sales!C:C),0))*(IFERROR(SUM(Purchases!C:C),0)),0))</f>
        <v>0</v>
      </c>
      <c r="J258" s="63">
        <f t="shared" si="19"/>
        <v>0</v>
      </c>
      <c r="K258" s="63">
        <f t="shared" si="20"/>
        <v>0</v>
      </c>
      <c r="L258" s="55"/>
      <c r="M258" s="55"/>
      <c r="P258" s="86"/>
      <c r="S258" s="47"/>
      <c r="T258" s="47"/>
    </row>
    <row r="259" spans="1:20" ht="16">
      <c r="A259" s="52"/>
      <c r="B259" s="52"/>
      <c r="C259" s="52"/>
      <c r="D259" s="53"/>
      <c r="E259" s="53"/>
      <c r="F259" s="66">
        <v>0</v>
      </c>
      <c r="G259" s="66">
        <v>3</v>
      </c>
      <c r="H259" s="65">
        <f t="shared" si="18"/>
        <v>3</v>
      </c>
      <c r="I259" s="65">
        <f>IF(D259&lt;&gt;"",D259,IFERROR(E259/(IFERROR(SUM(Sales!C:C),0))*(IFERROR(SUM(Purchases!C:C),0)),0))</f>
        <v>0</v>
      </c>
      <c r="J259" s="65">
        <f t="shared" si="19"/>
        <v>0</v>
      </c>
      <c r="K259" s="65">
        <f t="shared" si="20"/>
        <v>0</v>
      </c>
      <c r="L259" s="52"/>
      <c r="M259" s="52"/>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1045</v>
      </c>
      <c r="B1" s="88"/>
    </row>
    <row r="2" spans="1:8" ht="13.5" customHeight="1">
      <c r="A2" s="8" t="s">
        <v>42</v>
      </c>
      <c r="B2" s="8" t="s">
        <v>1046</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1047</v>
      </c>
      <c r="C7" s="71" t="s">
        <v>1048</v>
      </c>
      <c r="D7" s="71" t="s">
        <v>1049</v>
      </c>
      <c r="E7" s="71" t="s">
        <v>1050</v>
      </c>
      <c r="F7" s="71" t="s">
        <v>1051</v>
      </c>
      <c r="G7" s="71" t="s">
        <v>1052</v>
      </c>
      <c r="H7" s="71" t="s">
        <v>1053</v>
      </c>
    </row>
    <row r="8" spans="1:8" ht="13.5" customHeight="1">
      <c r="A8" s="9" t="s">
        <v>49</v>
      </c>
      <c r="B8" s="9">
        <f>IFERROR(SUMIF(Purchases!$B:$B,$A8,Purchases!$C:$C),0)</f>
        <v>262891</v>
      </c>
      <c r="C8" s="9">
        <f>SUM($B$8:$B$10)/3</f>
        <v>188936</v>
      </c>
      <c r="D8" s="9">
        <f>B8-C8</f>
        <v>73955</v>
      </c>
      <c r="E8" s="9">
        <f>IF(Summary!$B$6&gt;0, Summary!$B$6*VLOOKUP($A8,$A$3:$B$5,2,FALSE()),0)</f>
        <v>0</v>
      </c>
      <c r="F8" s="9">
        <f>D8+E8</f>
        <v>73955</v>
      </c>
      <c r="G8" s="9">
        <f>IFERROR(SUMIFS($E$13:$E$499,$D$13:$D$499,$A8,$B$13:$B$499,"Contribution"),0)+IFERROR(SUMIFS($E$13:$E$499,$D$13:$D$499,$A8,$B$13:$B$499,"Profit"),0)-IFERROR(SUMIFS($E$13:$E$499,$C$13:$C$499,$A8,$B$13:$B$499,"Contribution"),0)-IFERROR(SUMIFS($E$13:$E$499,$C$13:$C$499,$A8,$B$13:$B$499,"Profit"),0)</f>
        <v>18303.34</v>
      </c>
      <c r="H8" s="73">
        <f>F8-G8</f>
        <v>55651.66</v>
      </c>
    </row>
    <row r="9" spans="1:8" ht="13.5" customHeight="1">
      <c r="A9" s="11" t="s">
        <v>50</v>
      </c>
      <c r="B9" s="11">
        <f>IFERROR(SUMIF(Purchases!$B:$B,$A9,Purchases!$C:$C),0)</f>
        <v>271317</v>
      </c>
      <c r="C9" s="11">
        <f>SUM($B$8:$B$10)/3</f>
        <v>188936</v>
      </c>
      <c r="D9" s="11">
        <f>B9-C9</f>
        <v>82381</v>
      </c>
      <c r="E9" s="11">
        <f>IF(Summary!$B$6&gt;0, Summary!$B$6*VLOOKUP($A9,$A$3:$B$5,2,FALSE()),0)</f>
        <v>0</v>
      </c>
      <c r="F9" s="11">
        <f>D9+E9</f>
        <v>82381</v>
      </c>
      <c r="G9" s="11">
        <f>IFERROR(SUMIFS($E$13:$E$499,$D$13:$D$499,$A9,$B$13:$B$499,"Contribution"),0)+IFERROR(SUMIFS($E$13:$E$499,$D$13:$D$499,$A9,$B$13:$B$499,"Profit"),0)-IFERROR(SUMIFS($E$13:$E$499,$C$13:$C$499,$A9,$B$13:$B$499,"Contribution"),0)-IFERROR(SUMIFS($E$13:$E$499,$C$13:$C$499,$A9,$B$13:$B$499,"Profit"),0)</f>
        <v>41639.33</v>
      </c>
      <c r="H9" s="74">
        <f>F9-G9</f>
        <v>40741.67</v>
      </c>
    </row>
    <row r="10" spans="1:8" ht="13.5" customHeight="1">
      <c r="A10" s="9" t="s">
        <v>51</v>
      </c>
      <c r="B10" s="9">
        <f>IFERROR(SUMIF(Purchases!$B:$B,$A10,Purchases!$C:$C),0)</f>
        <v>32600</v>
      </c>
      <c r="C10" s="9">
        <f>SUM($B$8:$B$10)/3</f>
        <v>188936</v>
      </c>
      <c r="D10" s="9">
        <f>B10-C10</f>
        <v>-156336</v>
      </c>
      <c r="E10" s="9">
        <f>IF(Summary!$B$6&gt;0, Summary!$B$6*VLOOKUP($A10,$A$3:$B$5,2,FALSE()),0)</f>
        <v>0</v>
      </c>
      <c r="F10" s="9">
        <f>D10+E10</f>
        <v>-156336</v>
      </c>
      <c r="G10" s="9">
        <f>IFERROR(SUMIFS($E$13:$E$499,$D$13:$D$499,$A10,$B$13:$B$499,"Contribution"),0)+IFERROR(SUMIFS($E$13:$E$499,$D$13:$D$499,$A10,$B$13:$B$499,"Profit"),0)-IFERROR(SUMIFS($E$13:$E$499,$C$13:$C$499,$A10,$B$13:$B$499,"Contribution"),0)-IFERROR(SUMIFS($E$13:$E$499,$C$13:$C$499,$A10,$B$13:$B$499,"Profit"),0)</f>
        <v>-59942.67</v>
      </c>
      <c r="H10" s="73">
        <f>F10-G10</f>
        <v>-96393.33</v>
      </c>
    </row>
    <row r="12" spans="1:8" s="75" customFormat="1" ht="15.75" customHeight="1">
      <c r="A12" s="89" t="s">
        <v>1054</v>
      </c>
      <c r="B12" s="89"/>
      <c r="C12" s="89"/>
      <c r="D12" s="89"/>
      <c r="E12" s="89"/>
      <c r="F12" s="89"/>
    </row>
    <row r="13" spans="1:8" s="72" customFormat="1" ht="13.5" customHeight="1">
      <c r="A13" s="71" t="s">
        <v>98</v>
      </c>
      <c r="B13" s="71" t="s">
        <v>1055</v>
      </c>
      <c r="C13" s="71" t="s">
        <v>1056</v>
      </c>
      <c r="D13" s="71" t="s">
        <v>1057</v>
      </c>
      <c r="E13" s="71" t="s">
        <v>99</v>
      </c>
      <c r="F13" s="71" t="s">
        <v>100</v>
      </c>
    </row>
    <row r="14" spans="1:8" ht="13.5" customHeight="1">
      <c r="A14" s="76">
        <v>45952</v>
      </c>
      <c r="B14" s="9" t="s">
        <v>1058</v>
      </c>
      <c r="C14" s="9" t="s">
        <v>51</v>
      </c>
      <c r="D14" s="9" t="s">
        <v>49</v>
      </c>
      <c r="E14" s="69">
        <v>16032</v>
      </c>
      <c r="F14" s="9"/>
    </row>
    <row r="15" spans="1:8" ht="13.5" customHeight="1">
      <c r="A15" s="77">
        <v>45952</v>
      </c>
      <c r="B15" s="11" t="s">
        <v>1058</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1058</v>
      </c>
      <c r="C18" s="9" t="s">
        <v>50</v>
      </c>
      <c r="D18" s="9" t="s">
        <v>51</v>
      </c>
      <c r="E18" s="69">
        <v>3209.34</v>
      </c>
      <c r="F18" s="9"/>
    </row>
    <row r="19" spans="1:6" ht="13.5" customHeight="1">
      <c r="A19" s="77">
        <v>45970</v>
      </c>
      <c r="B19" s="11" t="s">
        <v>1058</v>
      </c>
      <c r="C19" s="11" t="s">
        <v>50</v>
      </c>
      <c r="D19" s="11" t="s">
        <v>49</v>
      </c>
      <c r="E19" s="70">
        <v>411</v>
      </c>
      <c r="F19" s="11"/>
    </row>
    <row r="20" spans="1:6" ht="13.5" customHeight="1">
      <c r="A20" s="76">
        <v>45973</v>
      </c>
      <c r="B20" s="9" t="s">
        <v>1058</v>
      </c>
      <c r="C20" s="9" t="s">
        <v>50</v>
      </c>
      <c r="D20" s="9" t="s">
        <v>51</v>
      </c>
      <c r="E20" s="69">
        <v>905</v>
      </c>
      <c r="F20" s="9"/>
    </row>
    <row r="21" spans="1:6" ht="13.5" customHeight="1">
      <c r="A21" s="77">
        <v>45973</v>
      </c>
      <c r="B21" s="11" t="s">
        <v>1058</v>
      </c>
      <c r="C21" s="11" t="s">
        <v>49</v>
      </c>
      <c r="D21" s="11" t="s">
        <v>51</v>
      </c>
      <c r="E21" s="70">
        <v>904</v>
      </c>
      <c r="F21" s="11"/>
    </row>
    <row r="22" spans="1:6" ht="13.5" customHeight="1">
      <c r="A22" s="76">
        <v>46058</v>
      </c>
      <c r="B22" s="9" t="s">
        <v>1058</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1058</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1058</v>
      </c>
      <c r="C26" s="9" t="s">
        <v>50</v>
      </c>
      <c r="D26" s="9" t="s">
        <v>49</v>
      </c>
      <c r="E26" s="69">
        <v>4933.33</v>
      </c>
      <c r="F26" s="9"/>
    </row>
    <row r="27" spans="1:6" ht="13.5" customHeight="1">
      <c r="A27" s="77">
        <v>46093</v>
      </c>
      <c r="B27" s="11" t="s">
        <v>1058</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1059</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1060</v>
      </c>
    </row>
    <row r="3" spans="1:7" s="72" customFormat="1" ht="13.5" customHeight="1">
      <c r="A3" s="71" t="s">
        <v>42</v>
      </c>
      <c r="B3" s="71" t="s">
        <v>1061</v>
      </c>
      <c r="C3" s="71" t="s">
        <v>1046</v>
      </c>
      <c r="D3" s="71" t="s">
        <v>1062</v>
      </c>
      <c r="E3" s="71" t="s">
        <v>1063</v>
      </c>
      <c r="F3" s="71" t="s">
        <v>1064</v>
      </c>
      <c r="G3" s="71" t="s">
        <v>1065</v>
      </c>
    </row>
    <row r="4" spans="1:7" ht="13.5" customHeight="1">
      <c r="A4" s="9" t="s">
        <v>49</v>
      </c>
      <c r="B4" s="9">
        <f>IFERROR(SUMIFS(Sales!$C:$C,Sales!$E:$E,$A4,Sales!$I:$I,"Completed"),0)</f>
        <v>469208</v>
      </c>
      <c r="C4" s="9">
        <f>VLOOKUP($A4,PartnerShares!$A$3:$B$5,2,FALSE())</f>
        <v>0.33339999999999997</v>
      </c>
      <c r="D4" s="9">
        <f>Summary!$B$4*C4</f>
        <v>179156.4908</v>
      </c>
      <c r="E4" s="9">
        <f>B4-D4</f>
        <v>290051.50919999997</v>
      </c>
      <c r="F4" s="9">
        <f>IFERROR(SUMIFS(PartnerShares!$E$13:$E$499,PartnerShares!$D$13:$D$499,$A4,PartnerShares!$B$13:$B$499,"Cash"),0)-IFERROR(SUMIFS(PartnerShares!$E$13:$E$499,PartnerShares!$C$13:$C$499,$A4,PartnerShares!$B$13:$B$499,"Cash"),0)</f>
        <v>-137310.02600000001</v>
      </c>
      <c r="G4" s="73">
        <f>E4+F4</f>
        <v>152741.48319999996</v>
      </c>
    </row>
    <row r="5" spans="1:7" ht="13.5" customHeight="1">
      <c r="A5" s="11" t="s">
        <v>50</v>
      </c>
      <c r="B5" s="11">
        <f>IFERROR(SUMIFS(Sales!$C:$C,Sales!$E:$E,$A5,Sales!$I:$I,"Completed"),0)</f>
        <v>54624</v>
      </c>
      <c r="C5" s="11">
        <f>VLOOKUP($A5,PartnerShares!$A$3:$B$5,2,FALSE())</f>
        <v>0.3332</v>
      </c>
      <c r="D5" s="11">
        <f>Summary!$B$4*C5</f>
        <v>179049.0184</v>
      </c>
      <c r="E5" s="11">
        <f>B5-D5</f>
        <v>-124425.0184</v>
      </c>
      <c r="F5" s="11">
        <f>IFERROR(SUMIFS(PartnerShares!$E$13:$E$499,PartnerShares!$D$13:$D$499,$A5,PartnerShares!$B$13:$B$499,"Cash"),0)-IFERROR(SUMIFS(PartnerShares!$E$13:$E$499,PartnerShares!$C$13:$C$499,$A5,PartnerShares!$B$13:$B$499,"Cash"),0)</f>
        <v>71587.042000000001</v>
      </c>
      <c r="G5" s="74">
        <f>E5+F5</f>
        <v>-52837.9764</v>
      </c>
    </row>
    <row r="6" spans="1:7" ht="13.5" customHeight="1">
      <c r="A6" s="9" t="s">
        <v>51</v>
      </c>
      <c r="B6" s="9">
        <f>IFERROR(SUMIFS(Sales!$C:$C,Sales!$E:$E,$A6,Sales!$I:$I,"Completed"),0)</f>
        <v>12530</v>
      </c>
      <c r="C6" s="9">
        <f>VLOOKUP($A6,PartnerShares!$A$3:$B$5,2,FALSE())</f>
        <v>0.33339999999999997</v>
      </c>
      <c r="D6" s="9">
        <f>Summary!$B$4*C6</f>
        <v>179156.4908</v>
      </c>
      <c r="E6" s="9">
        <f>B6-D6</f>
        <v>-166626.4908</v>
      </c>
      <c r="F6" s="9">
        <f>IFERROR(SUMIFS(PartnerShares!$E$13:$E$499,PartnerShares!$D$13:$D$499,$A6,PartnerShares!$B$13:$B$499,"Cash"),0)-IFERROR(SUMIFS(PartnerShares!$E$13:$E$499,PartnerShares!$C$13:$C$499,$A6,PartnerShares!$B$13:$B$499,"Cash"),0)</f>
        <v>65722.984000000011</v>
      </c>
      <c r="G6" s="73">
        <f>E6+F6</f>
        <v>-100903.50679999999</v>
      </c>
    </row>
    <row r="9" spans="1:7" ht="13.5" customHeight="1">
      <c r="A9" s="6" t="s">
        <v>0</v>
      </c>
    </row>
    <row r="10" spans="1:7" ht="13.5" customHeight="1">
      <c r="A10" s="6" t="s">
        <v>1066</v>
      </c>
    </row>
    <row r="11" spans="1:7" ht="13.5" customHeight="1">
      <c r="A11" s="6" t="s">
        <v>1067</v>
      </c>
    </row>
    <row r="12" spans="1:7" ht="13.5" customHeight="1">
      <c r="A12" s="6" t="s">
        <v>1068</v>
      </c>
    </row>
    <row r="13" spans="1:7" ht="13.5" customHeight="1">
      <c r="A13" s="6" t="s">
        <v>1069</v>
      </c>
    </row>
    <row r="14" spans="1:7" ht="13.5" customHeight="1">
      <c r="A14" s="6" t="s">
        <v>1070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2026-08-20T02:43:43Z</dcterms:modified>
  <dc:language>en-US</dc:language>
</cp:coreProperties>
</file>