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1880A21F-87A7-CA4C-87A0-12B7B6F7184F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6" i="6" l="1"/>
  <c r="I176" i="6"/>
  <c r="J176" i="6" s="1"/>
  <c r="H177" i="6"/>
  <c r="I177" i="6"/>
  <c r="J177" i="6" s="1"/>
  <c r="H178" i="6"/>
  <c r="I178" i="6"/>
  <c r="J178" i="6" s="1"/>
  <c r="H179" i="6"/>
  <c r="I179" i="6"/>
  <c r="J179" i="6" s="1"/>
  <c r="H180" i="6"/>
  <c r="I180" i="6"/>
  <c r="J180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6" i="6" l="1"/>
  <c r="K180" i="6"/>
  <c r="K178" i="6"/>
  <c r="K179" i="6"/>
  <c r="K177" i="6"/>
  <c r="K172" i="6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<sst xmlns="http://schemas.openxmlformats.org/spreadsheetml/2006/main" count="2260" uniqueCount="908">
  <si>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</si>
  <si>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</si>
  <si>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</si>
  <si>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</si>
  <si>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</si>
  <si>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</si>
  <si>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</si>
  <si>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</si>
  <si>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</si>
  <si>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</si>
  <si>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</si>
  <si>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</si>
  <si>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</si>
  <si>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</si>
  <si>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</si>
  <si>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</si>
  <si>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</si>
  <si>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</si>
  <si>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</si>
  <si>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</si>
  <si>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</si>
  <si>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</si>
  <si>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</si>
  <si>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</si>
  <si>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</si>
  <si>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</si>
  <si>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</si>
  <si>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</si>
  <si>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</si>
  <si>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</si>
  <si>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</si>
  <si>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</si>
  <si>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</si>
  <si>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</si>
  <si>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</si>
  <si>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</si>
  <si>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</si>
  <si>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</si>
  <si>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</si>
  <si>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</si>
  <si>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</si>
  <si>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</si>
  <si>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</si>
  <si>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</si>
  <si>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</si>
  <si>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</si>
  <si>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</si>
  <si>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</si>
  <si>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</si>
  <si>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</si>
  <si>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</si>
  <si>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</si>
  <si>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</si>
  <si>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</si>
  <si>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</si>
  <si>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</si>
  <si>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</si>
  <si>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</si>
  <si>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</si>
  <si>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</si>
  <si>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</si>
  <si>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</si>
  <si>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</si>
  <si>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</si>
  <si>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</si>
  <si>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</si>
  <si>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</si>
  <si>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</si>
  <si>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</si>
  <si>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</si>
  <si>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</si>
  <si>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</si>
  <si>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</si>
  <si>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</si>
  <si>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</si>
  <si>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</si>
  <si>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</si>
  <si>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</si>
  <si>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</si>
  <si>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</si>
  <si>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</si>
  <si>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</si>
  <si>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</si>
  <si>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</si>
  <si>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</si>
  <si>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</si>
  <si>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</si>
  <si>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</si>
  <si>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</si>
  <si>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</si>
  <si>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</si>
  <si>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</si>
  <si>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</si>
  <si>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</si>
  <si>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</si>
  <si>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</si>
  <si>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</si>
  <si>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</si>
  <si>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</si>
  <si>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</si>
  <si>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</si>
  <si>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</si>
  <si>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</si>
  <si>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</si>
  <si>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</si>
  <si>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</si>
  <si>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</si>
  <si>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</si>
  <si>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</si>
  <si>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</si>
  <si>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</si>
  <si>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</si>
  <si>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</si>
  <si>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</si>
  <si>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</si>
  <si>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</si>
  <si>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</si>
  <si>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</si>
  <si>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</si>
  <si>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</si>
  <si>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</si>
  <si>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</si>
  <si>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</si>
  <si>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</si>
  <si>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</si>
  <si>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</si>
  <si>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</si>
  <si>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</si>
  <si>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</si>
  <si>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</si>
  <si>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</si>
  <si>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</si>
  <si>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</si>
  <si>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</si>
  <si>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</si>
  <si>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</si>
  <si>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</si>
  <si>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</si>
  <si>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</si>
  <si>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</si>
  <si>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</si>
  <si>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</si>
  <si>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</si>
  <si>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</si>
  <si>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</si>
  <si>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</si>
  <si>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</si>
  <si>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</si>
  <si>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</si>
  <si>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</si>
  <si>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</si>
  <si>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</si>
  <si>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</si>
  <si>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</si>
  <si>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</si>
  <si>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</si>
  <si>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</si>
  <si>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</si>
  <si>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</si>
  <si>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</si>
  <si>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</si>
  <si>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</si>
  <si>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</si>
  <si>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</si>
  <si>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</si>
  <si>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</si>
  <si>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</si>
  <si>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</si>
  <si>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</si>
  <si>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</si>
  <si>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</si>
  <si>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</si>
  <si>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</si>
  <si>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</si>
  <si>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</si>
  <si>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</si>
  <si>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</si>
  <si>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</si>
  <si>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</si>
  <si>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</si>
  <si>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</si>
  <si>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</si>
  <si>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</si>
  <si>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</si>
  <si>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</si>
  <si>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</si>
  <si>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</si>
  <si>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</si>
  <si>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</si>
  <si>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</si>
  <si>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</si>
  <si>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</si>
  <si>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</si>
  <si>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</si>
  <si>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</si>
  <si>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</si>
  <si>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</si>
  <si>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</si>
  <si>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</si>
  <si>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</si>
  <si>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</si>
  <si>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</si>
  <si>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</si>
  <si>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</si>
  <si>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</si>
  <si>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</si>
  <si>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</si>
  <si>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</si>
  <si>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</si>
  <si>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</si>
  <si>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</si>
  <si>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</si>
  <si>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</si>
  <si>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</si>
  <si>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</si>
  <si>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</si>
  <si>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</si>
  <si>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</si>
  <si>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</si>
  <si>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</si>
  <si>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</si>
  <si>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</si>
  <si>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</si>
  <si>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</si>
  <si>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</si>
  <si>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</si>
  <si>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</si>
  <si>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</si>
  <si>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</si>
  <si>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</si>
  <si>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</si>
  <si>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</si>
  <si>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</si>
  <si>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</si>
  <si>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</si>
  <si>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</si>
  <si>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</si>
  <si>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</si>
  <si>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</si>
  <si>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</si>
  <si>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</si>
  <si>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</si>
  <si>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</si>
  <si>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</si>
  <si>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</si>
  <si>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</si>
  <si>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</si>
  <si>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</si>
  <si>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</si>
  <si>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</si>
  <si>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</si>
  <si>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</si>
  <si>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</si>
  <si>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</si>
  <si>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</si>
  <si>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</si>
  <si>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</si>
  <si>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</si>
  <si>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</si>
  <si>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</si>
  <si>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</si>
  <si>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</si>
  <si>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</si>
  <si>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</si>
  <si>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</si>
  <si>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</si>
  <si>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</si>
  <si>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</si>
  <si>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</si>
  <si>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</si>
  <si>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</si>
  <si>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</si>
  <si>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</si>
  <si>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</si>
  <si>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</si>
  <si>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</si>
  <si>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</si>
  <si>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</si>
  <si>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</si>
  <si>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</si>
  <si>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</si>
  <si>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</si>
  <si>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</si>
  <si>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</si>
  <si>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</si>
  <si>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</si>
  <si>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</si>
  <si>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</si>
  <si>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</si>
  <si>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</si>
  <si>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</si>
  <si>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</si>
  <si>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</si>
  <si>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</si>
  <si>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</si>
  <si>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</si>
  <si>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</si>
  <si>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</si>
  <si>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</si>
  <si>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</si>
  <si>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</si>
  <si>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</si>
  <si>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</si>
  <si>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</si>
  <si>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</si>
  <si>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</si>
  <si>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</si>
  <si>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</si>
  <si>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</si>
  <si>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</si>
  <si>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</si>
  <si>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</si>
  <si>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</si>
  <si>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</si>
  <si>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</si>
  <si>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</si>
  <si>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</si>
  <si>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</si>
  <si>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</si>
  <si>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</si>
  <si>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</si>
  <si>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</si>
  <si>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</si>
  <si>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</si>
  <si>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</si>
  <si>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</si>
  <si>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</si>
  <si>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</si>
  <si>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</si>
  <si>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</si>
  <si>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</si>
  <si>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</si>
  <si>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</si>
  <si>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</si>
  <si>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</si>
  <si>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</si>
  <si>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</si>
  <si>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</si>
  <si>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</si>
  <si>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</si>
  <si>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</si>
  <si>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</si>
  <si>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</si>
  <si>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</si>
  <si>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</si>
  <si>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</si>
  <si>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</si>
  <si>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</si>
  <si>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</si>
  <si>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</si>
  <si>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</si>
  <si>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</si>
  <si>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</si>
  <si>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</si>
  <si>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</si>
  <si>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</si>
  <si>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</si>
  <si>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</si>
  <si>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</si>
  <si>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</si>
  <si>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</si>
  <si>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</si>
  <si>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</si>
  <si>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</si>
  <si>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</si>
  <si>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</si>
  <si>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</si>
  <si>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</si>
  <si>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</si>
  <si>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</si>
  <si>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</si>
  <si>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</si>
  <si>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</si>
  <si>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</si>
  <si>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</si>
  <si>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</si>
  <si>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</si>
  <si>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</si>
  <si>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</si>
  <si>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</si>
  <si>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</si>
  <si>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</si>
  <si>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</si>
  <si>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</si>
  <si>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</si>
  <si>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</si>
  <si>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</si>
  <si>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</si>
  <si>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</si>
  <si>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</si>
  <si>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</si>
  <si>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</si>
  <si>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</si>
  <si>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</si>
  <si>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</si>
  <si>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</si>
  <si>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</si>
  <si>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</si>
  <si>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</si>
  <si>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</si>
  <si>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</si>
  <si>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</si>
  <si>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</si>
  <si>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</si>
  <si>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</si>
  <si>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</si>
  <si>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</si>
  <si>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</si>
  <si>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</si>
  <si>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</si>
  <si>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</si>
  <si>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</si>
  <si>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</si>
  <si>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</si>
  <si>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</si>
  <si>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</si>
  <si>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</si>
  <si>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</si>
  <si>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</si>
  <si>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</si>
  <si>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</si>
  <si>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</si>
  <si>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</si>
  <si>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</si>
  <si>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</si>
  <si>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</si>
  <si>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</si>
  <si>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</si>
  <si>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</si>
  <si>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</si>
  <si>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</si>
  <si>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</si>
  <si>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</si>
  <si>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</si>
  <si>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</si>
  <si>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</si>
  <si>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</si>
  <si>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</si>
  <si>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</si>
  <si>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</si>
  <si>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</si>
  <si>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</si>
  <si>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</si>
  <si>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</si>
  <si>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</si>
  <si>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</si>
  <si>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</si>
  <si>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</si>
  <si>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</si>
  <si>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</si>
  <si>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</si>
  <si>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</si>
  <si>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</si>
  <si>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</si>
  <si>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</si>
  <si>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</si>
  <si>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</si>
  <si>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</si>
  <si>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</si>
  <si>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</si>
  <si>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</si>
  <si>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</si>
  <si>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</si>
  <si>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</si>
  <si>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</si>
  <si>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</si>
  <si>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</si>
  <si>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</si>
  <si>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</si>
  <si>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</si>
  <si>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</si>
  <si>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</si>
  <si>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</si>
  <si>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</si>
  <si>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</si>
  <si>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</si>
  <si>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</si>
  <si>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</si>
  <si>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</si>
  <si>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</si>
  <si>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</si>
  <si>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</si>
  <si>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</si>
  <si>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</si>
  <si>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</si>
  <si>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</si>
  <si>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</si>
  <si>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</si>
  <si>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</si>
  <si>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</si>
  <si>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</si>
  <si>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</si>
  <si>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</si>
  <si>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</si>
  <si>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</si>
  <si>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</si>
  <si>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</si>
  <si>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</si>
  <si>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</si>
  <si>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</si>
  <si>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</si>
  <si>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</si>
  <si>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</si>
  <si>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</si>
  <si>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</si>
  <si>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</si>
  <si>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</si>
  <si>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</si>
  <si>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</si>
  <si>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</si>
  <si>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</si>
  <si>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</si>
  <si>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</si>
  <si>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</si>
  <si>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</si>
  <si>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</si>
  <si>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</si>
  <si>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</si>
  <si>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</si>
  <si>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</si>
  <si>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</si>
  <si>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</si>
  <si>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</si>
  <si>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</si>
  <si>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</si>
  <si>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</si>
  <si>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</si>
  <si>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</si>
  <si>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</si>
  <si>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</si>
  <si>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</si>
  <si>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</si>
  <si>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</si>
  <si>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</si>
  <si>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</si>
  <si>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</si>
  <si>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</si>
  <si>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</si>
  <si>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</si>
  <si>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</si>
  <si>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</si>
  <si>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</si>
  <si>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</si>
  <si>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</si>
  <si>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</si>
  <si>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</si>
  <si>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</si>
  <si>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</si>
  <si>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</si>
  <si>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</si>
  <si>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</si>
  <si>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</si>
  <si>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</si>
  <si>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</si>
  <si>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</si>
  <si>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</si>
  <si>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</si>
  <si>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</si>
  <si>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</si>
  <si>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</si>
  <si>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</si>
  <si>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</si>
  <si>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</si>
  <si>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</si>
  <si>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</si>
  <si>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</si>
  <si>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</si>
  <si>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</si>
  <si>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</si>
  <si>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</si>
  <si>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</si>
  <si>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</si>
  <si>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</si>
  <si>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</si>
  <si>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</si>
  <si>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</si>
  <si>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</si>
  <si>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</si>
  <si>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</si>
  <si>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</si>
  <si>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</si>
  <si>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</si>
  <si>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</si>
  <si>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</si>
  <si>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</si>
  <si>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</si>
  <si>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</si>
  <si>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</si>
  <si>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</si>
  <si>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</si>
  <si>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</si>
  <si>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</si>
  <si>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</si>
  <si>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</si>
  <si>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</si>
  <si>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</si>
  <si>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</si>
  <si>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</si>
  <si>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</si>
  <si>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</si>
  <si>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</si>
  <si>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</si>
  <si>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</si>
  <si>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</si>
  <si>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</si>
  <si>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</si>
  <si>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</si>
  <si>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</si>
  <si>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</si>
  <si>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</si>
  <si>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</si>
  <si>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</si>
  <si>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</si>
  <si>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</si>
  <si>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</si>
  <si>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</si>
  <si>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</si>
  <si>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</si>
  <si>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</si>
  <si>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</si>
  <si>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</si>
  <si>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</si>
  <si>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</si>
  <si>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</si>
  <si>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</si>
  <si>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</si>
  <si>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</si>
  <si>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</si>
  <si>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</si>
  <si>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</si>
  <si>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</si>
  <si>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</si>
  <si>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</si>
  <si>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</si>
  <si>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</si>
  <si>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</si>
  <si>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</si>
  <si>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</si>
  <si>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</si>
  <si>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</si>
  <si>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</si>
  <si>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</si>
  <si>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</si>
  <si>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</si>
  <si>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</si>
  <si>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</si>
  <si>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</si>
  <si>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</si>
  <si>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</si>
  <si>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</si>
  <si>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</si>
  <si>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</si>
  <si>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</si>
  <si>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</si>
  <si>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</si>
  <si>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</si>
  <si>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</si>
  <si>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</si>
  <si>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</si>
  <si>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</si>
  <si>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</si>
  <si>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</si>
  <si>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</si>
  <si>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</si>
  <si>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</si>
  <si>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</si>
  <si>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</si>
  <si>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</si>
  <si>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</si>
  <si>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</si>
  <si>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</si>
  <si>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</si>
  <si>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</si>
  <si>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</si>
  <si>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</si>
  <si>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</si>
  <si>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</si>
  <si>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</si>
  <si>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</si>
  <si>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</si>
  <si>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</si>
  <si>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</si>
  <si>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</si>
  <si>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</si>
  <si>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</si>
  <si>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</si>
  <si>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</si>
  <si>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</si>
  <si>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</si>
  <si>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</si>
  <si>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</si>
  <si>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</si>
  <si>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</si>
  <si>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</si>
  <si>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</si>
  <si>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</si>
  <si>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</si>
  <si>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</si>
  <si>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</si>
  <si>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</si>
  <si>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</si>
  <si>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</si>
  <si>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</si>
  <si>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</si>
  <si>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</si>
  <si>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</si>
  <si>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</si>
  <si>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</si>
  <si>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</si>
  <si>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</si>
  <si>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</si>
  <si>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</si>
  <si>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</si>
  <si>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</si>
  <si>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</si>
  <si>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</si>
  <si>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</si>
  <si>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</si>
  <si>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</si>
  <si>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</si>
  <si>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</si>
  <si>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</si>
  <si>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</si>
  <si>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</si>
  <si>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</si>
  <si>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</si>
  <si>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</si>
  <si>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</si>
  <si>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</si>
  <si>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</si>
  <si>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</si>
  <si>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</si>
  <si>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</si>
  <si>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</si>
  <si>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</si>
  <si>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</si>
  <si>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</si>
  <si>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</si>
  <si>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</si>
  <si>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</si>
  <si>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</si>
  <si>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</si>
  <si>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</si>
  <si>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</si>
  <si>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</si>
  <si>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</si>
  <si>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</si>
  <si>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</si>
  <si>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</si>
  <si>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</si>
  <si>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</si>
  <si>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</si>
  <si>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</si>
  <si>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</si>
  <si>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</si>
  <si>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</si>
  <si>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</si>
  <si>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</si>
  <si>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</si>
  <si>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</si>
  <si>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</si>
  <si>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</si>
  <si>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</si>
  <si>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</si>
  <si>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</si>
  <si>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</si>
  <si>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</si>
  <si>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</si>
  <si>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</si>
  <si>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</si>
  <si>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</si>
  <si>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</si>
  <si>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</si>
  <si>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</si>
  <si>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</si>
  <si>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</si>
  <si>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</si>
  <si>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</si>
  <si>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</si>
  <si>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</si>
  <si>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</si>
  <si>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</si>
  <si>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</si>
  <si>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</si>
  <si>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</si>
  <si>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</si>
  <si>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</si>
  <si>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</si>
  <si>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</si>
  <si>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</si>
  <si>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</si>
  <si>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</si>
  <si>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</si>
  <si>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</si>
  <si>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</si>
  <si>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</si>
  <si>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</si>
  <si>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</si>
  <si>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</si>
  <si>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</si>
  <si>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</si>
  <si>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</si>
  <si>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</si>
  <si>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</si>
  <si>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</si>
  <si>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</si>
  <si>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</si>
  <si>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</si>
  <si>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</si>
  <si>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</si>
  <si>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</si>
  <si>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</si>
  <si>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</si>
  <si>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</si>
  <si>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</si>
  <si>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</si>
  <si>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</si>
  <si>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</si>
  <si>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</si>
  <si>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</si>
  <si>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</si>
  <si>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</si>
  <si>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</si>
  <si>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</si>
  <si>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</si>
  <si>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</si>
  <si>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</si>
  <si>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</si>
  <si>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</si>
  <si>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</si>
  <si>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</si>
  <si>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</si>
  <si>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</si>
  <si>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</si>
  <si>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</si>
  <si>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</si>
  <si>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</si>
  <si>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</si>
  <si>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</si>
  <si>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</si>
  <si>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</si>
  <si>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Green Aanchal - XXL, Cream 2 piece aanchal - M,  Chikankari - XL, Blue Ajrakh Salwar - XXL, Maroon Banarasi new design</t>
  </si>
  <si>
    <t>CHR-119 - Chanderi Silk Blue</t>
  </si>
  <si>
    <t>CHR-119 - Chanderi Silk Maroon</t>
  </si>
  <si>
    <t>Amrutha Pathanamthitta</t>
  </si>
  <si>
    <t>Sherin Fathima (Thalassery)</t>
  </si>
  <si>
    <t>Athira (Kollam)</t>
  </si>
  <si>
    <t>CHR-119 - Chanderi Silk Black</t>
  </si>
  <si>
    <t>Jini (Palakkad)</t>
  </si>
  <si>
    <t>Sreelekha (Kayamkulam)</t>
  </si>
  <si>
    <t>CHR-119 - Black?</t>
  </si>
  <si>
    <t>matka - Maroon/Navy Blue</t>
  </si>
  <si>
    <t>Anju Shinoob</t>
  </si>
  <si>
    <t>New Banarasi - Blue</t>
  </si>
  <si>
    <t>Khadi Saree Violet and Rainbow saree</t>
  </si>
  <si>
    <t>Ponnu - Red (1350), Indu - Maroon, Anju Shinoob - Blue</t>
  </si>
  <si>
    <t>Latha (500), Baby Khadeeja</t>
  </si>
  <si>
    <t>Baby Khadeeja - Violet</t>
  </si>
  <si>
    <t>Yellow, Dark Green</t>
  </si>
  <si>
    <t>Peacok Blue/Maroon - 3
Purple/Green - 1
Navy Blue/Maroon - 2
Lavender/Violet - 1
Grey/Blue - 1</t>
  </si>
  <si>
    <t>Sherin - Maroon/navy blue(1099)</t>
  </si>
  <si>
    <t>Kavya (Kasargod)</t>
  </si>
  <si>
    <t>Matka Black with Golden Yellow</t>
  </si>
  <si>
    <t>Matka Green/Yellow &amp; Bengal Cotton (Adv:100)</t>
  </si>
  <si>
    <t>Silpa Kannur</t>
  </si>
  <si>
    <t>violet, black, navy blue, maroon</t>
  </si>
  <si>
    <t>CHR-175</t>
  </si>
  <si>
    <t>burned orange, Grey, wine, violet/grape, onion peal</t>
  </si>
  <si>
    <t>CHR-176</t>
  </si>
  <si>
    <t>CHR-177</t>
  </si>
  <si>
    <t>CHR-178</t>
  </si>
  <si>
    <t>CHR-179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</si>
  <si>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</si>
  <si>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</si>
  <si>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</si>
  <si>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</si>
  <si>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</si>
  <si>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</si>
  <si>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</si>
  <si>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</si>
  <si>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Light brown, Pista green</t>
  </si>
  <si>
    <t>black/pink, orange/black, black/parrot green</t>
  </si>
  <si>
    <t>Aji Roy(Trichue)</t>
  </si>
  <si>
    <t>CHR-119 - Black &amp; Mustard</t>
  </si>
  <si>
    <t>Gopika (TVM)</t>
  </si>
  <si>
    <t>CHR-119 - Black</t>
  </si>
  <si>
    <t>Lily Kutty (Kottayam)</t>
  </si>
  <si>
    <t>Sindhu (Pkd)</t>
  </si>
  <si>
    <t>CHR-119 - Green</t>
  </si>
  <si>
    <t>CHR-119 - Maroon</t>
  </si>
  <si>
    <t>royal blue/rani pink, parrot green/red, deep red/bottle green</t>
  </si>
  <si>
    <t>Matka Silk Saree Collection</t>
  </si>
  <si>
    <t>Soft Silk Saree Collection</t>
  </si>
  <si>
    <t>Tussar Silk Collection</t>
  </si>
  <si>
    <t>Tissue Silk Saree Collection</t>
  </si>
  <si>
    <t>Chanderi Silk Saree Collection</t>
  </si>
  <si>
    <t>Aasha (EKM)</t>
  </si>
  <si>
    <t>Boosting - March &amp; April</t>
  </si>
  <si>
    <r>
      <rPr>
        <sz val="11"/>
        <color theme="1"/>
        <rFont val="Trebuchet MS"/>
        <family val="2"/>
        <charset val="1"/>
      </rPr>
      <t xml:space="preserve">
</t>
    </r>
    <r>
      <rPr>
        <u/>
        <sz val="11"/>
        <color theme="1"/>
        <rFont val="Trebuchet MS"/>
        <family val="2"/>
      </rPr>
      <t>New batch:</t>
    </r>
    <r>
      <rPr>
        <sz val="11"/>
        <color theme="1"/>
        <rFont val="Trebuchet MS"/>
        <family val="2"/>
        <charset val="1"/>
      </rPr>
      <t xml:space="preserve"> Blue (2), mustard yellow (1), navy blue (3), Green (2), Rani pink (2), Maroon (3), off white (3), Orange (2)
</t>
    </r>
    <r>
      <rPr>
        <u/>
        <sz val="11"/>
        <color theme="1"/>
        <rFont val="Trebuchet MS"/>
        <family val="2"/>
      </rPr>
      <t>New batch2:</t>
    </r>
    <r>
      <rPr>
        <sz val="11"/>
        <color theme="1"/>
        <rFont val="Trebuchet MS"/>
        <family val="2"/>
        <charset val="1"/>
      </rPr>
      <t xml:space="preserve"> Black(7), White(5), Rani Pink(1)</t>
    </r>
  </si>
  <si>
    <r>
      <rPr>
        <u/>
        <sz val="11"/>
        <color theme="1"/>
        <rFont val="Trebuchet MS"/>
        <family val="2"/>
      </rPr>
      <t>First Set:</t>
    </r>
    <r>
      <rPr>
        <sz val="11"/>
        <color theme="1"/>
        <rFont val="Trebuchet MS"/>
        <family val="2"/>
        <charset val="1"/>
      </rPr>
      <t xml:space="preserve"> Aruna - violet, Resmi - navy blue, Malini - Rani Pink
</t>
    </r>
    <r>
      <rPr>
        <u/>
        <sz val="11"/>
        <color theme="1"/>
        <rFont val="Trebuchet MS"/>
        <family val="2"/>
      </rPr>
      <t>Second Set:</t>
    </r>
    <r>
      <rPr>
        <sz val="11"/>
        <color theme="1"/>
        <rFont val="Trebuchet MS"/>
        <family val="2"/>
        <charset val="1"/>
      </rPr>
      <t xml:space="preserve"> Dona - Black, Dona - navy Blue, Jayalakshmi - Pink, Jyothimol - Navy Blue, Amrutha - Maroon, Athira - Black, Jini - Maroon</t>
    </r>
    <r>
      <rPr>
        <sz val="11"/>
        <color theme="1"/>
        <rFont val="Trebuchet MS"/>
        <family val="2"/>
      </rPr>
      <t>, Gopika - Black, Aji Roy - Black, Aji Roy - Mustard, Lili Kutty - Maroon, Sindhu - Black, Asha - Green, Soorya - Rani Pink, Asha Latha - Offwhite</t>
    </r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</si>
  <si>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</si>
  <si>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</si>
  <si>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</si>
  <si>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</si>
  <si>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</si>
  <si>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</si>
  <si>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Bottle Green/Golden Yellow - 2 
Navy Blue/Bottle Green - 2</t>
  </si>
  <si>
    <t>Blue/bottle green - Saranya Hyd, Blue/red - Jothika, Mustard - Vineetha, Bottle Green/Golden Yellow - Swapna (Thrissur)-1200, Black/Golden yellow - Kavya(Kasargod) - 1200, Back/Yellow - Subha - 1200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</si>
</sst>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3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  <font>
      <sz val="8"/>
      <name val="Calibri"/>
      <family val="2"/>
      <charset val="1"/>
    </font>
    <font>
      <u/>
      <sz val="11"/>
      <color theme="1"/>
      <name val="Trebuchet MS"/>
      <family val="2"/>
    </font>
    <font>
      <sz val="11"/>
      <color theme="1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32" fillId="4" borderId="2" xfId="0" applyFont="1" applyFill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164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108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73962.763333333321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56636</c:v>
                </c:pt>
                <c:pt idx="4">
                  <c:v>2589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-14366</c:v>
                </c:pt>
                <c:pt idx="4">
                  <c:v>2589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247</c:v>
                </c:pt>
                <c:pt idx="1">
                  <c:v>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D42" sqref="D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350293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292668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306037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-57625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19192.326666666671</v>
      </c>
      <c r="C10" s="9"/>
    </row>
    <row r="11" spans="1:6" ht="13.5" customHeight="1">
      <c r="A11" s="11" t="s">
        <v>50</v>
      </c>
      <c r="B11" s="14">
        <f>PartnerShares!H9</f>
        <v>5029.3366666666698</v>
      </c>
      <c r="C11" s="11"/>
    </row>
    <row r="12" spans="1:6" ht="13.5" customHeight="1">
      <c r="A12" s="9" t="s">
        <v>51</v>
      </c>
      <c r="B12" s="13">
        <f>PartnerShares!H10</f>
        <v>-24221.66333333333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154260</v>
      </c>
      <c r="C18" s="10">
        <f>PartnerShares!C8</f>
        <v>116764.33333333333</v>
      </c>
      <c r="D18" s="10">
        <f>PartnerShares!D8</f>
        <v>37495.666666666672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19192.326666666671</v>
      </c>
      <c r="G18" s="16" t="str">
        <f>IF(ROUND(F18,0)&gt;0,"Receive ₹"&amp;TEXT(ABS(F18),"#,##0"),IF(ROUND(F18,0)&lt;0,"Pay ₹"&amp;TEXT(ABS(F18),"#,##0"),"✓ Settled"))</f>
        <v>Receive ₹19,192</v>
      </c>
    </row>
    <row r="19" spans="1:7" ht="13.5" customHeight="1">
      <c r="A19" s="11" t="str">
        <f>PartnerShares!A9</f>
        <v>Anoop</v>
      </c>
      <c r="B19" s="12">
        <f>PartnerShares!B9</f>
        <v>163433</v>
      </c>
      <c r="C19" s="12">
        <f>PartnerShares!C9</f>
        <v>116764.33333333333</v>
      </c>
      <c r="D19" s="12">
        <f>PartnerShares!D9</f>
        <v>46668.666666666672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5029.3366666666698</v>
      </c>
      <c r="G19" s="17" t="str">
        <f>IF(ROUND(F19,0)&gt;0,"Receive ₹"&amp;TEXT(ABS(F19),"#,##0"),IF(ROUND(F19,0)&lt;0,"Pay ₹"&amp;TEXT(ABS(F19),"#,##0"),"✓ Settled"))</f>
        <v>Receive ₹5,029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116764.33333333333</v>
      </c>
      <c r="D20" s="10">
        <f>PartnerShares!D10</f>
        <v>-84164.333333333328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-24221.66333333333</v>
      </c>
      <c r="G20" s="17" t="str">
        <f>IF(ROUND(F20,0)&gt;0,"Receive ₹"&amp;TEXT(ABS(F20),"#,##0"),IF(ROUND(F20,0)&lt;0,"Pay ₹"&amp;TEXT(ABS(F20),"#,##0"),"✓ Settled"))</f>
        <v>Pay ₹24,222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271719</v>
      </c>
      <c r="C26" s="10">
        <f>'Cash Pool'!D4</f>
        <v>97575.511199999994</v>
      </c>
      <c r="D26" s="10">
        <f>'Cash Pool'!E4</f>
        <v>174143.48879999999</v>
      </c>
      <c r="E26" s="10">
        <f>'Cash Pool'!F4</f>
        <v>-137310.02600000001</v>
      </c>
      <c r="F26" s="13">
        <f>'Cash Pool'!G4</f>
        <v>36833.462799999979</v>
      </c>
      <c r="G26" s="17" t="str">
        <f>IF(ROUND(F26,0)&gt;0,"Pay ₹"&amp;TEXT(ABS(F26),"#,##0"),IF(ROUND(F26,0)&lt;0,"Receive ₹"&amp;TEXT(ABS(F26),"#,##0"),"✓ Settled"))</f>
        <v>Pay ₹36,833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97516.977599999998</v>
      </c>
      <c r="D27" s="12">
        <f>'Cash Pool'!E5</f>
        <v>-89097.977599999998</v>
      </c>
      <c r="E27" s="12">
        <f>'Cash Pool'!F5</f>
        <v>71587.042000000001</v>
      </c>
      <c r="F27" s="14">
        <f>'Cash Pool'!G5</f>
        <v>-17510.935599999997</v>
      </c>
      <c r="G27" s="18" t="str">
        <f>IF(ROUND(F27,0)&gt;0,"Pay ₹"&amp;TEXT(ABS(F27),"#,##0"),IF(ROUND(F27,0)&lt;0,"Receive ₹"&amp;TEXT(ABS(F27),"#,##0"),"✓ Settled"))</f>
        <v>Receive ₹17,511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97575.511199999994</v>
      </c>
      <c r="D28" s="10">
        <f>'Cash Pool'!E6</f>
        <v>-85045.511199999994</v>
      </c>
      <c r="E28" s="10">
        <f>'Cash Pool'!F6</f>
        <v>65722.984000000011</v>
      </c>
      <c r="F28" s="13">
        <f>'Cash Pool'!G6</f>
        <v>-19322.527199999982</v>
      </c>
      <c r="G28" s="16" t="str">
        <f>IF(ROUND(F28,0)&gt;0,"Pay ₹"&amp;TEXT(ABS(F28),"#,##0"),IF(ROUND(F28,0)&lt;0,"Receive ₹"&amp;TEXT(ABS(F28),"#,##0"),"✓ Settled"))</f>
        <v>Receive ₹19,323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5" t="s">
        <v>67</v>
      </c>
      <c r="B1" s="95"/>
      <c r="C1" s="95"/>
      <c r="D1" s="95"/>
      <c r="E1" s="95"/>
      <c r="F1" s="95"/>
      <c r="G1" s="95"/>
      <c r="H1" s="95"/>
    </row>
    <row r="3" spans="1:8" ht="15" customHeight="1">
      <c r="A3" s="19" t="s">
        <v>68</v>
      </c>
      <c r="B3" s="20">
        <f ca="1">TODAY()</f>
        <v>46147</v>
      </c>
    </row>
    <row r="5" spans="1:8" ht="15" customHeight="1">
      <c r="A5" s="19" t="s">
        <v>41</v>
      </c>
      <c r="B5" s="21">
        <f>Summary!B3</f>
        <v>350293</v>
      </c>
      <c r="D5" s="19" t="s">
        <v>69</v>
      </c>
      <c r="E5" s="21">
        <f>Summary!B4</f>
        <v>292668</v>
      </c>
    </row>
    <row r="6" spans="1:8" ht="15" customHeight="1">
      <c r="A6" s="19" t="s">
        <v>70</v>
      </c>
      <c r="B6" s="21">
        <f>Summary!B6</f>
        <v>-57625</v>
      </c>
      <c r="D6" s="19" t="s">
        <v>71</v>
      </c>
      <c r="E6" s="21">
        <f>SUMIFS(INVENTORY!K:K, INVENTORY!N:N, "&lt;&gt;Sold Out")</f>
        <v>138298.96333333332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247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177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56636</v>
      </c>
      <c r="D13" s="27">
        <f t="shared" si="0"/>
        <v>-14366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2589</v>
      </c>
      <c r="D14" s="21">
        <f t="shared" si="0"/>
        <v>2589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164</v>
      </c>
      <c r="H47" s="30">
        <f>SUMIF(INVENTORY!C:C, F47, INVENTORY!G:G)</f>
        <v>108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73962.763333333321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D71" sqref="D7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813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897</v>
      </c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63" activePane="bottomLeft" state="frozen"/>
      <selection pane="bottomLeft" activeCell="J188" sqref="J188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8" style="90" customWidth="1"/>
    <col min="9" max="9" width="9.1640625" style="90" bestFit="1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42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14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 t="s">
        <v>154</v>
      </c>
      <c r="E146" s="80" t="s">
        <v>49</v>
      </c>
      <c r="F146" s="91"/>
      <c r="G146" s="91"/>
      <c r="H146" s="92" t="s">
        <v>839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814</v>
      </c>
      <c r="I160" s="80" t="s">
        <v>334</v>
      </c>
    </row>
    <row r="161" spans="1:9" ht="14">
      <c r="A161" s="75">
        <v>46132</v>
      </c>
      <c r="B161" s="76" t="s">
        <v>828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841</v>
      </c>
      <c r="I162" s="80" t="s">
        <v>140</v>
      </c>
    </row>
    <row r="163" spans="1:9" ht="14">
      <c r="A163" s="75">
        <v>46133</v>
      </c>
      <c r="B163" s="76" t="s">
        <v>818</v>
      </c>
      <c r="C163" s="77">
        <v>1350</v>
      </c>
      <c r="D163" s="76"/>
      <c r="E163" s="76" t="s">
        <v>49</v>
      </c>
      <c r="F163" s="76"/>
      <c r="G163" s="76"/>
      <c r="H163" s="78" t="s">
        <v>819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820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821</v>
      </c>
      <c r="I165" s="76" t="s">
        <v>334</v>
      </c>
    </row>
    <row r="166" spans="1:9" ht="14">
      <c r="A166" s="79">
        <v>46134</v>
      </c>
      <c r="B166" s="80" t="s">
        <v>833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835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831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840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837</v>
      </c>
      <c r="I169" s="80" t="s">
        <v>334</v>
      </c>
    </row>
    <row r="170" spans="1:9" ht="14">
      <c r="A170" s="75">
        <v>46134</v>
      </c>
      <c r="B170" s="76" t="s">
        <v>832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838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842</v>
      </c>
      <c r="I171" s="80" t="s">
        <v>334</v>
      </c>
    </row>
    <row r="172" spans="1:9" ht="14">
      <c r="A172" s="75">
        <v>46138</v>
      </c>
      <c r="B172" s="76" t="s">
        <v>844</v>
      </c>
      <c r="C172" s="77">
        <v>690</v>
      </c>
      <c r="D172" s="76" t="s">
        <v>154</v>
      </c>
      <c r="E172" s="76" t="s">
        <v>49</v>
      </c>
      <c r="F172" s="76"/>
      <c r="G172" s="76"/>
      <c r="H172" s="78" t="s">
        <v>843</v>
      </c>
      <c r="I172" s="76" t="s">
        <v>140</v>
      </c>
    </row>
    <row r="173" spans="1:9" ht="14">
      <c r="A173" s="79">
        <v>46138</v>
      </c>
      <c r="B173" s="80" t="s">
        <v>845</v>
      </c>
      <c r="C173" s="81">
        <v>1099</v>
      </c>
      <c r="D173" s="80" t="s">
        <v>154</v>
      </c>
      <c r="E173" s="80" t="s">
        <v>49</v>
      </c>
      <c r="F173" s="91"/>
      <c r="G173" s="91"/>
      <c r="H173" s="92" t="s">
        <v>851</v>
      </c>
      <c r="I173" s="80" t="s">
        <v>140</v>
      </c>
    </row>
    <row r="174" spans="1:9" ht="14">
      <c r="A174" s="75">
        <v>46139</v>
      </c>
      <c r="B174" s="76" t="s">
        <v>846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847</v>
      </c>
      <c r="I174" s="76" t="s">
        <v>140</v>
      </c>
    </row>
    <row r="175" spans="1:9" ht="14">
      <c r="A175" s="79">
        <v>46139</v>
      </c>
      <c r="B175" s="80" t="s">
        <v>848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843</v>
      </c>
      <c r="I175" s="80" t="s">
        <v>140</v>
      </c>
    </row>
    <row r="176" spans="1:9" ht="14">
      <c r="A176" s="75">
        <v>46139</v>
      </c>
      <c r="B176" s="76" t="s">
        <v>849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850</v>
      </c>
      <c r="I176" s="76" t="s">
        <v>140</v>
      </c>
    </row>
    <row r="177" spans="1:9" ht="14">
      <c r="A177" s="79">
        <v>46140</v>
      </c>
      <c r="B177" s="80" t="s">
        <v>852</v>
      </c>
      <c r="C177" s="81">
        <v>1380</v>
      </c>
      <c r="D177" s="80" t="s">
        <v>154</v>
      </c>
      <c r="E177" s="80" t="s">
        <v>49</v>
      </c>
      <c r="F177" s="91"/>
      <c r="G177" s="91"/>
      <c r="H177" s="92" t="s">
        <v>853</v>
      </c>
      <c r="I177" s="80" t="s">
        <v>140</v>
      </c>
    </row>
    <row r="178" spans="1:9" ht="14">
      <c r="A178" s="75">
        <v>46140</v>
      </c>
      <c r="B178" s="76" t="s">
        <v>178</v>
      </c>
      <c r="C178" s="77">
        <v>1480</v>
      </c>
      <c r="D178" s="76" t="s">
        <v>154</v>
      </c>
      <c r="E178" s="76" t="s">
        <v>49</v>
      </c>
      <c r="F178" s="76"/>
      <c r="G178" s="76"/>
      <c r="H178" s="78" t="s">
        <v>854</v>
      </c>
      <c r="I178" s="76" t="s">
        <v>140</v>
      </c>
    </row>
    <row r="179" spans="1:9" ht="14">
      <c r="A179" s="79">
        <v>46140</v>
      </c>
      <c r="B179" s="80" t="s">
        <v>861</v>
      </c>
      <c r="C179" s="81">
        <v>1200</v>
      </c>
      <c r="D179" s="80" t="s">
        <v>154</v>
      </c>
      <c r="E179" s="80" t="s">
        <v>49</v>
      </c>
      <c r="F179" s="91"/>
      <c r="G179" s="91"/>
      <c r="H179" s="92" t="s">
        <v>862</v>
      </c>
      <c r="I179" s="80" t="s">
        <v>140</v>
      </c>
    </row>
    <row r="180" spans="1:9" ht="14">
      <c r="A180" s="75">
        <v>46140</v>
      </c>
      <c r="B180" s="76" t="s">
        <v>864</v>
      </c>
      <c r="C180" s="77">
        <v>1899</v>
      </c>
      <c r="D180" s="76" t="s">
        <v>154</v>
      </c>
      <c r="E180" s="76" t="s">
        <v>49</v>
      </c>
      <c r="F180" s="76"/>
      <c r="G180" s="76"/>
      <c r="H180" s="78" t="s">
        <v>863</v>
      </c>
      <c r="I180" s="76" t="s">
        <v>334</v>
      </c>
    </row>
    <row r="181" spans="1:9" ht="14">
      <c r="A181" s="79">
        <v>46141</v>
      </c>
      <c r="B181" s="80" t="s">
        <v>882</v>
      </c>
      <c r="C181" s="81">
        <v>1380</v>
      </c>
      <c r="D181" s="80" t="s">
        <v>154</v>
      </c>
      <c r="E181" s="80" t="s">
        <v>49</v>
      </c>
      <c r="F181" s="91"/>
      <c r="G181" s="91"/>
      <c r="H181" s="92" t="s">
        <v>883</v>
      </c>
      <c r="I181" s="80" t="s">
        <v>140</v>
      </c>
    </row>
    <row r="182" spans="1:9" ht="14">
      <c r="A182" s="75">
        <v>46141</v>
      </c>
      <c r="B182" s="76" t="s">
        <v>884</v>
      </c>
      <c r="C182" s="77">
        <v>690</v>
      </c>
      <c r="D182" s="76" t="s">
        <v>154</v>
      </c>
      <c r="E182" s="76" t="s">
        <v>49</v>
      </c>
      <c r="F182" s="76"/>
      <c r="G182" s="76"/>
      <c r="H182" s="78" t="s">
        <v>885</v>
      </c>
      <c r="I182" s="76" t="s">
        <v>140</v>
      </c>
    </row>
    <row r="183" spans="1:9" ht="14">
      <c r="A183" s="79">
        <v>46142</v>
      </c>
      <c r="B183" s="80" t="s">
        <v>886</v>
      </c>
      <c r="C183" s="81">
        <v>690</v>
      </c>
      <c r="D183" s="80" t="s">
        <v>154</v>
      </c>
      <c r="E183" s="80" t="s">
        <v>49</v>
      </c>
      <c r="F183" s="91"/>
      <c r="G183" s="91"/>
      <c r="H183" s="92" t="s">
        <v>889</v>
      </c>
      <c r="I183" s="80" t="s">
        <v>140</v>
      </c>
    </row>
    <row r="184" spans="1:9" ht="14">
      <c r="A184" s="75">
        <v>46142</v>
      </c>
      <c r="B184" s="76" t="s">
        <v>887</v>
      </c>
      <c r="C184" s="77">
        <v>690</v>
      </c>
      <c r="D184" s="76" t="s">
        <v>154</v>
      </c>
      <c r="E184" s="76" t="s">
        <v>49</v>
      </c>
      <c r="F184" s="76"/>
      <c r="G184" s="76"/>
      <c r="H184" s="78" t="s">
        <v>885</v>
      </c>
      <c r="I184" s="76" t="s">
        <v>140</v>
      </c>
    </row>
    <row r="185" spans="1:9" ht="14">
      <c r="A185" s="79">
        <v>46142</v>
      </c>
      <c r="B185" s="80" t="s">
        <v>896</v>
      </c>
      <c r="C185" s="81">
        <v>609</v>
      </c>
      <c r="D185" s="80" t="s">
        <v>154</v>
      </c>
      <c r="E185" s="80" t="s">
        <v>49</v>
      </c>
      <c r="F185" s="91"/>
      <c r="G185" s="91"/>
      <c r="H185" s="92" t="s">
        <v>888</v>
      </c>
      <c r="I185" s="80" t="s">
        <v>140</v>
      </c>
    </row>
    <row r="186" spans="1:9" ht="14">
      <c r="A186" s="79">
        <v>46144</v>
      </c>
      <c r="B186" s="80" t="s">
        <v>900</v>
      </c>
      <c r="C186" s="81">
        <v>699</v>
      </c>
      <c r="D186" s="80" t="s">
        <v>154</v>
      </c>
      <c r="E186" s="80" t="s">
        <v>49</v>
      </c>
      <c r="F186" s="91"/>
      <c r="G186" s="91"/>
      <c r="H186" s="92" t="s">
        <v>901</v>
      </c>
      <c r="I186" s="80" t="s">
        <v>140</v>
      </c>
    </row>
    <row r="187" spans="1:9" ht="14">
      <c r="A187" s="75">
        <v>46144</v>
      </c>
      <c r="B187" s="76" t="s">
        <v>902</v>
      </c>
      <c r="C187" s="77">
        <v>690</v>
      </c>
      <c r="D187" s="76" t="s">
        <v>154</v>
      </c>
      <c r="E187" s="76" t="s">
        <v>49</v>
      </c>
      <c r="F187" s="76"/>
      <c r="G187" s="76"/>
      <c r="H187" s="78" t="s">
        <v>903</v>
      </c>
      <c r="I187" s="76" t="s">
        <v>140</v>
      </c>
    </row>
    <row r="188" spans="1:9" ht="14">
      <c r="A188" s="79">
        <v>46145</v>
      </c>
      <c r="B188" s="80" t="s">
        <v>904</v>
      </c>
      <c r="C188" s="81">
        <v>1200</v>
      </c>
      <c r="D188" s="80" t="s">
        <v>154</v>
      </c>
      <c r="E188" s="80" t="s">
        <v>49</v>
      </c>
      <c r="F188" s="91"/>
      <c r="G188" s="91"/>
      <c r="H188" s="92" t="s">
        <v>905</v>
      </c>
      <c r="I188" s="80" t="s">
        <v>140</v>
      </c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85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zoomScaleNormal="100" workbookViewId="0">
      <pane ySplit="1" topLeftCell="A132" activePane="bottomLeft" state="frozen"/>
      <selection pane="bottomLeft" activeCell="A147" sqref="A147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7.5" style="43" bestFit="1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54.1640625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834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836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827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2</v>
      </c>
      <c r="G91" s="51">
        <v>0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778</v>
      </c>
      <c r="K91" s="42">
        <f t="shared" si="8"/>
        <v>0</v>
      </c>
      <c r="L91" s="42" t="s">
        <v>856</v>
      </c>
      <c r="M91" s="42"/>
      <c r="N91" s="42" t="s">
        <v>366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578</v>
      </c>
      <c r="B92" s="48" t="s">
        <v>579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580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581</v>
      </c>
      <c r="B93" s="42" t="s">
        <v>582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816</v>
      </c>
      <c r="M93" s="42"/>
      <c r="N93" s="48" t="s">
        <v>451</v>
      </c>
      <c r="O93" s="42" t="s">
        <v>817</v>
      </c>
      <c r="P93" s="42"/>
      <c r="Q93" s="42"/>
      <c r="R93" s="42"/>
      <c r="S93" s="42"/>
      <c r="T93" s="42"/>
    </row>
    <row r="94" spans="1:20" ht="15" customHeight="1">
      <c r="A94" s="48" t="s">
        <v>583</v>
      </c>
      <c r="B94" s="48" t="s">
        <v>584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585</v>
      </c>
      <c r="B95" s="42" t="s">
        <v>586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587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588</v>
      </c>
      <c r="B96" s="48" t="s">
        <v>589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590</v>
      </c>
      <c r="B97" s="42" t="s">
        <v>591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592</v>
      </c>
      <c r="B98" s="48" t="s">
        <v>593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594</v>
      </c>
      <c r="B99" s="42" t="s">
        <v>595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596</v>
      </c>
      <c r="B100" s="48" t="s">
        <v>597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598</v>
      </c>
      <c r="B101" s="42" t="s">
        <v>599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600</v>
      </c>
      <c r="B102" s="48" t="s">
        <v>601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602</v>
      </c>
      <c r="B103" s="42" t="s">
        <v>603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604</v>
      </c>
      <c r="B104" s="48" t="s">
        <v>605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606</v>
      </c>
      <c r="B105" s="42" t="s">
        <v>607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608</v>
      </c>
      <c r="B106" s="48" t="s">
        <v>609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610</v>
      </c>
      <c r="B107" s="42" t="s">
        <v>611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612</v>
      </c>
      <c r="B108" s="48" t="s">
        <v>613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614</v>
      </c>
      <c r="B109" s="42" t="s">
        <v>615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616</v>
      </c>
      <c r="B110" s="48" t="s">
        <v>617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618</v>
      </c>
      <c r="B111" s="42" t="s">
        <v>619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620</v>
      </c>
      <c r="B112" s="48" t="s">
        <v>621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622</v>
      </c>
      <c r="B113" s="42" t="s">
        <v>623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624</v>
      </c>
      <c r="B114" s="48" t="s">
        <v>625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626</v>
      </c>
      <c r="B115" s="42" t="s">
        <v>627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628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629</v>
      </c>
      <c r="B116" s="48" t="s">
        <v>630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631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632</v>
      </c>
      <c r="B117" s="42" t="s">
        <v>633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634</v>
      </c>
      <c r="B118" s="48" t="s">
        <v>635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636</v>
      </c>
      <c r="M118" s="48"/>
      <c r="N118" s="48" t="s">
        <v>366</v>
      </c>
      <c r="O118" s="48"/>
      <c r="P118" s="48" t="s">
        <v>637</v>
      </c>
      <c r="Q118" s="48"/>
      <c r="R118" s="48"/>
      <c r="S118" s="48"/>
      <c r="T118" s="48"/>
    </row>
    <row r="119" spans="1:246" ht="15" customHeight="1">
      <c r="A119" s="42" t="s">
        <v>638</v>
      </c>
      <c r="B119" s="42" t="s">
        <v>639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105">
      <c r="A120" s="48" t="s">
        <v>640</v>
      </c>
      <c r="B120" s="48" t="s">
        <v>641</v>
      </c>
      <c r="C120" s="48" t="s">
        <v>95</v>
      </c>
      <c r="D120" s="49">
        <v>418.95333333333298</v>
      </c>
      <c r="E120" s="49">
        <v>699</v>
      </c>
      <c r="F120" s="49">
        <v>18</v>
      </c>
      <c r="G120" s="49">
        <v>31</v>
      </c>
      <c r="H120" s="48">
        <f t="shared" si="9"/>
        <v>49</v>
      </c>
      <c r="I120" s="48">
        <f>IF(D120&lt;&gt;"",D120,IFERROR(E120/(IFERROR(SUM(Sales!C:C),0))*(IFERROR(SUM(Purchases!C:C),0)),0))</f>
        <v>418.95333333333298</v>
      </c>
      <c r="J120" s="48">
        <f t="shared" si="10"/>
        <v>7541.1599999999935</v>
      </c>
      <c r="K120" s="48">
        <f t="shared" si="11"/>
        <v>12987.553333333322</v>
      </c>
      <c r="L120" s="94" t="s">
        <v>899</v>
      </c>
      <c r="M120" s="48" t="s">
        <v>49</v>
      </c>
      <c r="N120" s="48" t="s">
        <v>451</v>
      </c>
      <c r="O120" s="48"/>
      <c r="P120" s="48" t="s">
        <v>898</v>
      </c>
      <c r="Q120" s="48"/>
      <c r="R120" s="48"/>
      <c r="S120" s="48"/>
      <c r="T120" s="48"/>
    </row>
    <row r="121" spans="1:246" ht="15" customHeight="1">
      <c r="A121" s="42" t="s">
        <v>642</v>
      </c>
      <c r="B121" s="42" t="s">
        <v>643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644</v>
      </c>
      <c r="M121" s="42"/>
      <c r="N121" s="42" t="s">
        <v>366</v>
      </c>
      <c r="O121" s="42"/>
      <c r="P121" s="42" t="s">
        <v>645</v>
      </c>
      <c r="Q121" s="42"/>
      <c r="R121" s="42"/>
      <c r="S121" s="42"/>
      <c r="T121" s="42"/>
    </row>
    <row r="122" spans="1:246" ht="15" customHeight="1">
      <c r="A122" s="48" t="s">
        <v>646</v>
      </c>
      <c r="B122" s="48" t="s">
        <v>647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648</v>
      </c>
      <c r="M122" s="48"/>
      <c r="N122" s="48" t="s">
        <v>451</v>
      </c>
      <c r="O122" s="48" t="s">
        <v>649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650</v>
      </c>
      <c r="B123" s="59" t="s">
        <v>651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652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653</v>
      </c>
      <c r="B124" s="61" t="s">
        <v>654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655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656</v>
      </c>
      <c r="B125" s="59" t="s">
        <v>657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658</v>
      </c>
      <c r="M125" s="59"/>
      <c r="N125" s="59" t="s">
        <v>366</v>
      </c>
      <c r="O125" s="59"/>
      <c r="P125" s="59" t="s">
        <v>659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660</v>
      </c>
      <c r="B126" s="48" t="s">
        <v>661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662</v>
      </c>
      <c r="M126" s="48"/>
      <c r="N126" s="48" t="s">
        <v>366</v>
      </c>
      <c r="O126" s="48" t="s">
        <v>663</v>
      </c>
      <c r="P126" s="48"/>
      <c r="Q126" s="48"/>
      <c r="R126" s="48"/>
      <c r="S126" s="48"/>
      <c r="T126" s="48"/>
    </row>
    <row r="127" spans="1:246" ht="15" customHeight="1">
      <c r="A127" s="59" t="s">
        <v>664</v>
      </c>
      <c r="B127" s="42" t="s">
        <v>665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666</v>
      </c>
      <c r="B128" s="48" t="s">
        <v>667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668</v>
      </c>
      <c r="B129" s="42" t="s">
        <v>669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670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671</v>
      </c>
      <c r="B130" s="48" t="s">
        <v>672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673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674</v>
      </c>
      <c r="B131" s="42" t="s">
        <v>675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676</v>
      </c>
      <c r="B132" s="48" t="s">
        <v>677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678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679</v>
      </c>
      <c r="B133" s="42" t="s">
        <v>680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681</v>
      </c>
      <c r="B134" s="48" t="s">
        <v>682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683</v>
      </c>
      <c r="B135" s="42" t="s">
        <v>684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685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686</v>
      </c>
      <c r="B136" s="48" t="s">
        <v>687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830</v>
      </c>
      <c r="M136" s="48"/>
      <c r="N136" s="48" t="s">
        <v>366</v>
      </c>
      <c r="O136" s="48"/>
      <c r="P136" s="48" t="s">
        <v>688</v>
      </c>
      <c r="Q136" s="48"/>
      <c r="R136" s="48"/>
      <c r="S136" s="48"/>
      <c r="T136" s="48"/>
    </row>
    <row r="137" spans="1:20" ht="15" customHeight="1">
      <c r="A137" s="59" t="s">
        <v>689</v>
      </c>
      <c r="B137" s="42" t="s">
        <v>690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691</v>
      </c>
      <c r="B138" s="48" t="s">
        <v>692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829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693</v>
      </c>
      <c r="B139" s="42" t="s">
        <v>694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695</v>
      </c>
      <c r="B140" s="48" t="s">
        <v>696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697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698</v>
      </c>
      <c r="B141" s="42" t="s">
        <v>699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700</v>
      </c>
      <c r="B142" s="48" t="s">
        <v>701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702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703</v>
      </c>
      <c r="B143" s="42" t="s">
        <v>704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705</v>
      </c>
      <c r="B144" s="48" t="s">
        <v>706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707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708</v>
      </c>
      <c r="B146" s="48" t="s">
        <v>709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710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64" customHeight="1">
      <c r="A147" s="42" t="s">
        <v>711</v>
      </c>
      <c r="B147" s="42" t="s">
        <v>712</v>
      </c>
      <c r="C147" s="42" t="s">
        <v>95</v>
      </c>
      <c r="D147" s="51">
        <v>719</v>
      </c>
      <c r="E147" s="51">
        <v>1200</v>
      </c>
      <c r="F147" s="60">
        <v>5</v>
      </c>
      <c r="G147" s="60">
        <v>6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3595</v>
      </c>
      <c r="K147" s="59">
        <f t="shared" si="14"/>
        <v>4314</v>
      </c>
      <c r="L147" s="42" t="s">
        <v>907</v>
      </c>
      <c r="M147" s="42"/>
      <c r="N147" s="42" t="s">
        <v>451</v>
      </c>
      <c r="O147" s="42"/>
      <c r="P147" s="42" t="s">
        <v>906</v>
      </c>
      <c r="Q147" s="42"/>
      <c r="R147" s="42"/>
      <c r="S147" s="42"/>
      <c r="T147" s="42"/>
    </row>
    <row r="148" spans="1:20" ht="15" customHeight="1">
      <c r="A148" s="48" t="s">
        <v>713</v>
      </c>
      <c r="B148" s="48" t="s">
        <v>714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715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716</v>
      </c>
      <c r="B149" s="42" t="s">
        <v>717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718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719</v>
      </c>
      <c r="B150" s="48" t="s">
        <v>720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721</v>
      </c>
      <c r="B151" s="42" t="s">
        <v>722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822</v>
      </c>
      <c r="M151" s="42"/>
      <c r="N151" s="42" t="s">
        <v>451</v>
      </c>
      <c r="O151" s="42" t="s">
        <v>208</v>
      </c>
      <c r="P151" s="42" t="s">
        <v>723</v>
      </c>
      <c r="Q151" s="42"/>
      <c r="R151" s="42"/>
      <c r="S151" s="42"/>
      <c r="T151" s="42"/>
    </row>
    <row r="152" spans="1:20" ht="15" customHeight="1">
      <c r="A152" s="48" t="s">
        <v>724</v>
      </c>
      <c r="B152" s="48" t="s">
        <v>725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726</v>
      </c>
      <c r="M152" s="48"/>
      <c r="N152" s="48" t="s">
        <v>451</v>
      </c>
      <c r="O152" s="48" t="s">
        <v>727</v>
      </c>
      <c r="P152" s="48" t="s">
        <v>728</v>
      </c>
      <c r="Q152" s="48"/>
      <c r="R152" s="48"/>
      <c r="S152" s="48"/>
      <c r="T152" s="48"/>
    </row>
    <row r="153" spans="1:20" ht="15" customHeight="1">
      <c r="A153" s="42" t="s">
        <v>729</v>
      </c>
      <c r="B153" s="42" t="s">
        <v>730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731</v>
      </c>
      <c r="M153" s="42"/>
      <c r="N153" s="42" t="s">
        <v>451</v>
      </c>
      <c r="O153" s="42"/>
      <c r="P153" s="42" t="s">
        <v>732</v>
      </c>
      <c r="Q153" s="42"/>
      <c r="R153" s="42"/>
      <c r="S153" s="42"/>
      <c r="T153" s="42"/>
    </row>
    <row r="154" spans="1:20" ht="15" customHeight="1">
      <c r="A154" s="48" t="s">
        <v>733</v>
      </c>
      <c r="B154" s="48" t="s">
        <v>734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735</v>
      </c>
      <c r="P154" s="48"/>
      <c r="Q154" s="48"/>
      <c r="R154" s="48"/>
      <c r="S154" s="48"/>
      <c r="T154" s="48"/>
    </row>
    <row r="155" spans="1:20" ht="15" customHeight="1">
      <c r="A155" s="42" t="s">
        <v>736</v>
      </c>
      <c r="B155" s="42" t="s">
        <v>737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735</v>
      </c>
      <c r="P155" s="42"/>
      <c r="Q155" s="42"/>
      <c r="R155" s="42"/>
      <c r="S155" s="42"/>
      <c r="T155" s="42"/>
    </row>
    <row r="156" spans="1:20" ht="15" customHeight="1">
      <c r="A156" s="48" t="s">
        <v>738</v>
      </c>
      <c r="B156" s="48" t="s">
        <v>739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740</v>
      </c>
      <c r="P156" s="48"/>
      <c r="Q156" s="48"/>
      <c r="R156" s="48"/>
      <c r="S156" s="48"/>
      <c r="T156" s="48"/>
    </row>
    <row r="157" spans="1:20" ht="15" customHeight="1">
      <c r="A157" s="42" t="s">
        <v>741</v>
      </c>
      <c r="B157" s="42" t="s">
        <v>742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743</v>
      </c>
      <c r="M157" s="42"/>
      <c r="N157" s="42" t="s">
        <v>451</v>
      </c>
      <c r="O157" s="42" t="s">
        <v>649</v>
      </c>
      <c r="P157" s="42"/>
      <c r="Q157" s="42"/>
      <c r="R157" s="42"/>
      <c r="S157" s="42"/>
      <c r="T157" s="42"/>
    </row>
    <row r="158" spans="1:20" ht="15" customHeight="1">
      <c r="A158" s="48" t="s">
        <v>744</v>
      </c>
      <c r="B158" s="48" t="s">
        <v>745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825</v>
      </c>
      <c r="M158" s="48"/>
      <c r="N158" s="48" t="s">
        <v>538</v>
      </c>
      <c r="O158" s="48" t="s">
        <v>826</v>
      </c>
      <c r="P158" s="48"/>
      <c r="Q158" s="48"/>
      <c r="R158" s="48"/>
      <c r="S158" s="48"/>
      <c r="T158" s="48"/>
    </row>
    <row r="159" spans="1:20" ht="15" customHeight="1">
      <c r="A159" s="42" t="s">
        <v>746</v>
      </c>
      <c r="B159" s="42" t="s">
        <v>747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823</v>
      </c>
      <c r="M159" s="42"/>
      <c r="N159" s="42" t="s">
        <v>538</v>
      </c>
      <c r="O159" s="42" t="s">
        <v>824</v>
      </c>
      <c r="P159" s="42"/>
      <c r="Q159" s="42"/>
      <c r="R159" s="42"/>
      <c r="S159" s="42"/>
      <c r="T159" s="42"/>
    </row>
    <row r="160" spans="1:20" ht="15" customHeight="1">
      <c r="A160" s="48" t="s">
        <v>748</v>
      </c>
      <c r="B160" s="48" t="s">
        <v>749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750</v>
      </c>
      <c r="B161" s="42" t="s">
        <v>751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752</v>
      </c>
      <c r="B162" s="48" t="s">
        <v>753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754</v>
      </c>
      <c r="B163" s="42" t="s">
        <v>755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756</v>
      </c>
      <c r="B164" s="48" t="s">
        <v>757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758</v>
      </c>
      <c r="Q164" s="48"/>
      <c r="R164" s="48"/>
      <c r="S164" s="48"/>
      <c r="T164" s="48"/>
    </row>
    <row r="165" spans="1:20" ht="15" customHeight="1">
      <c r="A165" s="42" t="s">
        <v>759</v>
      </c>
      <c r="B165" s="42" t="s">
        <v>760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761</v>
      </c>
      <c r="Q165" s="42"/>
      <c r="R165" s="42"/>
      <c r="S165" s="42"/>
      <c r="T165" s="42"/>
    </row>
    <row r="166" spans="1:20" ht="15" customHeight="1">
      <c r="A166" s="48" t="s">
        <v>762</v>
      </c>
      <c r="B166" s="48" t="s">
        <v>763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764</v>
      </c>
      <c r="Q166" s="48"/>
      <c r="R166" s="48"/>
      <c r="S166" s="48"/>
      <c r="T166" s="48"/>
    </row>
    <row r="167" spans="1:20" ht="15" customHeight="1">
      <c r="A167" s="42" t="s">
        <v>765</v>
      </c>
      <c r="B167" s="42" t="s">
        <v>766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767</v>
      </c>
      <c r="M167" s="42"/>
      <c r="N167" s="42" t="s">
        <v>451</v>
      </c>
      <c r="O167" s="42"/>
      <c r="P167" s="42" t="s">
        <v>768</v>
      </c>
      <c r="Q167" s="42"/>
      <c r="R167" s="42"/>
      <c r="S167" s="42"/>
      <c r="T167" s="42"/>
    </row>
    <row r="168" spans="1:20" ht="15" customHeight="1">
      <c r="A168" s="48" t="s">
        <v>769</v>
      </c>
      <c r="B168" s="48" t="s">
        <v>770</v>
      </c>
      <c r="C168" s="48" t="s">
        <v>95</v>
      </c>
      <c r="D168" s="49">
        <v>608</v>
      </c>
      <c r="E168" s="49">
        <v>980</v>
      </c>
      <c r="F168" s="62">
        <v>1</v>
      </c>
      <c r="G168" s="62">
        <v>2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608</v>
      </c>
      <c r="K168" s="61">
        <f t="shared" si="17"/>
        <v>1216</v>
      </c>
      <c r="L168" s="48" t="s">
        <v>857</v>
      </c>
      <c r="M168" s="48"/>
      <c r="N168" s="48" t="s">
        <v>451</v>
      </c>
      <c r="O168" s="48"/>
      <c r="P168" s="48" t="s">
        <v>858</v>
      </c>
      <c r="Q168" s="48"/>
      <c r="R168" s="48"/>
      <c r="S168" s="48"/>
      <c r="T168" s="48"/>
    </row>
    <row r="169" spans="1:20" ht="15" customHeight="1">
      <c r="A169" s="42" t="s">
        <v>771</v>
      </c>
      <c r="B169" s="42" t="s">
        <v>772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773</v>
      </c>
      <c r="Q169" s="42"/>
      <c r="R169" s="42"/>
      <c r="S169" s="42"/>
      <c r="T169" s="42"/>
    </row>
    <row r="170" spans="1:20" ht="30" customHeight="1">
      <c r="A170" s="48" t="s">
        <v>774</v>
      </c>
      <c r="B170" s="48" t="s">
        <v>775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815</v>
      </c>
      <c r="M170" s="48"/>
      <c r="N170" s="48" t="s">
        <v>366</v>
      </c>
      <c r="O170" s="48"/>
      <c r="P170" s="48" t="s">
        <v>776</v>
      </c>
      <c r="Q170" s="48"/>
      <c r="R170" s="48"/>
      <c r="S170" s="48"/>
      <c r="T170" s="48"/>
    </row>
    <row r="171" spans="1:20" ht="32" customHeight="1">
      <c r="A171" s="42" t="s">
        <v>777</v>
      </c>
      <c r="B171" s="48" t="s">
        <v>778</v>
      </c>
      <c r="C171" s="42" t="s">
        <v>95</v>
      </c>
      <c r="D171" s="51">
        <v>892</v>
      </c>
      <c r="E171" s="51">
        <v>1380</v>
      </c>
      <c r="F171" s="60">
        <v>3</v>
      </c>
      <c r="G171" s="60">
        <v>0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2676</v>
      </c>
      <c r="K171" s="59">
        <f t="shared" si="17"/>
        <v>0</v>
      </c>
      <c r="L171" s="42" t="s">
        <v>855</v>
      </c>
      <c r="M171" s="42"/>
      <c r="N171" s="42" t="s">
        <v>366</v>
      </c>
      <c r="O171" s="42"/>
      <c r="P171" s="42"/>
      <c r="Q171" s="42"/>
      <c r="R171" s="42"/>
      <c r="S171" s="42"/>
      <c r="T171" s="42"/>
    </row>
    <row r="172" spans="1:20" ht="15" customHeight="1">
      <c r="A172" s="48" t="s">
        <v>779</v>
      </c>
      <c r="B172" s="48" t="s">
        <v>780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781</v>
      </c>
      <c r="B173" s="42" t="s">
        <v>782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783</v>
      </c>
      <c r="B174" s="48" t="s">
        <v>784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785</v>
      </c>
      <c r="B175" s="42" t="s">
        <v>786</v>
      </c>
      <c r="C175" s="42" t="s">
        <v>95</v>
      </c>
      <c r="D175" s="51">
        <v>698.25</v>
      </c>
      <c r="E175" s="51">
        <v>1250</v>
      </c>
      <c r="F175" s="60">
        <v>1</v>
      </c>
      <c r="G175" s="60">
        <v>9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698.25</v>
      </c>
      <c r="K175" s="59">
        <f t="shared" si="17"/>
        <v>6284.25</v>
      </c>
      <c r="L175" s="42" t="s">
        <v>860</v>
      </c>
      <c r="M175" s="42"/>
      <c r="N175" s="42" t="s">
        <v>451</v>
      </c>
      <c r="O175" s="42"/>
      <c r="P175" s="42" t="s">
        <v>859</v>
      </c>
      <c r="Q175" s="42"/>
      <c r="R175" s="42"/>
      <c r="S175" s="42"/>
      <c r="T175" s="42"/>
    </row>
    <row r="176" spans="1:20" ht="15">
      <c r="A176" s="48" t="s">
        <v>866</v>
      </c>
      <c r="B176" s="48" t="s">
        <v>892</v>
      </c>
      <c r="C176" s="48" t="s">
        <v>95</v>
      </c>
      <c r="D176" s="49">
        <v>908</v>
      </c>
      <c r="E176" s="49">
        <v>1350</v>
      </c>
      <c r="F176" s="62">
        <v>0</v>
      </c>
      <c r="G176" s="62">
        <v>4</v>
      </c>
      <c r="H176" s="61">
        <f t="shared" ref="H176:H180" si="18">F176+IF(LEN(G176)=0,0,G176)</f>
        <v>4</v>
      </c>
      <c r="I176" s="61">
        <f>IF(D176&lt;&gt;"",D176,IFERROR(E176/(IFERROR(SUM(Sales!C:C),0))*(IFERROR(SUM(Purchases!C:C),0)),0))</f>
        <v>908</v>
      </c>
      <c r="J176" s="61">
        <f t="shared" ref="J176:J180" si="19">F176*I176</f>
        <v>0</v>
      </c>
      <c r="K176" s="61">
        <f t="shared" ref="K176:K180" si="20">IF(LEN(G176)=0,0,G176)*I176</f>
        <v>3632</v>
      </c>
      <c r="L176" s="48"/>
      <c r="M176" s="48"/>
      <c r="N176" s="48" t="s">
        <v>538</v>
      </c>
      <c r="O176" s="48"/>
      <c r="P176" s="48" t="s">
        <v>865</v>
      </c>
      <c r="Q176" s="48"/>
      <c r="R176" s="48"/>
      <c r="S176" s="48"/>
      <c r="T176" s="48"/>
    </row>
    <row r="177" spans="1:20" ht="15">
      <c r="A177" s="42" t="s">
        <v>868</v>
      </c>
      <c r="B177" s="42" t="s">
        <v>893</v>
      </c>
      <c r="C177" s="42" t="s">
        <v>95</v>
      </c>
      <c r="D177" s="51">
        <v>906</v>
      </c>
      <c r="E177" s="51">
        <v>1350</v>
      </c>
      <c r="F177" s="60">
        <v>0</v>
      </c>
      <c r="G177" s="60">
        <v>5</v>
      </c>
      <c r="H177" s="59">
        <f t="shared" si="18"/>
        <v>5</v>
      </c>
      <c r="I177" s="59">
        <f>IF(D177&lt;&gt;"",D177,IFERROR(E177/(IFERROR(SUM(Sales!C:C),0))*(IFERROR(SUM(Purchases!C:C),0)),0))</f>
        <v>906</v>
      </c>
      <c r="J177" s="59">
        <f t="shared" si="19"/>
        <v>0</v>
      </c>
      <c r="K177" s="59">
        <f t="shared" si="20"/>
        <v>4530</v>
      </c>
      <c r="L177" s="42"/>
      <c r="M177" s="42"/>
      <c r="N177" s="42" t="s">
        <v>538</v>
      </c>
      <c r="O177" s="42"/>
      <c r="P177" s="42" t="s">
        <v>867</v>
      </c>
      <c r="Q177" s="42"/>
      <c r="R177" s="42"/>
      <c r="S177" s="42"/>
      <c r="T177" s="42"/>
    </row>
    <row r="178" spans="1:20" ht="15">
      <c r="A178" s="48" t="s">
        <v>869</v>
      </c>
      <c r="B178" s="48" t="s">
        <v>894</v>
      </c>
      <c r="C178" s="48" t="s">
        <v>95</v>
      </c>
      <c r="D178" s="49">
        <v>938</v>
      </c>
      <c r="E178" s="49">
        <v>1400</v>
      </c>
      <c r="F178" s="62">
        <v>0</v>
      </c>
      <c r="G178" s="62">
        <v>2</v>
      </c>
      <c r="H178" s="61">
        <f t="shared" si="18"/>
        <v>2</v>
      </c>
      <c r="I178" s="61">
        <f>IF(D178&lt;&gt;"",D178,IFERROR(E178/(IFERROR(SUM(Sales!C:C),0))*(IFERROR(SUM(Purchases!C:C),0)),0))</f>
        <v>938</v>
      </c>
      <c r="J178" s="61">
        <f t="shared" si="19"/>
        <v>0</v>
      </c>
      <c r="K178" s="61">
        <f t="shared" si="20"/>
        <v>1876</v>
      </c>
      <c r="L178" s="48"/>
      <c r="M178" s="48"/>
      <c r="N178" s="48" t="s">
        <v>538</v>
      </c>
      <c r="O178" s="48"/>
      <c r="P178" s="48" t="s">
        <v>880</v>
      </c>
      <c r="Q178" s="48"/>
      <c r="R178" s="48"/>
      <c r="S178" s="48"/>
      <c r="T178" s="48"/>
    </row>
    <row r="179" spans="1:20" ht="15">
      <c r="A179" s="42" t="s">
        <v>870</v>
      </c>
      <c r="B179" s="42" t="s">
        <v>895</v>
      </c>
      <c r="C179" s="42" t="s">
        <v>95</v>
      </c>
      <c r="D179" s="51">
        <v>919</v>
      </c>
      <c r="E179" s="51">
        <v>1350</v>
      </c>
      <c r="F179" s="60">
        <v>0</v>
      </c>
      <c r="G179" s="60">
        <v>3</v>
      </c>
      <c r="H179" s="59">
        <f t="shared" si="18"/>
        <v>3</v>
      </c>
      <c r="I179" s="59">
        <f>IF(D179&lt;&gt;"",D179,IFERROR(E179/(IFERROR(SUM(Sales!C:C),0))*(IFERROR(SUM(Purchases!C:C),0)),0))</f>
        <v>919</v>
      </c>
      <c r="J179" s="59">
        <f t="shared" si="19"/>
        <v>0</v>
      </c>
      <c r="K179" s="59">
        <f t="shared" si="20"/>
        <v>2757</v>
      </c>
      <c r="L179" s="42"/>
      <c r="M179" s="42"/>
      <c r="N179" s="42" t="s">
        <v>538</v>
      </c>
      <c r="O179" s="42"/>
      <c r="P179" s="42" t="s">
        <v>881</v>
      </c>
      <c r="Q179" s="42"/>
      <c r="R179" s="42"/>
      <c r="S179" s="42"/>
      <c r="T179" s="42"/>
    </row>
    <row r="180" spans="1:20" ht="15">
      <c r="A180" s="48" t="s">
        <v>871</v>
      </c>
      <c r="B180" s="48" t="s">
        <v>891</v>
      </c>
      <c r="C180" s="48" t="s">
        <v>95</v>
      </c>
      <c r="D180" s="49">
        <v>919</v>
      </c>
      <c r="E180" s="49">
        <v>1380</v>
      </c>
      <c r="F180" s="62">
        <v>0</v>
      </c>
      <c r="G180" s="62">
        <v>3</v>
      </c>
      <c r="H180" s="61">
        <f t="shared" si="18"/>
        <v>3</v>
      </c>
      <c r="I180" s="61">
        <f>IF(D180&lt;&gt;"",D180,IFERROR(E180/(IFERROR(SUM(Sales!C:C),0))*(IFERROR(SUM(Purchases!C:C),0)),0))</f>
        <v>919</v>
      </c>
      <c r="J180" s="61">
        <f t="shared" si="19"/>
        <v>0</v>
      </c>
      <c r="K180" s="61">
        <f t="shared" si="20"/>
        <v>2757</v>
      </c>
      <c r="L180" s="48"/>
      <c r="M180" s="48"/>
      <c r="N180" s="48" t="s">
        <v>538</v>
      </c>
      <c r="O180" s="48"/>
      <c r="P180" s="48" t="s">
        <v>890</v>
      </c>
      <c r="Q180" s="48"/>
      <c r="R180" s="48"/>
      <c r="S180" s="48"/>
      <c r="T180" s="48"/>
    </row>
    <row r="181" spans="1:20" ht="15">
      <c r="A181" s="42" t="s">
        <v>872</v>
      </c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 ht="15">
      <c r="A182" s="48" t="s">
        <v>873</v>
      </c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 ht="15">
      <c r="A183" s="42" t="s">
        <v>874</v>
      </c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5">
      <c r="A184" s="48" t="s">
        <v>875</v>
      </c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 ht="15">
      <c r="A185" s="42" t="s">
        <v>876</v>
      </c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5">
      <c r="A186" s="48" t="s">
        <v>877</v>
      </c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 ht="15">
      <c r="A187" s="42" t="s">
        <v>878</v>
      </c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5">
      <c r="A188" s="48" t="s">
        <v>879</v>
      </c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6" t="s">
        <v>787</v>
      </c>
      <c r="B1" s="96"/>
    </row>
    <row r="2" spans="1:8" ht="13.5" customHeight="1">
      <c r="A2" s="8" t="s">
        <v>42</v>
      </c>
      <c r="B2" s="8" t="s">
        <v>788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789</v>
      </c>
      <c r="C7" s="67" t="s">
        <v>790</v>
      </c>
      <c r="D7" s="67" t="s">
        <v>791</v>
      </c>
      <c r="E7" s="67" t="s">
        <v>792</v>
      </c>
      <c r="F7" s="67" t="s">
        <v>793</v>
      </c>
      <c r="G7" s="67" t="s">
        <v>794</v>
      </c>
      <c r="H7" s="67" t="s">
        <v>795</v>
      </c>
    </row>
    <row r="8" spans="1:8" ht="13.5" customHeight="1">
      <c r="A8" s="9" t="s">
        <v>49</v>
      </c>
      <c r="B8" s="9">
        <f>IFERROR(SUMIF(Purchases!$B:$B,$A8,Purchases!$C:$C),0)</f>
        <v>154260</v>
      </c>
      <c r="C8" s="9">
        <f>SUM($B$8:$B$10)/3</f>
        <v>116764.33333333333</v>
      </c>
      <c r="D8" s="9">
        <f>B8-C8</f>
        <v>37495.666666666672</v>
      </c>
      <c r="E8" s="9">
        <f>IF(Summary!$B$6&gt;0, Summary!$B$6*VLOOKUP($A8,$A$3:$B$5,2,FALSE()),0)</f>
        <v>0</v>
      </c>
      <c r="F8" s="9">
        <f>D8+E8</f>
        <v>37495.666666666672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19192.326666666671</v>
      </c>
    </row>
    <row r="9" spans="1:8" ht="13.5" customHeight="1">
      <c r="A9" s="11" t="s">
        <v>50</v>
      </c>
      <c r="B9" s="11">
        <f>IFERROR(SUMIF(Purchases!$B:$B,$A9,Purchases!$C:$C),0)</f>
        <v>163433</v>
      </c>
      <c r="C9" s="11">
        <f>SUM($B$8:$B$10)/3</f>
        <v>116764.33333333333</v>
      </c>
      <c r="D9" s="11">
        <f>B9-C9</f>
        <v>46668.666666666672</v>
      </c>
      <c r="E9" s="11">
        <f>IF(Summary!$B$6&gt;0, Summary!$B$6*VLOOKUP($A9,$A$3:$B$5,2,FALSE()),0)</f>
        <v>0</v>
      </c>
      <c r="F9" s="11">
        <f>D9+E9</f>
        <v>46668.666666666672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5029.3366666666698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116764.33333333333</v>
      </c>
      <c r="D10" s="9">
        <f>B10-C10</f>
        <v>-84164.333333333328</v>
      </c>
      <c r="E10" s="9">
        <f>IF(Summary!$B$6&gt;0, Summary!$B$6*VLOOKUP($A10,$A$3:$B$5,2,FALSE()),0)</f>
        <v>0</v>
      </c>
      <c r="F10" s="9">
        <f>D10+E10</f>
        <v>-84164.333333333328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-24221.66333333333</v>
      </c>
    </row>
    <row r="12" spans="1:8" s="71" customFormat="1" ht="15.75" customHeight="1">
      <c r="A12" s="97" t="s">
        <v>796</v>
      </c>
      <c r="B12" s="97"/>
      <c r="C12" s="97"/>
      <c r="D12" s="97"/>
      <c r="E12" s="97"/>
      <c r="F12" s="97"/>
    </row>
    <row r="13" spans="1:8" s="68" customFormat="1" ht="13.5" customHeight="1">
      <c r="A13" s="67" t="s">
        <v>98</v>
      </c>
      <c r="B13" s="67" t="s">
        <v>797</v>
      </c>
      <c r="C13" s="67" t="s">
        <v>798</v>
      </c>
      <c r="D13" s="67" t="s">
        <v>799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800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800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800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800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800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800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800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800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800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800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802</v>
      </c>
    </row>
    <row r="3" spans="1:7" s="68" customFormat="1" ht="13.5" customHeight="1">
      <c r="A3" s="67" t="s">
        <v>42</v>
      </c>
      <c r="B3" s="67" t="s">
        <v>803</v>
      </c>
      <c r="C3" s="67" t="s">
        <v>788</v>
      </c>
      <c r="D3" s="67" t="s">
        <v>804</v>
      </c>
      <c r="E3" s="67" t="s">
        <v>805</v>
      </c>
      <c r="F3" s="67" t="s">
        <v>806</v>
      </c>
      <c r="G3" s="67" t="s">
        <v>807</v>
      </c>
    </row>
    <row r="4" spans="1:7" ht="13.5" customHeight="1">
      <c r="A4" s="9" t="s">
        <v>49</v>
      </c>
      <c r="B4" s="9">
        <f>IFERROR(SUMIFS(Sales!$C:$C,Sales!$E:$E,$A4,Sales!$I:$I,"Completed"),0)</f>
        <v>271719</v>
      </c>
      <c r="C4" s="9">
        <f>VLOOKUP($A4,PartnerShares!$A$3:$B$5,2,FALSE())</f>
        <v>0.33339999999999997</v>
      </c>
      <c r="D4" s="9">
        <f>Summary!$B$4*C4</f>
        <v>97575.511199999994</v>
      </c>
      <c r="E4" s="9">
        <f>B4-D4</f>
        <v>174143.48879999999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36833.462799999979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97516.977599999998</v>
      </c>
      <c r="E5" s="11">
        <f>B5-D5</f>
        <v>-89097.977599999998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-17510.935599999997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97575.511199999994</v>
      </c>
      <c r="E6" s="9">
        <f>B6-D6</f>
        <v>-85045.511199999994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-19322.527199999982</v>
      </c>
    </row>
    <row r="9" spans="1:7" ht="13.5" customHeight="1">
      <c r="A9" s="6" t="s">
        <v>0</v>
      </c>
    </row>
    <row r="10" spans="1:7" ht="13.5" customHeight="1">
      <c r="A10" s="6" t="s">
        <v>808</v>
      </c>
    </row>
    <row r="11" spans="1:7" ht="13.5" customHeight="1">
      <c r="A11" s="6" t="s">
        <v>809</v>
      </c>
    </row>
    <row r="12" spans="1:7" ht="13.5" customHeight="1">
      <c r="A12" s="6" t="s">
        <v>810</v>
      </c>
    </row>
    <row r="13" spans="1:7" ht="13.5" customHeight="1">
      <c r="A13" s="6" t="s">
        <v>811</v>
      </c>
    </row>
    <row r="14" spans="1:7" ht="13.5" customHeight="1">
      <c r="A14" s="6" t="s">
        <v>812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2026-05-05T22:12:30Z</dcterms:modified>
  <dc:language>en-US</dc:language>
</cp:coreProperties>
</file>