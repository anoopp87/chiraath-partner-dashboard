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35D40928-5299-BD44-8298-5D073C89AE0C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<sst xmlns="http://schemas.openxmlformats.org/spreadsheetml/2006/main" count="3086" uniqueCount="1211">
  <si>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</si>
  <si>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</si>
  <si>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</si>
  <si>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</si>
  <si>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</si>
  <si>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</si>
  <si>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</si>
  <si>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</si>
  <si>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</si>
  <si>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</si>
  <si>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</si>
  <si>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</si>
  <si>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</si>
  <si>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</si>
  <si>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</si>
  <si>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</si>
  <si>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</si>
  <si>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</si>
  <si>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</si>
  <si>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</si>
  <si>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</si>
  <si>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</si>
  <si>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</si>
  <si>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</si>
  <si>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</si>
  <si>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</si>
  <si>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</si>
  <si>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</si>
  <si>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</si>
  <si>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</si>
  <si>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</si>
  <si>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</si>
  <si>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</si>
  <si>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</si>
  <si>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</si>
  <si>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</si>
  <si>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</si>
  <si>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</si>
  <si>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</si>
  <si>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</si>
  <si>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</si>
  <si>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</si>
  <si>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</si>
  <si>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</si>
  <si>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</si>
  <si>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</si>
  <si>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</si>
  <si>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</si>
  <si>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</si>
  <si>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</si>
  <si>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</si>
  <si>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</si>
  <si>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</si>
  <si>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</si>
  <si>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</si>
  <si>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</si>
  <si>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</si>
  <si>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</si>
  <si>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</si>
  <si>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</si>
  <si>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</si>
  <si>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</si>
  <si>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</si>
  <si>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</si>
  <si>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</si>
  <si>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</si>
  <si>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</si>
  <si>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</si>
  <si>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</si>
  <si>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</si>
  <si>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</si>
  <si>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</si>
  <si>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</si>
  <si>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</si>
  <si>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</si>
  <si>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</si>
  <si>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</si>
  <si>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</si>
  <si>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</si>
  <si>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</si>
  <si>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</si>
  <si>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</si>
  <si>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</si>
  <si>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</si>
  <si>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</si>
  <si>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</si>
  <si>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</si>
  <si>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</si>
  <si>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</si>
  <si>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</si>
  <si>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</si>
  <si>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</si>
  <si>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</si>
  <si>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</si>
  <si>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</si>
  <si>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</si>
  <si>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</si>
  <si>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</si>
  <si>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</si>
  <si>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</si>
  <si>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</si>
  <si>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</si>
  <si>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</si>
  <si>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</si>
  <si>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</si>
  <si>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</si>
  <si>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</si>
  <si>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</si>
  <si>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</si>
  <si>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</si>
  <si>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</si>
  <si>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</si>
  <si>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</si>
  <si>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</si>
  <si>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</si>
  <si>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</si>
  <si>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</si>
  <si>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</si>
  <si>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</si>
  <si>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</si>
  <si>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</si>
  <si>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</si>
  <si>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</si>
  <si>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</si>
  <si>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</si>
  <si>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</si>
  <si>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</si>
  <si>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</si>
  <si>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</si>
  <si>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</si>
  <si>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</si>
  <si>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</si>
  <si>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</si>
  <si>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</si>
  <si>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</si>
  <si>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</si>
  <si>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</si>
  <si>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</si>
  <si>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</si>
  <si>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</si>
  <si>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</si>
  <si>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</si>
  <si>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</si>
  <si>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</si>
  <si>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</si>
  <si>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</si>
  <si>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</si>
  <si>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</si>
  <si>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</si>
  <si>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</si>
  <si>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</si>
  <si>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</si>
  <si>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</si>
  <si>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</si>
  <si>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</si>
  <si>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</si>
  <si>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</si>
  <si>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</si>
  <si>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</si>
  <si>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</si>
  <si>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</si>
  <si>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</si>
  <si>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</si>
  <si>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</si>
  <si>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</si>
  <si>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</si>
  <si>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</si>
  <si>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</si>
  <si>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</si>
  <si>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</si>
  <si>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</si>
  <si>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</si>
  <si>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</si>
  <si>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</si>
  <si>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</si>
  <si>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</si>
  <si>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</si>
  <si>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</si>
  <si>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</si>
  <si>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</si>
  <si>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</si>
  <si>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</si>
  <si>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</si>
  <si>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</si>
  <si>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</si>
  <si>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</si>
  <si>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</si>
  <si>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</si>
  <si>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</si>
  <si>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</si>
  <si>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</si>
  <si>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</si>
  <si>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</si>
  <si>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</si>
  <si>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</si>
  <si>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</si>
  <si>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</si>
  <si>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</si>
  <si>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</si>
  <si>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</si>
  <si>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</si>
  <si>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</si>
  <si>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</si>
  <si>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</si>
  <si>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</si>
  <si>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</si>
  <si>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</si>
  <si>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</si>
  <si>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</si>
  <si>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</si>
  <si>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</si>
  <si>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</si>
  <si>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</si>
  <si>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</si>
  <si>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</si>
  <si>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</si>
  <si>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</si>
  <si>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</si>
  <si>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</si>
  <si>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</si>
  <si>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</si>
  <si>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</si>
  <si>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</si>
  <si>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</si>
  <si>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</si>
  <si>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</si>
  <si>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</si>
  <si>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</si>
  <si>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</si>
  <si>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</si>
  <si>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</si>
  <si>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</si>
  <si>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</si>
  <si>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</si>
  <si>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</si>
  <si>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</si>
  <si>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</si>
  <si>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</si>
  <si>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</si>
  <si>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</si>
  <si>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</si>
  <si>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</si>
  <si>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</si>
  <si>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</si>
  <si>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</si>
  <si>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</si>
  <si>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</si>
  <si>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</si>
  <si>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</si>
  <si>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</si>
  <si>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</si>
  <si>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</si>
  <si>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</si>
  <si>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</si>
  <si>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</si>
  <si>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</si>
  <si>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</si>
  <si>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</si>
  <si>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</si>
  <si>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</si>
  <si>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</si>
  <si>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</si>
  <si>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</si>
  <si>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</si>
  <si>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</si>
  <si>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</si>
  <si>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</si>
  <si>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</si>
  <si>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</si>
  <si>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</si>
  <si>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</si>
  <si>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</si>
  <si>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</si>
  <si>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</si>
  <si>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</si>
  <si>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</si>
  <si>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</si>
  <si>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</si>
  <si>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</si>
  <si>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</si>
  <si>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</si>
  <si>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</si>
  <si>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</si>
  <si>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</si>
  <si>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</si>
  <si>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</si>
  <si>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</si>
  <si>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</si>
  <si>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</si>
  <si>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</si>
  <si>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</si>
  <si>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</si>
  <si>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</si>
  <si>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</si>
  <si>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</si>
  <si>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</si>
  <si>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</si>
  <si>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</si>
  <si>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</si>
  <si>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</si>
  <si>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</si>
  <si>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</si>
  <si>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</si>
  <si>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</si>
  <si>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</si>
  <si>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</si>
  <si>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</si>
  <si>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</si>
  <si>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</si>
  <si>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</si>
  <si>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</si>
  <si>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</si>
  <si>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</si>
  <si>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</si>
  <si>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</si>
  <si>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</si>
  <si>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</si>
  <si>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</si>
  <si>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</si>
  <si>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</si>
  <si>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</si>
  <si>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</si>
  <si>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</si>
  <si>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</si>
  <si>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</si>
  <si>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</si>
  <si>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</si>
  <si>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</si>
  <si>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</si>
  <si>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</si>
  <si>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</si>
  <si>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</si>
  <si>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</si>
  <si>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</si>
  <si>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</si>
  <si>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</si>
  <si>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</si>
  <si>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</si>
  <si>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</si>
  <si>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</si>
  <si>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</si>
  <si>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</si>
  <si>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</si>
  <si>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</si>
  <si>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</si>
  <si>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</si>
  <si>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</si>
  <si>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</si>
  <si>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</si>
  <si>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</si>
  <si>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</si>
  <si>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</si>
  <si>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</si>
  <si>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</si>
  <si>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</si>
  <si>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</si>
  <si>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</si>
  <si>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</si>
  <si>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</si>
  <si>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</si>
  <si>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</si>
  <si>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</si>
  <si>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</si>
  <si>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</si>
  <si>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</si>
  <si>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</si>
  <si>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</si>
  <si>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</si>
  <si>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</si>
  <si>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</si>
  <si>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</si>
  <si>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</si>
  <si>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</si>
  <si>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</si>
  <si>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</si>
  <si>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</si>
  <si>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</si>
  <si>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</si>
  <si>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</si>
  <si>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</si>
  <si>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</si>
  <si>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</si>
  <si>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</si>
  <si>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</si>
  <si>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</si>
  <si>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</si>
  <si>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</si>
  <si>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</si>
  <si>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</si>
  <si>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</si>
  <si>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</si>
  <si>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</si>
  <si>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</si>
  <si>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</si>
  <si>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</si>
  <si>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</si>
  <si>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</si>
  <si>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</si>
  <si>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</si>
  <si>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</si>
  <si>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</si>
  <si>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</si>
  <si>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</si>
  <si>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</si>
  <si>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</si>
  <si>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</si>
  <si>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</si>
  <si>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</si>
  <si>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</si>
  <si>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</si>
  <si>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</si>
  <si>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</si>
  <si>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</si>
  <si>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</si>
  <si>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</si>
  <si>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</si>
  <si>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</si>
  <si>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</si>
  <si>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</si>
  <si>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</si>
  <si>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</si>
  <si>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</si>
  <si>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</si>
  <si>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</si>
  <si>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</si>
  <si>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</si>
  <si>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</si>
  <si>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</si>
  <si>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</si>
  <si>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</si>
  <si>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</si>
  <si>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</si>
  <si>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</si>
  <si>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</si>
  <si>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</si>
  <si>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</si>
  <si>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</si>
  <si>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</si>
  <si>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</si>
  <si>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</si>
  <si>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</si>
  <si>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</si>
  <si>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</si>
  <si>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</si>
  <si>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</si>
  <si>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</si>
  <si>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</si>
  <si>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</si>
  <si>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</si>
  <si>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</si>
  <si>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</si>
  <si>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</si>
  <si>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</si>
  <si>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</si>
  <si>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</si>
  <si>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</si>
  <si>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</si>
  <si>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</si>
  <si>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</si>
  <si>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</si>
  <si>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</si>
  <si>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</si>
  <si>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</si>
  <si>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</si>
  <si>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</si>
  <si>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</si>
  <si>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</si>
  <si>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</si>
  <si>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</si>
  <si>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</si>
  <si>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</si>
  <si>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</si>
  <si>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</si>
  <si>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</si>
  <si>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</si>
  <si>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</si>
  <si>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</si>
  <si>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</si>
  <si>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</si>
  <si>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</si>
  <si>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</si>
  <si>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</si>
  <si>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</si>
  <si>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</si>
  <si>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</si>
  <si>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</si>
  <si>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</si>
  <si>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</si>
  <si>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</si>
  <si>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</si>
  <si>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</si>
  <si>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</si>
  <si>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</si>
  <si>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</si>
  <si>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</si>
  <si>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</si>
  <si>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</si>
  <si>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</si>
  <si>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</si>
  <si>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</si>
  <si>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</si>
  <si>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</si>
  <si>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</si>
  <si>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</si>
  <si>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</si>
  <si>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</si>
  <si>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</si>
  <si>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</si>
  <si>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</si>
  <si>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</si>
  <si>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</si>
  <si>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</si>
  <si>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</si>
  <si>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</si>
  <si>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</si>
  <si>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</si>
  <si>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</si>
  <si>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</si>
  <si>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</si>
  <si>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</si>
  <si>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</si>
  <si>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</si>
  <si>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</si>
  <si>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</si>
  <si>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</si>
  <si>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</si>
  <si>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</si>
  <si>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</si>
  <si>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</si>
  <si>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</si>
  <si>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</si>
  <si>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</si>
  <si>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</si>
  <si>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</si>
  <si>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</si>
  <si>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</si>
  <si>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</si>
  <si>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</si>
  <si>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</si>
  <si>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</si>
  <si>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</si>
  <si>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</si>
  <si>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</si>
  <si>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</si>
  <si>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</si>
  <si>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</si>
  <si>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</si>
  <si>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</si>
  <si>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</si>
  <si>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</si>
  <si>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</si>
  <si>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</si>
  <si>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</si>
  <si>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</si>
  <si>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</si>
  <si>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</si>
  <si>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</si>
  <si>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</si>
  <si>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</si>
  <si>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</si>
  <si>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</si>
  <si>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</si>
  <si>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</si>
  <si>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</si>
  <si>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</si>
  <si>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</si>
  <si>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</si>
  <si>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</si>
  <si>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</si>
  <si>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</si>
  <si>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</si>
  <si>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</si>
  <si>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</si>
  <si>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</si>
  <si>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</si>
  <si>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</si>
  <si>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</si>
  <si>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</si>
  <si>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</si>
  <si>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</si>
  <si>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</si>
  <si>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</si>
  <si>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</si>
  <si>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</si>
  <si>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</si>
  <si>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</si>
  <si>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</si>
  <si>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</si>
  <si>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</si>
  <si>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</si>
  <si>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</si>
  <si>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</si>
  <si>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</si>
  <si>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</si>
  <si>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</si>
  <si>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</si>
  <si>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</si>
  <si>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</si>
  <si>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</si>
  <si>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</si>
  <si>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</si>
  <si>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</si>
  <si>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</si>
  <si>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</si>
  <si>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</si>
  <si>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</si>
  <si>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</si>
  <si>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</si>
  <si>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</si>
  <si>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</si>
  <si>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</si>
  <si>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</si>
  <si>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</si>
  <si>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</si>
  <si>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</si>
  <si>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</si>
  <si>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</si>
  <si>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</si>
  <si>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</si>
  <si>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</si>
  <si>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</si>
  <si>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</si>
  <si>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</si>
  <si>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</si>
  <si>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</si>
  <si>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</si>
  <si>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</si>
  <si>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</si>
  <si>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</si>
  <si>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</si>
  <si>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</si>
  <si>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</si>
  <si>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</si>
  <si>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</si>
  <si>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</si>
  <si>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</si>
  <si>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</si>
  <si>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</si>
  <si>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</si>
  <si>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</si>
  <si>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</si>
  <si>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</si>
  <si>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</si>
  <si>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</si>
  <si>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</si>
  <si>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</si>
  <si>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</si>
  <si>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</si>
  <si>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</si>
  <si>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</si>
  <si>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</si>
  <si>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</si>
  <si>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</si>
  <si>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</si>
  <si>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</si>
  <si>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</si>
  <si>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</si>
  <si>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</si>
  <si>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</si>
  <si>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</si>
  <si>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</si>
  <si>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</si>
  <si>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</si>
  <si>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</si>
  <si>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</si>
  <si>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</si>
  <si>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</si>
  <si>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</si>
  <si>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</si>
  <si>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</si>
  <si>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</si>
  <si>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</si>
  <si>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</si>
  <si>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</si>
  <si>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</si>
  <si>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</si>
  <si>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</si>
  <si>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</si>
  <si>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</si>
  <si>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</si>
  <si>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</si>
  <si>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</si>
  <si>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</si>
  <si>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</si>
  <si>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</si>
  <si>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</si>
  <si>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</si>
  <si>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</si>
  <si>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</si>
  <si>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</si>
  <si>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</si>
  <si>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</si>
  <si>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</si>
  <si>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</si>
  <si>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</si>
  <si>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</si>
  <si>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</si>
  <si>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</si>
  <si>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</si>
  <si>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</si>
  <si>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</si>
  <si>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</si>
  <si>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</si>
  <si>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</si>
  <si>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</si>
  <si>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</si>
  <si>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</si>
  <si>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</si>
  <si>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</si>
  <si>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</si>
  <si>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</si>
  <si>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</si>
  <si>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</si>
  <si>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</si>
  <si>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</si>
  <si>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</si>
  <si>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</si>
  <si>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</si>
  <si>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</si>
  <si>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</si>
  <si>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</si>
  <si>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</si>
  <si>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</si>
  <si>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</si>
  <si>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</si>
  <si>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</si>
  <si>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</si>
  <si>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</si>
  <si>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</si>
  <si>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</si>
  <si>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</si>
  <si>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</si>
  <si>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</si>
  <si>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</si>
  <si>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</si>
  <si>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</si>
  <si>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</si>
  <si>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</si>
  <si>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</si>
  <si>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</si>
  <si>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</si>
  <si>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</si>
  <si>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</si>
  <si>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</si>
  <si>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</si>
  <si>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</si>
  <si>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</si>
  <si>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</si>
  <si>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</si>
  <si>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</si>
  <si>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</si>
  <si>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</si>
  <si>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</si>
  <si>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</si>
  <si>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</si>
  <si>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</si>
  <si>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</si>
  <si>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</si>
  <si>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</si>
  <si>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</si>
  <si>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</si>
  <si>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</si>
  <si>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</si>
  <si>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</si>
  <si>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</si>
  <si>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</si>
  <si>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</si>
  <si>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</si>
  <si>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</si>
  <si>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</si>
  <si>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</si>
  <si>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</si>
  <si>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</si>
  <si>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</si>
  <si>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</si>
  <si>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</si>
  <si>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</si>
  <si>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</si>
  <si>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</si>
  <si>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</si>
  <si>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</si>
  <si>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</si>
  <si>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</si>
  <si>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</si>
  <si>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</si>
  <si>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</si>
  <si>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</si>
  <si>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</si>
  <si>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</si>
  <si>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</si>
  <si>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</si>
  <si>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</si>
  <si>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</si>
  <si>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</si>
  <si>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</si>
  <si>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</si>
  <si>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</si>
  <si>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</si>
  <si>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</si>
  <si>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</si>
  <si>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</si>
  <si>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</si>
  <si>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</si>
  <si>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</si>
  <si>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</si>
  <si>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</si>
  <si>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</si>
  <si>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</si>
  <si>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</si>
  <si>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</si>
  <si>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</si>
  <si>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</si>
  <si>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</si>
  <si>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</si>
  <si>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</si>
  <si>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</si>
  <si>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</si>
  <si>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</si>
  <si>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</si>
  <si>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</si>
  <si>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</si>
  <si>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</si>
  <si>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</si>
  <si>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</si>
  <si>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</si>
  <si>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</si>
  <si>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</si>
  <si>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</si>
  <si>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</si>
  <si>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</si>
  <si>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</si>
  <si>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</si>
  <si>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</si>
  <si>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</si>
  <si>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</si>
  <si>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</si>
  <si>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</si>
  <si>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</si>
  <si>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</si>
  <si>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</si>
  <si>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</si>
  <si>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</si>
  <si>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</si>
  <si>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</si>
  <si>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</si>
  <si>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</si>
  <si>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</si>
  <si>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</si>
  <si>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</si>
  <si>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</si>
  <si>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</si>
  <si>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</si>
  <si>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</si>
  <si>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</si>
  <si>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</si>
  <si>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</si>
  <si>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</si>
  <si>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</si>
  <si>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</si>
  <si>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</si>
  <si>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</si>
  <si>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</si>
  <si>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</si>
  <si>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</si>
  <si>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</si>
  <si>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</si>
  <si>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</si>
  <si>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</si>
  <si>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</si>
  <si>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</si>
  <si>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</si>
  <si>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</si>
  <si>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</si>
  <si>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</si>
  <si>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</si>
  <si>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</si>
  <si>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</si>
  <si>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</si>
  <si>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</si>
  <si>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</si>
  <si>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</si>
  <si>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</si>
  <si>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</si>
  <si>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</si>
  <si>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</si>
  <si>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</si>
  <si>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</si>
  <si>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</si>
  <si>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</si>
  <si>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</si>
  <si>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</si>
  <si>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</si>
  <si>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</si>
  <si>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</si>
  <si>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</si>
  <si>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</si>
  <si>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</si>
  <si>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</si>
  <si>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</si>
  <si>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</si>
  <si>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</si>
  <si>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</si>
  <si>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</si>
  <si>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</si>
  <si>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</si>
  <si>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</si>
  <si>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</si>
  <si>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</si>
  <si>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</si>
  <si>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</si>
  <si>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</si>
  <si>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</si>
  <si>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</si>
  <si>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</si>
  <si>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</si>
  <si>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</si>
  <si>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</si>
  <si>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</si>
  <si>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</si>
  <si>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</si>
  <si>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</si>
  <si>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</si>
  <si>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</si>
  <si>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</si>
  <si>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</si>
  <si>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</si>
  <si>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</si>
  <si>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</si>
  <si>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</si>
  <si>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</si>
  <si>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</si>
  <si>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</si>
  <si>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</si>
  <si>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</si>
  <si>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</si>
  <si>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</si>
  <si>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</si>
  <si>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</si>
  <si>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</si>
  <si>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</si>
  <si>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</si>
  <si>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</si>
  <si>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</si>
  <si>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</si>
  <si>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</si>
  <si>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</si>
  <si>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</si>
  <si>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</si>
  <si>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</si>
  <si>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</si>
  <si>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</si>
  <si>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</si>
  <si>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</si>
  <si>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</si>
  <si>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</si>
  <si>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</si>
  <si>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</si>
  <si>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</si>
  <si>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</si>
  <si>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</si>
  <si>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</si>
  <si>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</si>
  <si>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</si>
  <si>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</si>
  <si>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</si>
  <si>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</si>
  <si>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</si>
  <si>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</si>
  <si>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</si>
  <si>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</si>
  <si>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</si>
  <si>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</si>
  <si>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</si>
  <si>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</si>
  <si>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</si>
  <si>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</si>
  <si>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</si>
  <si>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</si>
  <si>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</si>
  <si>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</si>
  <si>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</si>
  <si>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</si>
  <si>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</si>
  <si>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</si>
  <si>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</si>
  <si>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</si>
  <si>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</si>
  <si>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</si>
  <si>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</si>
  <si>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</si>
  <si>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</si>
  <si>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</si>
  <si>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</si>
  <si>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</si>
  <si>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</si>
  <si>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</si>
  <si>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</si>
  <si>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</si>
  <si>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</si>
  <si>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</si>
  <si>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</si>
  <si>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</si>
  <si>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</si>
  <si>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</si>
  <si>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</si>
  <si>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</si>
  <si>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</si>
  <si>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</si>
  <si>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</si>
  <si>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</si>
  <si>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</si>
  <si>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</si>
  <si>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</si>
  <si>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</si>
  <si>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</si>
  <si>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</si>
  <si>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</si>
  <si>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</si>
  <si>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</si>
  <si>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</si>
  <si>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</si>
  <si>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</si>
  <si>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</si>
  <si>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</si>
  <si>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</si>
  <si>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</si>
  <si>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</si>
  <si>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</si>
  <si>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</si>
  <si>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</si>
  <si>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</si>
  <si>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</si>
  <si>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</si>
  <si>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</si>
  <si>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</si>
  <si>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</si>
  <si>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</si>
  <si>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</si>
  <si>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</si>
  <si>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</si>
  <si>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</si>
  <si>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</si>
  <si>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</si>
  <si>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</si>
  <si>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</si>
  <si>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</si>
  <si>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</si>
  <si>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</si>
  <si>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</si>
  <si>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</si>
  <si>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</si>
  <si>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</si>
  <si>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</si>
  <si>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</si>
  <si>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</si>
  <si>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</si>
  <si>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</si>
  <si>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</si>
  <si>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</si>
  <si>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</si>
  <si>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</si>
  <si>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</si>
  <si>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</si>
  <si>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</si>
  <si>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</si>
  <si>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</si>
  <si>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</si>
  <si>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</si>
  <si>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</si>
  <si>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</si>
  <si>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</si>
  <si>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</si>
  <si>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</si>
  <si>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</si>
  <si>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</si>
  <si>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</si>
  <si>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Matka old design - Navy Blue/Bottle Green</t>
  </si>
  <si>
    <t>Leena - 950</t>
  </si>
  <si>
    <t>Net Kota Stairs</t>
  </si>
  <si>
    <t>Linu Goerge</t>
  </si>
  <si>
    <t>CHR-119 Black</t>
  </si>
  <si>
    <t>Sheeja S</t>
  </si>
  <si>
    <t>CHR-119 White</t>
  </si>
  <si>
    <t>SARANYA S</t>
  </si>
  <si>
    <t>CHR-119 Maroon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</si>
  <si>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</si>
  <si>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</si>
  <si>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</si>
  <si>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</si>
  <si>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</si>
  <si>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</si>
  <si>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</si>
  <si>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</si>
  <si>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</si>
  <si>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</si>
  <si>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</si>
  <si>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</si>
  <si>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</si>
  <si>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</si>
  <si>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</si>
  <si>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</si>
  <si>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</si>
  <si>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</si>
  <si>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</si>
  <si>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</si>
  <si>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</si>
  <si>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</si>
  <si>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</si>
  <si>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</si>
  <si>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</si>
  <si>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</si>
  <si>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</si>
  <si>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</si>
  <si>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Akshitha</t>
  </si>
  <si>
    <t>Bahuleyan</t>
  </si>
  <si>
    <t>Indukala - XL, Shylaja - XXL</t>
  </si>
  <si>
    <t>Indukala - L, Shylaja - XXL</t>
  </si>
  <si>
    <t>Bank of baroda customer</t>
  </si>
  <si>
    <t>CHR-188 Red/green new banarasi</t>
  </si>
  <si>
    <t>CHR-195 Purple Cotton Saree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</si>
  <si>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</si>
  <si>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</si>
  <si>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</si>
  <si>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</si>
  <si>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</si>
  <si>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</si>
  <si>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</si>
  <si>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</si>
  <si>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</si>
  <si>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Asha Sharath (Bulk Order)</t>
  </si>
  <si>
    <t>Parrot Green Banarasi bulk order advance</t>
  </si>
  <si>
    <t>Renju R S</t>
  </si>
  <si>
    <t>CHR-187 - Banarasi Silk (Golden Yellow Blue)</t>
  </si>
  <si>
    <t>CHR-76 (XXL Plus white salwar) - 1100 advance, 200 balance</t>
  </si>
  <si>
    <t>CHR-87 Red Salwar with Elephant print, CHR-58 Wine Red Salwar (1000 advance, 1350 balance)</t>
  </si>
  <si>
    <t>Renju, Jisha bank</t>
  </si>
  <si>
    <t>Urmila</t>
  </si>
  <si>
    <t>Preeha Rajeevan</t>
  </si>
  <si>
    <t>Chithra - XL, Shanu - XXL (1350)</t>
  </si>
  <si>
    <t>CHR-154 Dark Brown Salwar with mirrion work - XL</t>
  </si>
  <si>
    <t>Gokul</t>
  </si>
  <si>
    <t>CHR-201 Tusser Saree Maroon &amp; Blue</t>
  </si>
  <si>
    <t>Anjumol Canada</t>
  </si>
  <si>
    <t>Gincy Jibi</t>
  </si>
  <si>
    <t>Sheeba George, Soji Thomas, Jessy Joseph, Jeeja Anil ,Sanam, Geetha, Sushama Bhaskar, Divya Jacob, Baby Johny, Jayasree, Navya, Bindu Saji, Vanajakshi, Dison Jose, Akshitha, Bahuleyan, Urmila, Gincy Jibi, Razia Salim</t>
  </si>
  <si>
    <t>Green/maroon - Rajitha Teacher,  chikku green - Razia Salim, Rust Orange/Coffee Brown - Nishida, Chikku Maroon(1200) - Nishida, Komalavalli - Red/green, peacock blue/navy - returned, mustard/blue - girija(1200)</t>
  </si>
  <si>
    <t>Golden yellow &amp; green triangle, Red &amp; Green</t>
  </si>
  <si>
    <t>mustard/blue CHR-188</t>
  </si>
  <si>
    <t>Courier Charges</t>
  </si>
  <si>
    <t>Butter paper, courier covers etc</t>
  </si>
  <si>
    <t>Sticker</t>
  </si>
  <si>
    <t>Latha(Yellow), Sari(Peach),</t>
  </si>
  <si>
    <t>Chris (Goldern with flowers), Indu Varrier, Nalini</t>
  </si>
  <si>
    <t>CHR-205 Matka, CHR-148 Tissue</t>
  </si>
  <si>
    <t>Linen Saree with elephant print</t>
  </si>
  <si>
    <t>purple - Malini, Olive green - Latha</t>
  </si>
  <si>
    <t>Navy, rani pink, olive green(2)</t>
  </si>
  <si>
    <t>Chithra- peacok blue, Indu Varier - Green, Susmi - Maroon, Jaimy - Purple/Bottle Green, Latha - Grey</t>
  </si>
  <si>
    <t>CHR-212-Red, CHR-195-Mustard,CHR-163 -Grey Narayanpet</t>
  </si>
  <si>
    <t>120-count mulmul cotton saree</t>
  </si>
  <si>
    <t>Black with gold stripes</t>
  </si>
  <si>
    <t>Chanderi Silk Saree</t>
  </si>
  <si>
    <t>Yellow/Blue</t>
  </si>
  <si>
    <t>Butter silk saree collection</t>
  </si>
  <si>
    <t xml:space="preserve">Lime Green, Parrot Green </t>
  </si>
  <si>
    <t>Shimmer Saree Collection</t>
  </si>
  <si>
    <t>Soft Mul Tissue saree Collection</t>
  </si>
  <si>
    <t>Rust, Purple, Dark Grey, Olive Green</t>
  </si>
  <si>
    <t>Mul Tissue saree Collection</t>
  </si>
  <si>
    <t>Lekha</t>
  </si>
  <si>
    <t>CHR-201 Yellow</t>
  </si>
  <si>
    <t>Komalavalli - Blue, Anjumol canada - Blue &amp; Red, Lekha - Yellow</t>
  </si>
  <si>
    <t>Green, Pink</t>
  </si>
  <si>
    <t>Suma Soman</t>
  </si>
  <si>
    <t>CHR-146 - Green/Yellow</t>
  </si>
  <si>
    <t>Teena Mathew</t>
  </si>
  <si>
    <t>CHR-198 Semi Silk Peach</t>
  </si>
  <si>
    <t>Ancy Philip</t>
  </si>
  <si>
    <t>CHR-146 - Navy Blue/Bottle Green</t>
  </si>
  <si>
    <t>Blue/bottle green - Saranya Hyd, Blue/red - Jothika, Mustard - Vineetha, Bottle Green/Golden Yellow - Swapna (Thrissur)-1200, Black/Golden yellow - Kavya(Kasargod) - 1200, Back/Yellow - Subha - 1200, Navy Blue/Bottle Green - Latha, Suma Soman - Green/Yellow(1100), Ancy Philip - Navy Blue/Bottle Green(1250)</t>
  </si>
  <si>
    <t>Saneesh Devasia</t>
  </si>
  <si>
    <t>Sabida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</si>
  <si>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(Maroon), Saneesh (Maroon), Sabida(Maroon)</t>
  </si>
  <si>
    <t xml:space="preserve">
White(3), maroon(3)</t>
  </si>
  <si>
    <t>Ambika</t>
  </si>
  <si>
    <t>CHR-189 - Violet</t>
  </si>
  <si>
    <t>Saraladevi</t>
  </si>
  <si>
    <t>Simi Upanesh</t>
  </si>
  <si>
    <t>Sourabhya (XL - 580), Lakshmi - L</t>
  </si>
  <si>
    <t>CHR-157 2 piece cotton salwar, Banarasi golden yellow blue</t>
  </si>
  <si>
    <t>Violet - Ambika, Navy Blue - Simi Upanesh, Light Green - Saraladevi</t>
  </si>
  <si>
    <t>CHR-189 - Navy Blue</t>
  </si>
  <si>
    <t>CHR-189 - Light Green</t>
  </si>
  <si>
    <t>Banarasi Saree with Rich Gold Zari Border</t>
  </si>
  <si>
    <t>Black</t>
  </si>
  <si>
    <t>CHR-219 Brick red</t>
  </si>
  <si>
    <t>Baby khadeeja (brick red) - 1250</t>
  </si>
  <si>
    <t>Rose pink, dusty lavender, champagne, chocolate brown, magenta</t>
  </si>
  <si>
    <t>CHR-182 (Yellow Linen Saree with Lotus, CHR-217 cream/gold with stars and paisley</t>
  </si>
  <si>
    <t>Ranju Bank Staff</t>
  </si>
  <si>
    <t>Irene, Preetha Rajeevan, Gokul, Bank Staff (650)</t>
  </si>
  <si>
    <t>Bank Staff - cream/gold with stars and paisley(650)</t>
  </si>
  <si>
    <t>Cream/gold with leaves, cream/gold with flowers</t>
  </si>
  <si>
    <t xml:space="preserve"> - CHR-212 - Purple
 - CHR-215 - green and maroon with golden design
 - CHR-198 - light blue</t>
  </si>
  <si>
    <t>Teena mathew - Paeach, Shylaja - light blue</t>
  </si>
  <si>
    <t>pink, light green</t>
  </si>
  <si>
    <t>Shylaja - Green and maroon with golden design</t>
  </si>
  <si>
    <t>Green and maroon, deep purple and dark green, blue and dark green, rose pink and olive green, Red</t>
  </si>
  <si>
    <t>Latha - Red, Shylaja - Purple, Jisha - Red</t>
  </si>
  <si>
    <t>Yellow/Orange(4), Green, Blue</t>
  </si>
  <si>
    <t xml:space="preserve"> - CHR-212 - Red
 - CHR-214 - Yellow/Blue Chanderi Silk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</si>
</sst>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297</c:v>
                </c:pt>
                <c:pt idx="1">
                  <c:v>95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178</c:v>
                </c:pt>
                <c:pt idx="1">
                  <c:v>53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56434</c:v>
                </c:pt>
                <c:pt idx="1">
                  <c:v>136202.19666666666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67350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59195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-8155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397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F5" sqref="F5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521497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473464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487693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-48033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60294.32666666666</v>
      </c>
      <c r="C10" s="9"/>
    </row>
    <row r="11" spans="1:6" ht="13.5" customHeight="1">
      <c r="A11" s="11" t="s">
        <v>50</v>
      </c>
      <c r="B11" s="14">
        <f>PartnerShares!H9</f>
        <v>20995.336666666655</v>
      </c>
      <c r="C11" s="11"/>
    </row>
    <row r="12" spans="1:6" ht="13.5" customHeight="1">
      <c r="A12" s="9" t="s">
        <v>51</v>
      </c>
      <c r="B12" s="13">
        <f>PartnerShares!H10</f>
        <v>-81289.663333333345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252430</v>
      </c>
      <c r="C18" s="10">
        <f>PartnerShares!C8</f>
        <v>173832.33333333334</v>
      </c>
      <c r="D18" s="10">
        <f>PartnerShares!D8</f>
        <v>78597.666666666657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60294.32666666666</v>
      </c>
      <c r="G18" s="16" t="str">
        <f>IF(ROUND(F18,0)&gt;0,"Receive ₹"&amp;TEXT(ABS(F18),"#,##0"),IF(ROUND(F18,0)&lt;0,"Pay ₹"&amp;TEXT(ABS(F18),"#,##0"),"✓ Settled"))</f>
        <v>Receive ₹60,294</v>
      </c>
    </row>
    <row r="19" spans="1:7" ht="13.5" customHeight="1">
      <c r="A19" s="11" t="str">
        <f>PartnerShares!A9</f>
        <v>Anoop</v>
      </c>
      <c r="B19" s="12">
        <f>PartnerShares!B9</f>
        <v>236467</v>
      </c>
      <c r="C19" s="12">
        <f>PartnerShares!C9</f>
        <v>173832.33333333334</v>
      </c>
      <c r="D19" s="12">
        <f>PartnerShares!D9</f>
        <v>62634.666666666657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20995.336666666655</v>
      </c>
      <c r="G19" s="17" t="str">
        <f>IF(ROUND(F19,0)&gt;0,"Receive ₹"&amp;TEXT(ABS(F19),"#,##0"),IF(ROUND(F19,0)&lt;0,"Pay ₹"&amp;TEXT(ABS(F19),"#,##0"),"✓ Settled"))</f>
        <v>Receive ₹20,995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173832.33333333334</v>
      </c>
      <c r="D20" s="10">
        <f>PartnerShares!D10</f>
        <v>-141232.33333333334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-81289.663333333345</v>
      </c>
      <c r="G20" s="17" t="str">
        <f>IF(ROUND(F20,0)&gt;0,"Receive ₹"&amp;TEXT(ABS(F20),"#,##0"),IF(ROUND(F20,0)&lt;0,"Pay ₹"&amp;TEXT(ABS(F20),"#,##0"),"✓ Settled"))</f>
        <v>Pay ₹81,290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406310</v>
      </c>
      <c r="C26" s="10">
        <f>'Cash Pool'!D4</f>
        <v>157852.8976</v>
      </c>
      <c r="D26" s="10">
        <f>'Cash Pool'!E4</f>
        <v>248457.1024</v>
      </c>
      <c r="E26" s="10">
        <f>'Cash Pool'!F4</f>
        <v>-137310.02600000001</v>
      </c>
      <c r="F26" s="13">
        <f>'Cash Pool'!G4</f>
        <v>111147.07639999999</v>
      </c>
      <c r="G26" s="17" t="str">
        <f>IF(ROUND(F26,0)&gt;0,"Pay ₹"&amp;TEXT(ABS(F26),"#,##0"),IF(ROUND(F26,0)&lt;0,"Receive ₹"&amp;TEXT(ABS(F26),"#,##0"),"✓ Settled"))</f>
        <v>Pay ₹111,147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157758.20480000001</v>
      </c>
      <c r="D27" s="12">
        <f>'Cash Pool'!E5</f>
        <v>-103134.20480000001</v>
      </c>
      <c r="E27" s="12">
        <f>'Cash Pool'!F5</f>
        <v>71587.042000000001</v>
      </c>
      <c r="F27" s="14">
        <f>'Cash Pool'!G5</f>
        <v>-31547.162800000006</v>
      </c>
      <c r="G27" s="18" t="str">
        <f>IF(ROUND(F27,0)&gt;0,"Pay ₹"&amp;TEXT(ABS(F27),"#,##0"),IF(ROUND(F27,0)&lt;0,"Receive ₹"&amp;TEXT(ABS(F27),"#,##0"),"✓ Settled"))</f>
        <v>Receive ₹31,547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157852.8976</v>
      </c>
      <c r="D28" s="10">
        <f>'Cash Pool'!E6</f>
        <v>-145322.8976</v>
      </c>
      <c r="E28" s="10">
        <f>'Cash Pool'!F6</f>
        <v>65722.984000000011</v>
      </c>
      <c r="F28" s="13">
        <f>'Cash Pool'!G6</f>
        <v>-79599.913599999985</v>
      </c>
      <c r="G28" s="16" t="str">
        <f>IF(ROUND(F28,0)&gt;0,"Pay ₹"&amp;TEXT(ABS(F28),"#,##0"),IF(ROUND(F28,0)&lt;0,"Receive ₹"&amp;TEXT(ABS(F28),"#,##0"),"✓ Settled"))</f>
        <v>Receive ₹79,600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46231</v>
      </c>
    </row>
    <row r="5" spans="1:8" ht="15" customHeight="1">
      <c r="A5" s="19" t="s">
        <v>41</v>
      </c>
      <c r="B5" s="21">
        <f>Summary!B3</f>
        <v>521497</v>
      </c>
      <c r="D5" s="19" t="s">
        <v>69</v>
      </c>
      <c r="E5" s="21">
        <f>Summary!B4</f>
        <v>473464</v>
      </c>
    </row>
    <row r="6" spans="1:8" ht="15" customHeight="1">
      <c r="A6" s="19" t="s">
        <v>70</v>
      </c>
      <c r="B6" s="21">
        <f>Summary!B6</f>
        <v>-48033</v>
      </c>
      <c r="D6" s="19" t="s">
        <v>71</v>
      </c>
      <c r="E6" s="21">
        <f>SUMIFS(INVENTORY!K:K, INVENTORY!N:N, "&lt;&gt;Sold Out")</f>
        <v>184077.39666666667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IFERROR(SUMPRODUCT((TEXT(Sales!$A$2:$A$994,"MMM")=$A10)*(YEAR(Sales!$A$2:$A$994)=$B$7)*Sales!$C$2:$C$994),0)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397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IFERROR(SUMPRODUCT((TEXT(Sales!$A$2:$A$994,"MMM")=$A11)*(YEAR(Sales!$A$2:$A$994)=$B$7)*Sales!$C$2:$C$994),0)</f>
        <v>19089</v>
      </c>
      <c r="D11" s="27">
        <f t="shared" si="0"/>
        <v>13937</v>
      </c>
      <c r="F11" s="26" t="s">
        <v>82</v>
      </c>
      <c r="G11" s="27">
        <f>SUM(INVENTORY!G:G)</f>
        <v>39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IFERROR(SUMPRODUCT((TEXT(Sales!$A$2:$A$994,"MMM")=$A12)*(YEAR(Sales!$A$2:$A$994)=$B$7)*Sales!$C$2:$C$994),0)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IFERROR(SUMPRODUCT((TEXT(Sales!$A$2:$A$994,"MMM")=$A13)*(YEAR(Sales!$A$2:$A$994)=$B$7)*Sales!$C$2:$C$994),0)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IFERROR(SUMPRODUCT((TEXT(Sales!$A$2:$A$994,"MMM")=$A14)*(YEAR(Sales!$A$2:$A$994)=$B$7)*Sales!$C$2:$C$994),0)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IFERROR(SUMPRODUCT((TEXT(Sales!$A$2:$A$994,"MMM")=$A15)*(YEAR(Sales!$A$2:$A$994)=$B$7)*Sales!$C$2:$C$994),0)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67350</v>
      </c>
      <c r="C16" s="21">
        <f>IFERROR(SUMPRODUCT((TEXT(Sales!$A$2:$A$994,"MMM")=$A16)*(YEAR(Sales!$A$2:$A$994)=$B$7)*Sales!$C$2:$C$994),0)</f>
        <v>59195</v>
      </c>
      <c r="D16" s="21">
        <f t="shared" si="0"/>
        <v>-8155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IFERROR(SUMPRODUCT((TEXT(Sales!$A$2:$A$994,"MMM")=$A17)*(YEAR(Sales!$A$2:$A$994)=$B$7)*Sales!$C$2:$C$994),0)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IFERROR(SUMPRODUCT((TEXT(Sales!$A$2:$A$994,"MMM")=$A18)*(YEAR(Sales!$A$2:$A$994)=$B$7)*Sales!$C$2:$C$994),0)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IFERROR(SUMPRODUCT((TEXT(Sales!$A$2:$A$994,"MMM")=$A19)*(YEAR(Sales!$A$2:$A$994)=$B$7)*Sales!$C$2:$C$994),0)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IFERROR(SUMPRODUCT((TEXT(Sales!$A$2:$A$994,"MMM")=$A20)*(YEAR(Sales!$A$2:$A$994)=$B$7)*Sales!$C$2:$C$994),0)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IFERROR(SUMPRODUCT((TEXT(Sales!$A$2:$A$994,"MMM")=$A21)*(YEAR(Sales!$A$2:$A$994)=$B$7)*Sales!$C$2:$C$994),0)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297</v>
      </c>
      <c r="H47" s="30">
        <f>SUMIF(INVENTORY!C:C, F47, INVENTORY!G:G)</f>
        <v>178</v>
      </c>
      <c r="J47" s="30" t="s">
        <v>96</v>
      </c>
      <c r="K47" s="31">
        <f t="array" ref="K47">SUMPRODUCT((INVENTORY!$C$2:$C$477=J47)*(INVENTORY!$D$2:$D$477)*(INVENTORY!$G$2:$G$477))</f>
        <v>56434</v>
      </c>
    </row>
    <row r="48" spans="6:11" ht="15" customHeight="1">
      <c r="F48" s="29" t="s">
        <v>96</v>
      </c>
      <c r="G48" s="30">
        <f>SUMIF(INVENTORY!C:C, F48, INVENTORY!F:F)</f>
        <v>95</v>
      </c>
      <c r="H48" s="30">
        <f>SUMIF(INVENTORY!C:C, F48, INVENTORY!G:G)</f>
        <v>53</v>
      </c>
      <c r="J48" s="30" t="s">
        <v>95</v>
      </c>
      <c r="K48" s="31">
        <f t="array" ref="K48">SUMPRODUCT((INVENTORY!$C$2:$C$477=J48)*(INVENTORY!$D$2:$D$477)*(INVENTORY!$G$2:$G$477))</f>
        <v>136202.19666666666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9" activePane="bottomLeft" state="frozen"/>
      <selection pane="bottomLeft" activeCell="D104" sqref="D104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1107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>
        <v>46212</v>
      </c>
      <c r="B94" s="36" t="s">
        <v>50</v>
      </c>
      <c r="C94" s="37">
        <v>28130</v>
      </c>
      <c r="D94" s="36" t="s">
        <v>118</v>
      </c>
    </row>
    <row r="95" spans="1:4" ht="15" customHeight="1">
      <c r="A95" s="38">
        <v>46216</v>
      </c>
      <c r="B95" s="39" t="s">
        <v>49</v>
      </c>
      <c r="C95" s="40">
        <v>5954</v>
      </c>
      <c r="D95" s="39" t="s">
        <v>118</v>
      </c>
    </row>
    <row r="96" spans="1:4" ht="15" customHeight="1">
      <c r="A96" s="35">
        <v>46217</v>
      </c>
      <c r="B96" s="36" t="s">
        <v>49</v>
      </c>
      <c r="C96" s="37">
        <v>70</v>
      </c>
      <c r="D96" s="36" t="s">
        <v>1148</v>
      </c>
    </row>
    <row r="97" spans="1:4" ht="15" customHeight="1">
      <c r="A97" s="38">
        <v>46218</v>
      </c>
      <c r="B97" s="39" t="s">
        <v>49</v>
      </c>
      <c r="C97" s="40">
        <v>1375</v>
      </c>
      <c r="D97" s="39" t="s">
        <v>1149</v>
      </c>
    </row>
    <row r="98" spans="1:4" ht="15" customHeight="1">
      <c r="A98" s="35">
        <v>46219</v>
      </c>
      <c r="B98" s="36" t="s">
        <v>49</v>
      </c>
      <c r="C98" s="37">
        <v>189</v>
      </c>
      <c r="D98" s="36" t="s">
        <v>1150</v>
      </c>
    </row>
    <row r="99" spans="1:4" ht="15" customHeight="1">
      <c r="A99" s="38">
        <v>46220</v>
      </c>
      <c r="B99" s="39" t="s">
        <v>49</v>
      </c>
      <c r="C99" s="40">
        <v>186</v>
      </c>
      <c r="D99" s="39" t="s">
        <v>119</v>
      </c>
    </row>
    <row r="100" spans="1:4" ht="15" customHeight="1">
      <c r="A100" s="35">
        <v>46223</v>
      </c>
      <c r="B100" s="36" t="s">
        <v>49</v>
      </c>
      <c r="C100" s="37">
        <v>42</v>
      </c>
      <c r="D100" s="36" t="s">
        <v>138</v>
      </c>
    </row>
    <row r="101" spans="1:4" ht="15" customHeight="1">
      <c r="A101" s="38">
        <v>46223</v>
      </c>
      <c r="B101" s="39" t="s">
        <v>49</v>
      </c>
      <c r="C101" s="40">
        <v>188</v>
      </c>
      <c r="D101" s="39" t="s">
        <v>138</v>
      </c>
    </row>
    <row r="102" spans="1:4" ht="15" customHeight="1">
      <c r="A102" s="35">
        <v>46225</v>
      </c>
      <c r="B102" s="36" t="s">
        <v>49</v>
      </c>
      <c r="C102" s="37">
        <v>142</v>
      </c>
      <c r="D102" s="36" t="s">
        <v>119</v>
      </c>
    </row>
    <row r="103" spans="1:4" ht="15" customHeight="1">
      <c r="A103" s="38">
        <v>46228</v>
      </c>
      <c r="B103" s="39" t="s">
        <v>49</v>
      </c>
      <c r="C103" s="40">
        <v>2130</v>
      </c>
      <c r="D103" s="39" t="s">
        <v>118</v>
      </c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9"/>
  <sheetViews>
    <sheetView zoomScale="130" zoomScaleNormal="130" workbookViewId="0">
      <pane ySplit="1" topLeftCell="A283" activePane="bottomLeft" state="frozen"/>
      <selection pane="bottomLeft" activeCell="E293" sqref="E293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1092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 t="s">
        <v>162</v>
      </c>
      <c r="E249" s="53" t="s">
        <v>49</v>
      </c>
      <c r="F249" s="56"/>
      <c r="G249" s="56"/>
      <c r="H249" s="57" t="s">
        <v>1076</v>
      </c>
      <c r="I249" s="53" t="s">
        <v>148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1078</v>
      </c>
      <c r="I250" s="49" t="s">
        <v>356</v>
      </c>
    </row>
    <row r="251" spans="1:9" ht="14">
      <c r="A251" s="52">
        <v>46201</v>
      </c>
      <c r="B251" s="53" t="s">
        <v>1093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1079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1080</v>
      </c>
      <c r="I252" s="49" t="s">
        <v>148</v>
      </c>
    </row>
    <row r="253" spans="1:9" ht="14">
      <c r="A253" s="52">
        <v>46201</v>
      </c>
      <c r="B253" s="53" t="s">
        <v>1081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1082</v>
      </c>
      <c r="I253" s="53" t="s">
        <v>148</v>
      </c>
    </row>
    <row r="254" spans="1:9" ht="14">
      <c r="A254" s="48">
        <v>46201</v>
      </c>
      <c r="B254" s="49" t="s">
        <v>1083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1084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1085</v>
      </c>
      <c r="I255" s="53" t="s">
        <v>148</v>
      </c>
    </row>
    <row r="256" spans="1:9" ht="14">
      <c r="A256" s="48">
        <v>46203</v>
      </c>
      <c r="B256" s="49" t="s">
        <v>1094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1095</v>
      </c>
      <c r="I256" s="49" t="s">
        <v>148</v>
      </c>
    </row>
    <row r="257" spans="1:9" ht="14">
      <c r="A257" s="52">
        <v>46204</v>
      </c>
      <c r="B257" s="53" t="s">
        <v>1098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1099</v>
      </c>
      <c r="I257" s="53" t="s">
        <v>148</v>
      </c>
    </row>
    <row r="258" spans="1:9" ht="14">
      <c r="A258" s="48">
        <v>46205</v>
      </c>
      <c r="B258" s="49" t="s">
        <v>1100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1101</v>
      </c>
      <c r="I258" s="49" t="s">
        <v>148</v>
      </c>
    </row>
    <row r="259" spans="1:9" ht="14">
      <c r="A259" s="52">
        <v>46205</v>
      </c>
      <c r="B259" s="53" t="s">
        <v>1100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1104</v>
      </c>
      <c r="I259" s="53" t="s">
        <v>148</v>
      </c>
    </row>
    <row r="260" spans="1:9" ht="14">
      <c r="A260" s="48">
        <v>46205</v>
      </c>
      <c r="B260" s="49" t="s">
        <v>1106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1105</v>
      </c>
      <c r="I260" s="49" t="s">
        <v>148</v>
      </c>
    </row>
    <row r="261" spans="1:9" ht="14">
      <c r="A261" s="52">
        <v>46205</v>
      </c>
      <c r="B261" s="53" t="s">
        <v>1109</v>
      </c>
      <c r="C261" s="54">
        <v>2600</v>
      </c>
      <c r="D261" s="53" t="s">
        <v>162</v>
      </c>
      <c r="E261" s="53" t="s">
        <v>49</v>
      </c>
      <c r="F261" s="56"/>
      <c r="G261" s="56"/>
      <c r="H261" s="57" t="s">
        <v>1189</v>
      </c>
      <c r="I261" s="53" t="s">
        <v>148</v>
      </c>
    </row>
    <row r="262" spans="1:9" ht="14">
      <c r="A262" s="48">
        <v>46206</v>
      </c>
      <c r="B262" s="49" t="s">
        <v>1113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1114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1125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1126</v>
      </c>
      <c r="I264" s="49" t="s">
        <v>356</v>
      </c>
    </row>
    <row r="265" spans="1:9" ht="14">
      <c r="A265" s="52">
        <v>46206</v>
      </c>
      <c r="B265" s="53" t="s">
        <v>1117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1133</v>
      </c>
      <c r="I265" s="53" t="s">
        <v>356</v>
      </c>
    </row>
    <row r="266" spans="1:9" ht="14">
      <c r="A266" s="48">
        <v>46206</v>
      </c>
      <c r="B266" s="49" t="s">
        <v>1106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1118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1119</v>
      </c>
      <c r="I267" s="53" t="s">
        <v>148</v>
      </c>
    </row>
    <row r="268" spans="1:9" ht="28">
      <c r="A268" s="48">
        <v>46208</v>
      </c>
      <c r="B268" s="49" t="s">
        <v>1124</v>
      </c>
      <c r="C268" s="50">
        <v>2350</v>
      </c>
      <c r="D268" s="49"/>
      <c r="E268" s="49"/>
      <c r="F268" s="49"/>
      <c r="G268" s="49"/>
      <c r="H268" s="51" t="s">
        <v>1134</v>
      </c>
      <c r="I268" s="49" t="s">
        <v>356</v>
      </c>
    </row>
    <row r="269" spans="1:9" ht="14">
      <c r="A269" s="52">
        <v>46209</v>
      </c>
      <c r="B269" s="53" t="s">
        <v>1122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1123</v>
      </c>
      <c r="I269" s="53" t="s">
        <v>148</v>
      </c>
    </row>
    <row r="270" spans="1:9" ht="14">
      <c r="A270" s="48">
        <v>46210</v>
      </c>
      <c r="B270" s="49" t="s">
        <v>1129</v>
      </c>
      <c r="C270" s="50">
        <v>3200</v>
      </c>
      <c r="D270" s="49" t="s">
        <v>162</v>
      </c>
      <c r="E270" s="49" t="s">
        <v>49</v>
      </c>
      <c r="F270" s="49"/>
      <c r="G270" s="49"/>
      <c r="H270" s="51" t="s">
        <v>1130</v>
      </c>
      <c r="I270" s="49" t="s">
        <v>148</v>
      </c>
    </row>
    <row r="271" spans="1:9" ht="14">
      <c r="A271" s="52">
        <v>46211</v>
      </c>
      <c r="B271" s="53" t="s">
        <v>1131</v>
      </c>
      <c r="C271" s="54">
        <v>1380</v>
      </c>
      <c r="D271" s="53" t="s">
        <v>162</v>
      </c>
      <c r="E271" s="53" t="s">
        <v>49</v>
      </c>
      <c r="F271" s="56"/>
      <c r="G271" s="56"/>
      <c r="H271" s="57" t="s">
        <v>1132</v>
      </c>
      <c r="I271" s="53" t="s">
        <v>148</v>
      </c>
    </row>
    <row r="272" spans="1:9" ht="14">
      <c r="A272" s="48">
        <v>46215</v>
      </c>
      <c r="B272" s="49" t="s">
        <v>1136</v>
      </c>
      <c r="C272" s="50">
        <v>1380</v>
      </c>
      <c r="D272" s="49" t="s">
        <v>162</v>
      </c>
      <c r="E272" s="49" t="s">
        <v>49</v>
      </c>
      <c r="F272" s="49"/>
      <c r="G272" s="49"/>
      <c r="H272" s="51" t="s">
        <v>366</v>
      </c>
      <c r="I272" s="49" t="s">
        <v>148</v>
      </c>
    </row>
    <row r="273" spans="1:9" ht="14">
      <c r="A273" s="52">
        <v>46215</v>
      </c>
      <c r="B273" s="53" t="s">
        <v>1137</v>
      </c>
      <c r="C273" s="54">
        <v>699</v>
      </c>
      <c r="D273" s="53" t="s">
        <v>162</v>
      </c>
      <c r="E273" s="53" t="s">
        <v>49</v>
      </c>
      <c r="F273" s="56"/>
      <c r="G273" s="56"/>
      <c r="H273" s="57" t="s">
        <v>1099</v>
      </c>
      <c r="I273" s="53" t="s">
        <v>148</v>
      </c>
    </row>
    <row r="274" spans="1:9" ht="14">
      <c r="A274" s="48">
        <v>46215</v>
      </c>
      <c r="B274" s="49" t="s">
        <v>197</v>
      </c>
      <c r="C274" s="50">
        <v>1350</v>
      </c>
      <c r="D274" s="49" t="s">
        <v>162</v>
      </c>
      <c r="E274" s="49" t="s">
        <v>49</v>
      </c>
      <c r="F274" s="49"/>
      <c r="G274" s="49"/>
      <c r="H274" s="51" t="s">
        <v>1139</v>
      </c>
      <c r="I274" s="49" t="s">
        <v>148</v>
      </c>
    </row>
    <row r="275" spans="1:9" ht="14">
      <c r="A275" s="52">
        <v>46216</v>
      </c>
      <c r="B275" s="53" t="s">
        <v>1140</v>
      </c>
      <c r="C275" s="54">
        <v>699</v>
      </c>
      <c r="D275" s="53" t="s">
        <v>162</v>
      </c>
      <c r="E275" s="53" t="s">
        <v>49</v>
      </c>
      <c r="F275" s="56"/>
      <c r="G275" s="56"/>
      <c r="H275" s="57" t="s">
        <v>1099</v>
      </c>
      <c r="I275" s="53" t="s">
        <v>148</v>
      </c>
    </row>
    <row r="276" spans="1:9" ht="14">
      <c r="A276" s="48">
        <v>46216</v>
      </c>
      <c r="B276" s="49" t="s">
        <v>1142</v>
      </c>
      <c r="C276" s="50">
        <v>3000</v>
      </c>
      <c r="D276" s="49" t="s">
        <v>162</v>
      </c>
      <c r="E276" s="49" t="s">
        <v>49</v>
      </c>
      <c r="F276" s="49"/>
      <c r="G276" s="49"/>
      <c r="H276" s="51" t="s">
        <v>1141</v>
      </c>
      <c r="I276" s="49" t="s">
        <v>148</v>
      </c>
    </row>
    <row r="277" spans="1:9" ht="14">
      <c r="A277" s="52">
        <v>46219</v>
      </c>
      <c r="B277" s="53" t="s">
        <v>1143</v>
      </c>
      <c r="C277" s="54">
        <v>1380</v>
      </c>
      <c r="D277" s="53" t="s">
        <v>162</v>
      </c>
      <c r="E277" s="53" t="s">
        <v>49</v>
      </c>
      <c r="F277" s="56"/>
      <c r="G277" s="56"/>
      <c r="H277" s="57" t="s">
        <v>366</v>
      </c>
      <c r="I277" s="53" t="s">
        <v>148</v>
      </c>
    </row>
    <row r="278" spans="1:9" ht="14">
      <c r="A278" s="48">
        <v>46219</v>
      </c>
      <c r="B278" s="49" t="s">
        <v>482</v>
      </c>
      <c r="C278" s="50">
        <v>1380</v>
      </c>
      <c r="D278" s="49" t="s">
        <v>162</v>
      </c>
      <c r="E278" s="49" t="s">
        <v>49</v>
      </c>
      <c r="F278" s="49"/>
      <c r="G278" s="49"/>
      <c r="H278" s="51" t="s">
        <v>366</v>
      </c>
      <c r="I278" s="49" t="s">
        <v>148</v>
      </c>
    </row>
    <row r="279" spans="1:9" ht="14">
      <c r="A279" s="52">
        <v>46219</v>
      </c>
      <c r="B279" s="53" t="s">
        <v>224</v>
      </c>
      <c r="C279" s="54">
        <v>1200</v>
      </c>
      <c r="D279" s="53" t="s">
        <v>162</v>
      </c>
      <c r="E279" s="53" t="s">
        <v>49</v>
      </c>
      <c r="F279" s="56"/>
      <c r="G279" s="56"/>
      <c r="H279" s="57" t="s">
        <v>1147</v>
      </c>
      <c r="I279" s="53" t="s">
        <v>148</v>
      </c>
    </row>
    <row r="280" spans="1:9" ht="14">
      <c r="A280" s="48">
        <v>46219</v>
      </c>
      <c r="B280" s="49" t="s">
        <v>220</v>
      </c>
      <c r="C280" s="50">
        <v>2500</v>
      </c>
      <c r="D280" s="49" t="s">
        <v>162</v>
      </c>
      <c r="E280" s="49" t="s">
        <v>49</v>
      </c>
      <c r="F280" s="49"/>
      <c r="G280" s="49"/>
      <c r="H280" s="51" t="s">
        <v>1153</v>
      </c>
      <c r="I280" s="49" t="s">
        <v>148</v>
      </c>
    </row>
    <row r="281" spans="1:9" ht="14">
      <c r="A281" s="52">
        <v>46219</v>
      </c>
      <c r="B281" s="53" t="s">
        <v>153</v>
      </c>
      <c r="C281" s="54">
        <v>3200</v>
      </c>
      <c r="D281" s="53" t="s">
        <v>162</v>
      </c>
      <c r="E281" s="53" t="s">
        <v>49</v>
      </c>
      <c r="F281" s="56"/>
      <c r="G281" s="56"/>
      <c r="H281" s="57" t="s">
        <v>1158</v>
      </c>
      <c r="I281" s="53" t="s">
        <v>148</v>
      </c>
    </row>
    <row r="282" spans="1:9" ht="14">
      <c r="A282" s="48">
        <v>46220</v>
      </c>
      <c r="B282" s="49" t="s">
        <v>1169</v>
      </c>
      <c r="C282" s="50">
        <v>1500</v>
      </c>
      <c r="D282" s="49" t="s">
        <v>162</v>
      </c>
      <c r="E282" s="49" t="s">
        <v>49</v>
      </c>
      <c r="F282" s="49"/>
      <c r="G282" s="49"/>
      <c r="H282" s="51" t="s">
        <v>1170</v>
      </c>
      <c r="I282" s="49" t="s">
        <v>148</v>
      </c>
    </row>
    <row r="283" spans="1:9" ht="14">
      <c r="A283" s="52">
        <v>46221</v>
      </c>
      <c r="B283" s="53" t="s">
        <v>1173</v>
      </c>
      <c r="C283" s="54">
        <v>1100</v>
      </c>
      <c r="D283" s="53" t="s">
        <v>162</v>
      </c>
      <c r="E283" s="53" t="s">
        <v>49</v>
      </c>
      <c r="F283" s="56"/>
      <c r="G283" s="56"/>
      <c r="H283" s="57" t="s">
        <v>1174</v>
      </c>
      <c r="I283" s="53" t="s">
        <v>148</v>
      </c>
    </row>
    <row r="284" spans="1:9" ht="14">
      <c r="A284" s="48">
        <v>46222</v>
      </c>
      <c r="B284" s="49" t="s">
        <v>1175</v>
      </c>
      <c r="C284" s="50">
        <v>850</v>
      </c>
      <c r="D284" s="49" t="s">
        <v>162</v>
      </c>
      <c r="E284" s="49" t="s">
        <v>49</v>
      </c>
      <c r="F284" s="49"/>
      <c r="G284" s="49"/>
      <c r="H284" s="51" t="s">
        <v>1176</v>
      </c>
      <c r="I284" s="49" t="s">
        <v>148</v>
      </c>
    </row>
    <row r="285" spans="1:9" ht="14">
      <c r="A285" s="52">
        <v>46222</v>
      </c>
      <c r="B285" s="53" t="s">
        <v>1177</v>
      </c>
      <c r="C285" s="54">
        <v>1250</v>
      </c>
      <c r="D285" s="53" t="s">
        <v>162</v>
      </c>
      <c r="E285" s="53" t="s">
        <v>49</v>
      </c>
      <c r="F285" s="56"/>
      <c r="G285" s="56"/>
      <c r="H285" s="57" t="s">
        <v>1178</v>
      </c>
      <c r="I285" s="53" t="s">
        <v>148</v>
      </c>
    </row>
    <row r="286" spans="1:9" ht="14">
      <c r="A286" s="48">
        <v>46222</v>
      </c>
      <c r="B286" s="49" t="s">
        <v>1180</v>
      </c>
      <c r="C286" s="50">
        <v>700</v>
      </c>
      <c r="D286" s="49" t="s">
        <v>162</v>
      </c>
      <c r="E286" s="49" t="s">
        <v>49</v>
      </c>
      <c r="F286" s="49"/>
      <c r="G286" s="49"/>
      <c r="H286" s="51" t="s">
        <v>395</v>
      </c>
      <c r="I286" s="49" t="s">
        <v>148</v>
      </c>
    </row>
    <row r="287" spans="1:9" ht="14">
      <c r="A287" s="52">
        <v>46222</v>
      </c>
      <c r="B287" s="53" t="s">
        <v>1181</v>
      </c>
      <c r="C287" s="54">
        <v>699</v>
      </c>
      <c r="D287" s="53" t="s">
        <v>162</v>
      </c>
      <c r="E287" s="53" t="s">
        <v>49</v>
      </c>
      <c r="F287" s="56"/>
      <c r="G287" s="56"/>
      <c r="H287" s="57" t="s">
        <v>395</v>
      </c>
      <c r="I287" s="53" t="s">
        <v>148</v>
      </c>
    </row>
    <row r="288" spans="1:9" ht="14">
      <c r="A288" s="48">
        <v>46223</v>
      </c>
      <c r="B288" s="49" t="s">
        <v>1184</v>
      </c>
      <c r="C288" s="50">
        <v>1380</v>
      </c>
      <c r="D288" s="49" t="s">
        <v>162</v>
      </c>
      <c r="E288" s="49" t="s">
        <v>49</v>
      </c>
      <c r="F288" s="49"/>
      <c r="G288" s="49"/>
      <c r="H288" s="51" t="s">
        <v>1185</v>
      </c>
      <c r="I288" s="49" t="s">
        <v>148</v>
      </c>
    </row>
    <row r="289" spans="1:9" ht="14">
      <c r="A289" s="52">
        <v>46224</v>
      </c>
      <c r="B289" s="53" t="s">
        <v>1187</v>
      </c>
      <c r="C289" s="54">
        <v>1380</v>
      </c>
      <c r="D289" s="53" t="s">
        <v>162</v>
      </c>
      <c r="E289" s="53" t="s">
        <v>49</v>
      </c>
      <c r="F289" s="56"/>
      <c r="G289" s="56"/>
      <c r="H289" s="57" t="s">
        <v>1191</v>
      </c>
      <c r="I289" s="53" t="s">
        <v>148</v>
      </c>
    </row>
    <row r="290" spans="1:9" ht="14">
      <c r="A290" s="48">
        <v>46224</v>
      </c>
      <c r="B290" s="49" t="s">
        <v>1186</v>
      </c>
      <c r="C290" s="50">
        <v>1380</v>
      </c>
      <c r="D290" s="49" t="s">
        <v>162</v>
      </c>
      <c r="E290" s="49" t="s">
        <v>49</v>
      </c>
      <c r="F290" s="49"/>
      <c r="G290" s="49"/>
      <c r="H290" s="51" t="s">
        <v>1192</v>
      </c>
      <c r="I290" s="49" t="s">
        <v>148</v>
      </c>
    </row>
    <row r="291" spans="1:9" ht="14">
      <c r="A291" s="48">
        <v>46228</v>
      </c>
      <c r="B291" s="49" t="s">
        <v>186</v>
      </c>
      <c r="C291" s="50">
        <v>1250</v>
      </c>
      <c r="D291" s="49" t="s">
        <v>162</v>
      </c>
      <c r="E291" s="49" t="s">
        <v>49</v>
      </c>
      <c r="F291" s="49"/>
      <c r="G291" s="49"/>
      <c r="H291" s="51" t="s">
        <v>1195</v>
      </c>
      <c r="I291" s="49" t="s">
        <v>148</v>
      </c>
    </row>
    <row r="292" spans="1:9" ht="28">
      <c r="A292" s="52">
        <v>46229</v>
      </c>
      <c r="B292" s="53" t="s">
        <v>1199</v>
      </c>
      <c r="C292" s="54">
        <v>1300</v>
      </c>
      <c r="D292" s="53"/>
      <c r="E292" s="53"/>
      <c r="F292" s="56"/>
      <c r="G292" s="56"/>
      <c r="H292" s="57" t="s">
        <v>1198</v>
      </c>
      <c r="I292" s="53" t="s">
        <v>356</v>
      </c>
    </row>
    <row r="293" spans="1:9" ht="42">
      <c r="A293" s="48">
        <v>46229</v>
      </c>
      <c r="B293" s="49" t="s">
        <v>293</v>
      </c>
      <c r="C293" s="50">
        <v>2599</v>
      </c>
      <c r="D293" s="49"/>
      <c r="E293" s="49"/>
      <c r="F293" s="49"/>
      <c r="G293" s="49"/>
      <c r="H293" s="51" t="s">
        <v>1203</v>
      </c>
      <c r="I293" s="49" t="s">
        <v>356</v>
      </c>
    </row>
    <row r="294" spans="1:9" ht="28">
      <c r="A294" s="52">
        <v>46229</v>
      </c>
      <c r="B294" s="53" t="s">
        <v>1109</v>
      </c>
      <c r="C294" s="54">
        <v>2300</v>
      </c>
      <c r="D294" s="53"/>
      <c r="E294" s="53"/>
      <c r="F294" s="56"/>
      <c r="G294" s="56"/>
      <c r="H294" s="57" t="s">
        <v>1210</v>
      </c>
      <c r="I294" s="53" t="s">
        <v>356</v>
      </c>
    </row>
    <row r="295" spans="1:9">
      <c r="A295" s="48"/>
      <c r="B295" s="49"/>
      <c r="C295" s="50"/>
      <c r="D295" s="49"/>
      <c r="E295" s="49"/>
      <c r="F295" s="49"/>
      <c r="G295" s="49"/>
      <c r="H295" s="51"/>
      <c r="I295" s="49"/>
    </row>
    <row r="296" spans="1:9">
      <c r="A296" s="52"/>
      <c r="B296" s="53"/>
      <c r="C296" s="54"/>
      <c r="D296" s="53"/>
      <c r="E296" s="53"/>
      <c r="F296" s="56"/>
      <c r="G296" s="56"/>
      <c r="H296" s="57"/>
      <c r="I296" s="53"/>
    </row>
    <row r="297" spans="1:9">
      <c r="A297" s="48"/>
      <c r="B297" s="49"/>
      <c r="C297" s="50"/>
      <c r="D297" s="49"/>
      <c r="E297" s="49"/>
      <c r="F297" s="49"/>
      <c r="G297" s="49"/>
      <c r="H297" s="51"/>
      <c r="I297" s="49"/>
    </row>
    <row r="298" spans="1:9">
      <c r="A298" s="52"/>
      <c r="B298" s="53"/>
      <c r="C298" s="54"/>
      <c r="D298" s="53"/>
      <c r="E298" s="53"/>
      <c r="F298" s="56"/>
      <c r="G298" s="56"/>
      <c r="H298" s="57"/>
      <c r="I298" s="53"/>
    </row>
    <row r="299" spans="1:9">
      <c r="A299" s="48"/>
      <c r="B299" s="49"/>
      <c r="C299" s="50"/>
      <c r="D299" s="49"/>
      <c r="E299" s="49"/>
      <c r="F299" s="49"/>
      <c r="G299" s="49"/>
      <c r="H299" s="51"/>
      <c r="I299" s="49"/>
    </row>
    <row r="300" spans="1:9">
      <c r="A300" s="52"/>
      <c r="B300" s="53"/>
      <c r="C300" s="54"/>
      <c r="D300" s="53"/>
      <c r="E300" s="53"/>
      <c r="F300" s="56"/>
      <c r="G300" s="56"/>
      <c r="H300" s="57"/>
      <c r="I300" s="53"/>
    </row>
    <row r="301" spans="1:9">
      <c r="A301" s="48"/>
      <c r="B301" s="49"/>
      <c r="C301" s="50"/>
      <c r="D301" s="49"/>
      <c r="E301" s="49"/>
      <c r="F301" s="49"/>
      <c r="G301" s="49"/>
      <c r="H301" s="51"/>
      <c r="I301" s="49"/>
    </row>
    <row r="302" spans="1:9">
      <c r="A302" s="52"/>
      <c r="B302" s="53"/>
      <c r="C302" s="54"/>
      <c r="D302" s="53"/>
      <c r="E302" s="53"/>
      <c r="F302" s="56"/>
      <c r="G302" s="56"/>
      <c r="H302" s="57"/>
      <c r="I302" s="53"/>
    </row>
    <row r="303" spans="1:9">
      <c r="A303" s="48"/>
      <c r="B303" s="49"/>
      <c r="C303" s="50"/>
      <c r="D303" s="49"/>
      <c r="E303" s="49"/>
      <c r="F303" s="49"/>
      <c r="G303" s="49"/>
      <c r="H303" s="51"/>
      <c r="I303" s="49"/>
    </row>
    <row r="304" spans="1:9">
      <c r="A304" s="52"/>
      <c r="B304" s="53"/>
      <c r="C304" s="54"/>
      <c r="D304" s="53"/>
      <c r="E304" s="53"/>
      <c r="F304" s="56"/>
      <c r="G304" s="56"/>
      <c r="H304" s="57"/>
      <c r="I304" s="53"/>
    </row>
    <row r="305" spans="1:9">
      <c r="A305" s="48"/>
      <c r="B305" s="49"/>
      <c r="C305" s="50"/>
      <c r="D305" s="49"/>
      <c r="E305" s="49"/>
      <c r="F305" s="49"/>
      <c r="G305" s="49"/>
      <c r="H305" s="51"/>
      <c r="I305" s="49"/>
    </row>
    <row r="306" spans="1:9">
      <c r="A306" s="52"/>
      <c r="B306" s="53"/>
      <c r="C306" s="54"/>
      <c r="D306" s="53"/>
      <c r="E306" s="53"/>
      <c r="F306" s="56"/>
      <c r="G306" s="56"/>
      <c r="H306" s="57"/>
      <c r="I306" s="53"/>
    </row>
    <row r="307" spans="1:9">
      <c r="A307" s="48"/>
      <c r="B307" s="49"/>
      <c r="C307" s="50"/>
      <c r="D307" s="49"/>
      <c r="E307" s="49"/>
      <c r="F307" s="49"/>
      <c r="G307" s="49"/>
      <c r="H307" s="51"/>
      <c r="I307" s="49"/>
    </row>
    <row r="308" spans="1:9">
      <c r="A308" s="52"/>
      <c r="B308" s="53"/>
      <c r="C308" s="54"/>
      <c r="D308" s="53"/>
      <c r="E308" s="53"/>
      <c r="F308" s="56"/>
      <c r="G308" s="56"/>
      <c r="H308" s="57"/>
      <c r="I308" s="53"/>
    </row>
    <row r="309" spans="1:9">
      <c r="A309" s="48"/>
      <c r="B309" s="49"/>
      <c r="C309" s="50"/>
      <c r="D309" s="49"/>
      <c r="E309" s="49"/>
      <c r="F309" s="49"/>
      <c r="G309" s="49"/>
      <c r="H309" s="51"/>
      <c r="I309" s="49"/>
    </row>
    <row r="310" spans="1:9">
      <c r="A310" s="52"/>
      <c r="B310" s="53"/>
      <c r="C310" s="54"/>
      <c r="D310" s="53"/>
      <c r="E310" s="53"/>
      <c r="F310" s="56"/>
      <c r="G310" s="56"/>
      <c r="H310" s="57"/>
      <c r="I310" s="53"/>
    </row>
    <row r="311" spans="1:9">
      <c r="A311" s="48"/>
      <c r="B311" s="49"/>
      <c r="C311" s="50"/>
      <c r="D311" s="49"/>
      <c r="E311" s="49"/>
      <c r="F311" s="49"/>
      <c r="G311" s="49"/>
      <c r="H311" s="51"/>
      <c r="I311" s="49"/>
    </row>
    <row r="312" spans="1:9">
      <c r="A312" s="52"/>
      <c r="B312" s="53"/>
      <c r="C312" s="54"/>
      <c r="D312" s="53"/>
      <c r="E312" s="53"/>
      <c r="F312" s="56"/>
      <c r="G312" s="56"/>
      <c r="H312" s="57"/>
      <c r="I312" s="53"/>
    </row>
    <row r="313" spans="1:9">
      <c r="A313" s="48"/>
      <c r="B313" s="49"/>
      <c r="C313" s="50"/>
      <c r="D313" s="49"/>
      <c r="E313" s="49"/>
      <c r="F313" s="49"/>
      <c r="G313" s="49"/>
      <c r="H313" s="51"/>
      <c r="I313" s="49"/>
    </row>
    <row r="314" spans="1:9">
      <c r="A314" s="52"/>
      <c r="B314" s="53"/>
      <c r="C314" s="54"/>
      <c r="D314" s="53"/>
      <c r="E314" s="53"/>
      <c r="F314" s="56"/>
      <c r="G314" s="56"/>
      <c r="H314" s="57"/>
      <c r="I314" s="53"/>
    </row>
    <row r="315" spans="1:9">
      <c r="A315" s="48"/>
      <c r="B315" s="49"/>
      <c r="C315" s="50"/>
      <c r="D315" s="49"/>
      <c r="E315" s="49"/>
      <c r="F315" s="49"/>
      <c r="G315" s="49"/>
      <c r="H315" s="51"/>
      <c r="I315" s="49"/>
    </row>
    <row r="316" spans="1:9">
      <c r="A316" s="52"/>
      <c r="B316" s="53"/>
      <c r="C316" s="54"/>
      <c r="D316" s="53"/>
      <c r="E316" s="53"/>
      <c r="F316" s="56"/>
      <c r="G316" s="56"/>
      <c r="H316" s="57"/>
      <c r="I316" s="53"/>
    </row>
    <row r="317" spans="1:9">
      <c r="A317" s="48"/>
      <c r="B317" s="49"/>
      <c r="C317" s="50"/>
      <c r="D317" s="49"/>
      <c r="E317" s="49"/>
      <c r="F317" s="49"/>
      <c r="G317" s="49"/>
      <c r="H317" s="51"/>
      <c r="I317" s="49"/>
    </row>
    <row r="318" spans="1:9">
      <c r="A318" s="52"/>
      <c r="B318" s="53"/>
      <c r="C318" s="54"/>
      <c r="D318" s="53"/>
      <c r="E318" s="53"/>
      <c r="F318" s="56"/>
      <c r="G318" s="56"/>
      <c r="H318" s="57"/>
      <c r="I318" s="53"/>
    </row>
    <row r="319" spans="1:9">
      <c r="A319" s="48"/>
      <c r="B319" s="49"/>
      <c r="C319" s="50"/>
      <c r="D319" s="49"/>
      <c r="E319" s="49"/>
      <c r="F319" s="49"/>
      <c r="G319" s="49"/>
      <c r="H319" s="51"/>
      <c r="I319" s="49"/>
    </row>
    <row r="320" spans="1:9">
      <c r="A320" s="52"/>
      <c r="B320" s="53"/>
      <c r="C320" s="54"/>
      <c r="D320" s="53"/>
      <c r="E320" s="53"/>
      <c r="F320" s="56"/>
      <c r="G320" s="56"/>
      <c r="H320" s="57"/>
      <c r="I320" s="53"/>
    </row>
    <row r="321" spans="1:9">
      <c r="A321" s="48"/>
      <c r="B321" s="49"/>
      <c r="C321" s="50"/>
      <c r="D321" s="49"/>
      <c r="E321" s="49"/>
      <c r="F321" s="49"/>
      <c r="G321" s="49"/>
      <c r="H321" s="51"/>
      <c r="I321" s="49"/>
    </row>
    <row r="322" spans="1:9">
      <c r="A322" s="52"/>
      <c r="B322" s="53"/>
      <c r="C322" s="54"/>
      <c r="D322" s="53"/>
      <c r="E322" s="53"/>
      <c r="F322" s="56"/>
      <c r="G322" s="56"/>
      <c r="H322" s="57"/>
      <c r="I322" s="53"/>
    </row>
    <row r="323" spans="1:9">
      <c r="A323" s="48"/>
      <c r="B323" s="49"/>
      <c r="C323" s="50"/>
      <c r="D323" s="49"/>
      <c r="E323" s="49"/>
      <c r="F323" s="49"/>
      <c r="G323" s="49"/>
      <c r="H323" s="51"/>
      <c r="I323" s="49"/>
    </row>
    <row r="324" spans="1:9">
      <c r="A324" s="52"/>
      <c r="B324" s="53"/>
      <c r="C324" s="54"/>
      <c r="D324" s="53"/>
      <c r="E324" s="53"/>
      <c r="F324" s="56"/>
      <c r="G324" s="56"/>
      <c r="H324" s="57"/>
      <c r="I324" s="53"/>
    </row>
    <row r="325" spans="1:9">
      <c r="A325" s="48"/>
      <c r="B325" s="49"/>
      <c r="C325" s="50"/>
      <c r="D325" s="49"/>
      <c r="E325" s="49"/>
      <c r="F325" s="49"/>
      <c r="G325" s="49"/>
      <c r="H325" s="51"/>
      <c r="I325" s="49"/>
    </row>
    <row r="326" spans="1:9">
      <c r="A326" s="52"/>
      <c r="B326" s="53"/>
      <c r="C326" s="54"/>
      <c r="D326" s="53"/>
      <c r="E326" s="53"/>
      <c r="F326" s="56"/>
      <c r="G326" s="56"/>
      <c r="H326" s="57"/>
      <c r="I326" s="53"/>
    </row>
    <row r="327" spans="1:9">
      <c r="A327" s="48"/>
      <c r="B327" s="49"/>
      <c r="C327" s="50"/>
      <c r="D327" s="49"/>
      <c r="E327" s="49"/>
      <c r="F327" s="49"/>
      <c r="G327" s="49"/>
      <c r="H327" s="51"/>
      <c r="I327" s="49"/>
    </row>
    <row r="328" spans="1:9">
      <c r="A328" s="52"/>
      <c r="B328" s="53"/>
      <c r="C328" s="54"/>
      <c r="D328" s="53"/>
      <c r="E328" s="53"/>
      <c r="F328" s="56"/>
      <c r="G328" s="56"/>
      <c r="H328" s="57"/>
      <c r="I328" s="53"/>
    </row>
    <row r="329" spans="1:9">
      <c r="A329" s="48"/>
      <c r="B329" s="49"/>
      <c r="C329" s="50"/>
      <c r="D329" s="49"/>
      <c r="E329" s="49"/>
      <c r="F329" s="49"/>
      <c r="G329" s="49"/>
      <c r="H329" s="51"/>
      <c r="I329" s="49"/>
    </row>
  </sheetData>
  <autoFilter ref="A1:I267" xr:uid="{00000000-0009-0000-0000-000004000000}"/>
  <dataValidations count="1">
    <dataValidation type="list" allowBlank="1" showInputMessage="1" showErrorMessage="1" sqref="G2:G1258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C1" zoomScaleNormal="100" workbookViewId="0">
      <pane ySplit="1" topLeftCell="A185" activePane="bottomLeft" state="frozen"/>
      <selection activeCell="E1" sqref="E1"/>
      <selection pane="bottomLeft" activeCell="L215" sqref="L215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1127</v>
      </c>
      <c r="M59" s="66"/>
      <c r="N59" s="66" t="s">
        <v>589</v>
      </c>
      <c r="O59" s="66" t="s">
        <v>229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1128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1</v>
      </c>
      <c r="H93" s="66">
        <f t="shared" si="4"/>
        <v>4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472</v>
      </c>
      <c r="L93" s="66" t="s">
        <v>1188</v>
      </c>
      <c r="M93" s="66"/>
      <c r="N93" s="63" t="s">
        <v>589</v>
      </c>
      <c r="O93" s="66" t="s">
        <v>216</v>
      </c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678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678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8</v>
      </c>
      <c r="H120" s="63">
        <f t="shared" si="7"/>
        <v>51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3351.6266666666638</v>
      </c>
      <c r="L120" s="63" t="s">
        <v>1182</v>
      </c>
      <c r="M120" s="63" t="s">
        <v>49</v>
      </c>
      <c r="N120" s="63" t="s">
        <v>589</v>
      </c>
      <c r="O120" s="63"/>
      <c r="P120" s="63" t="s">
        <v>1183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1077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10</v>
      </c>
      <c r="G147" s="76">
        <v>0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7190</v>
      </c>
      <c r="K147" s="75">
        <f t="shared" si="10"/>
        <v>0</v>
      </c>
      <c r="L147" s="66" t="s">
        <v>1179</v>
      </c>
      <c r="M147" s="66"/>
      <c r="N147" s="66" t="s">
        <v>504</v>
      </c>
      <c r="O147" s="66"/>
      <c r="P147" s="66"/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1</v>
      </c>
      <c r="G148" s="78">
        <v>2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502</v>
      </c>
      <c r="K148" s="77">
        <f t="shared" si="10"/>
        <v>1004</v>
      </c>
      <c r="L148" s="63" t="s">
        <v>1151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858</v>
      </c>
      <c r="B149" s="66" t="s">
        <v>859</v>
      </c>
      <c r="C149" s="66" t="s">
        <v>95</v>
      </c>
      <c r="D149" s="67">
        <v>1024</v>
      </c>
      <c r="E149" s="67">
        <v>1450</v>
      </c>
      <c r="F149" s="76">
        <v>3</v>
      </c>
      <c r="G149" s="76">
        <v>0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3072</v>
      </c>
      <c r="K149" s="75">
        <f t="shared" si="10"/>
        <v>0</v>
      </c>
      <c r="L149" s="66" t="s">
        <v>1152</v>
      </c>
      <c r="M149" s="66"/>
      <c r="N149" s="66" t="s">
        <v>504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860</v>
      </c>
      <c r="B150" s="63" t="s">
        <v>861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862</v>
      </c>
      <c r="B151" s="66" t="s">
        <v>863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864</v>
      </c>
      <c r="M151" s="66"/>
      <c r="N151" s="66" t="s">
        <v>589</v>
      </c>
      <c r="O151" s="66" t="s">
        <v>216</v>
      </c>
      <c r="P151" s="66" t="s">
        <v>865</v>
      </c>
      <c r="Q151" s="66"/>
      <c r="R151" s="66"/>
      <c r="S151" s="66"/>
      <c r="T151" s="66"/>
    </row>
    <row r="152" spans="1:20" ht="15" customHeight="1">
      <c r="A152" s="63" t="s">
        <v>866</v>
      </c>
      <c r="B152" s="63" t="s">
        <v>867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868</v>
      </c>
      <c r="M152" s="63"/>
      <c r="N152" s="63" t="s">
        <v>589</v>
      </c>
      <c r="O152" s="63" t="s">
        <v>869</v>
      </c>
      <c r="P152" s="63" t="s">
        <v>870</v>
      </c>
      <c r="Q152" s="63"/>
      <c r="R152" s="63"/>
      <c r="S152" s="63"/>
      <c r="T152" s="63"/>
    </row>
    <row r="153" spans="1:20" ht="15" customHeight="1">
      <c r="A153" s="66" t="s">
        <v>871</v>
      </c>
      <c r="B153" s="66" t="s">
        <v>872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873</v>
      </c>
      <c r="M153" s="66"/>
      <c r="N153" s="66" t="s">
        <v>504</v>
      </c>
      <c r="O153" s="66"/>
      <c r="P153" s="66" t="s">
        <v>874</v>
      </c>
      <c r="Q153" s="66"/>
      <c r="R153" s="66"/>
      <c r="S153" s="66"/>
      <c r="T153" s="66"/>
    </row>
    <row r="154" spans="1:20" ht="15" customHeight="1">
      <c r="A154" s="63" t="s">
        <v>875</v>
      </c>
      <c r="B154" s="63" t="s">
        <v>876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1115</v>
      </c>
      <c r="M154" s="63"/>
      <c r="N154" s="63" t="s">
        <v>589</v>
      </c>
      <c r="O154" s="63" t="s">
        <v>1112</v>
      </c>
      <c r="P154" s="63"/>
      <c r="Q154" s="63"/>
      <c r="R154" s="63"/>
      <c r="S154" s="63"/>
      <c r="T154" s="63"/>
    </row>
    <row r="155" spans="1:20" ht="15" customHeight="1">
      <c r="A155" s="66" t="s">
        <v>877</v>
      </c>
      <c r="B155" s="66" t="s">
        <v>878</v>
      </c>
      <c r="C155" s="66" t="s">
        <v>96</v>
      </c>
      <c r="D155" s="67">
        <v>949</v>
      </c>
      <c r="E155" s="67">
        <v>1450</v>
      </c>
      <c r="F155" s="76">
        <v>2</v>
      </c>
      <c r="G155" s="76">
        <v>1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1898</v>
      </c>
      <c r="K155" s="75">
        <f t="shared" si="10"/>
        <v>949</v>
      </c>
      <c r="L155" s="66" t="s">
        <v>1138</v>
      </c>
      <c r="M155" s="66"/>
      <c r="N155" s="66" t="s">
        <v>589</v>
      </c>
      <c r="O155" s="66" t="s">
        <v>1112</v>
      </c>
      <c r="P155" s="66"/>
      <c r="Q155" s="66"/>
      <c r="R155" s="66"/>
      <c r="S155" s="66"/>
      <c r="T155" s="66"/>
    </row>
    <row r="156" spans="1:20" ht="15" customHeight="1">
      <c r="A156" s="63" t="s">
        <v>879</v>
      </c>
      <c r="B156" s="63" t="s">
        <v>880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1116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881</v>
      </c>
      <c r="B157" s="66" t="s">
        <v>882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883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884</v>
      </c>
      <c r="B158" s="63" t="s">
        <v>885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886</v>
      </c>
      <c r="M158" s="63"/>
      <c r="N158" s="63" t="s">
        <v>678</v>
      </c>
      <c r="O158" s="63" t="s">
        <v>887</v>
      </c>
      <c r="P158" s="63"/>
      <c r="Q158" s="63"/>
      <c r="R158" s="63"/>
      <c r="S158" s="63"/>
      <c r="T158" s="63"/>
    </row>
    <row r="159" spans="1:20" ht="15" customHeight="1">
      <c r="A159" s="66" t="s">
        <v>888</v>
      </c>
      <c r="B159" s="66" t="s">
        <v>889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890</v>
      </c>
      <c r="M159" s="66"/>
      <c r="N159" s="66" t="s">
        <v>589</v>
      </c>
      <c r="O159" s="66" t="s">
        <v>891</v>
      </c>
      <c r="P159" s="66"/>
      <c r="Q159" s="66"/>
      <c r="R159" s="66"/>
      <c r="S159" s="66"/>
      <c r="T159" s="66"/>
    </row>
    <row r="160" spans="1:20" ht="15" customHeight="1">
      <c r="A160" s="63" t="s">
        <v>892</v>
      </c>
      <c r="B160" s="63" t="s">
        <v>893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894</v>
      </c>
      <c r="B161" s="66" t="s">
        <v>895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896</v>
      </c>
      <c r="B162" s="63" t="s">
        <v>897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898</v>
      </c>
      <c r="B163" s="66" t="s">
        <v>899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900</v>
      </c>
      <c r="B164" s="63" t="s">
        <v>901</v>
      </c>
      <c r="C164" s="63" t="s">
        <v>95</v>
      </c>
      <c r="D164" s="64">
        <v>1013</v>
      </c>
      <c r="E164" s="64">
        <v>1499</v>
      </c>
      <c r="F164" s="78">
        <v>5</v>
      </c>
      <c r="G164" s="78">
        <v>0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5065</v>
      </c>
      <c r="K164" s="77">
        <f t="shared" si="10"/>
        <v>0</v>
      </c>
      <c r="L164" s="63" t="s">
        <v>1157</v>
      </c>
      <c r="M164" s="63"/>
      <c r="N164" s="63" t="s">
        <v>504</v>
      </c>
      <c r="O164" s="63"/>
      <c r="P164" s="63"/>
      <c r="Q164" s="63"/>
      <c r="R164" s="63"/>
      <c r="S164" s="63"/>
      <c r="T164" s="63"/>
    </row>
    <row r="165" spans="1:20" ht="15" customHeight="1">
      <c r="A165" s="66" t="s">
        <v>902</v>
      </c>
      <c r="B165" s="66" t="s">
        <v>903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904</v>
      </c>
      <c r="Q165" s="66"/>
      <c r="R165" s="66"/>
      <c r="S165" s="66"/>
      <c r="T165" s="66"/>
    </row>
    <row r="166" spans="1:20" ht="15" customHeight="1">
      <c r="A166" s="63" t="s">
        <v>905</v>
      </c>
      <c r="B166" s="63" t="s">
        <v>906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1096</v>
      </c>
      <c r="M166" s="63"/>
      <c r="N166" s="63" t="s">
        <v>504</v>
      </c>
      <c r="O166" s="63"/>
      <c r="P166" s="63" t="s">
        <v>1097</v>
      </c>
      <c r="Q166" s="63"/>
      <c r="R166" s="63"/>
      <c r="S166" s="63"/>
      <c r="T166" s="63"/>
    </row>
    <row r="167" spans="1:20" ht="15" customHeight="1">
      <c r="A167" s="66" t="s">
        <v>907</v>
      </c>
      <c r="B167" s="66" t="s">
        <v>908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909</v>
      </c>
      <c r="M167" s="66"/>
      <c r="N167" s="66" t="s">
        <v>589</v>
      </c>
      <c r="O167" s="66"/>
      <c r="P167" s="66" t="s">
        <v>910</v>
      </c>
      <c r="Q167" s="66"/>
      <c r="R167" s="66"/>
      <c r="S167" s="66"/>
      <c r="T167" s="66"/>
    </row>
    <row r="168" spans="1:20" ht="15" customHeight="1">
      <c r="A168" s="63" t="s">
        <v>911</v>
      </c>
      <c r="B168" s="63" t="s">
        <v>912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913</v>
      </c>
      <c r="M168" s="63"/>
      <c r="N168" s="63" t="s">
        <v>589</v>
      </c>
      <c r="O168" s="63"/>
      <c r="P168" s="63" t="s">
        <v>914</v>
      </c>
      <c r="Q168" s="63"/>
      <c r="R168" s="63"/>
      <c r="S168" s="63"/>
      <c r="T168" s="63"/>
    </row>
    <row r="169" spans="1:20" ht="15" customHeight="1">
      <c r="A169" s="66" t="s">
        <v>915</v>
      </c>
      <c r="B169" s="66" t="s">
        <v>916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917</v>
      </c>
      <c r="Q169" s="66"/>
      <c r="R169" s="66"/>
      <c r="S169" s="66"/>
      <c r="T169" s="66"/>
    </row>
    <row r="170" spans="1:20" ht="30" customHeight="1">
      <c r="A170" s="63" t="s">
        <v>918</v>
      </c>
      <c r="B170" s="63" t="s">
        <v>919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920</v>
      </c>
      <c r="M170" s="63"/>
      <c r="N170" s="63" t="s">
        <v>504</v>
      </c>
      <c r="O170" s="63"/>
      <c r="P170" s="63" t="s">
        <v>921</v>
      </c>
      <c r="Q170" s="63"/>
      <c r="R170" s="63"/>
      <c r="S170" s="63"/>
      <c r="T170" s="63"/>
    </row>
    <row r="171" spans="1:20" ht="31.5" customHeight="1">
      <c r="A171" s="66" t="s">
        <v>922</v>
      </c>
      <c r="B171" s="63" t="s">
        <v>923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924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925</v>
      </c>
      <c r="B172" s="63" t="s">
        <v>926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1</v>
      </c>
      <c r="H172" s="77">
        <f t="shared" si="11"/>
        <v>3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1047</v>
      </c>
      <c r="L172" s="63" t="s">
        <v>927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928</v>
      </c>
      <c r="B173" s="66" t="s">
        <v>929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930</v>
      </c>
      <c r="B174" s="63" t="s">
        <v>931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932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933</v>
      </c>
      <c r="B175" s="66" t="s">
        <v>934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1103</v>
      </c>
      <c r="M175" s="66"/>
      <c r="N175" s="66" t="s">
        <v>589</v>
      </c>
      <c r="O175" s="66"/>
      <c r="P175" s="66" t="s">
        <v>1102</v>
      </c>
      <c r="Q175" s="66"/>
      <c r="R175" s="66"/>
      <c r="S175" s="66"/>
      <c r="T175" s="66"/>
    </row>
    <row r="176" spans="1:20" ht="24" customHeight="1">
      <c r="A176" s="63" t="s">
        <v>935</v>
      </c>
      <c r="B176" s="63" t="s">
        <v>936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937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938</v>
      </c>
      <c r="B177" s="66" t="s">
        <v>939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940</v>
      </c>
      <c r="M177" s="66"/>
      <c r="N177" s="66" t="s">
        <v>504</v>
      </c>
      <c r="O177" s="66"/>
      <c r="P177" s="66" t="s">
        <v>941</v>
      </c>
      <c r="Q177" s="66"/>
      <c r="R177" s="66"/>
      <c r="S177" s="66"/>
      <c r="T177" s="66"/>
    </row>
    <row r="178" spans="1:20" ht="15" customHeight="1">
      <c r="A178" s="63" t="s">
        <v>942</v>
      </c>
      <c r="B178" s="63" t="s">
        <v>943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944</v>
      </c>
      <c r="M178" s="63"/>
      <c r="N178" s="63" t="s">
        <v>504</v>
      </c>
      <c r="O178" s="63"/>
      <c r="P178" s="63" t="s">
        <v>945</v>
      </c>
      <c r="Q178" s="63"/>
      <c r="R178" s="63"/>
      <c r="S178" s="63"/>
      <c r="T178" s="63"/>
    </row>
    <row r="179" spans="1:20" ht="30" customHeight="1">
      <c r="A179" s="66" t="s">
        <v>946</v>
      </c>
      <c r="B179" s="66" t="s">
        <v>947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948</v>
      </c>
      <c r="M179" s="66"/>
      <c r="N179" s="66" t="s">
        <v>504</v>
      </c>
      <c r="O179" s="66"/>
      <c r="P179" s="66" t="s">
        <v>949</v>
      </c>
      <c r="Q179" s="66"/>
      <c r="R179" s="66"/>
      <c r="S179" s="66"/>
      <c r="T179" s="66"/>
    </row>
    <row r="180" spans="1:20" ht="33.75" customHeight="1">
      <c r="A180" s="63" t="s">
        <v>950</v>
      </c>
      <c r="B180" s="63" t="s">
        <v>951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952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953</v>
      </c>
      <c r="B181" s="66" t="s">
        <v>954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1110</v>
      </c>
      <c r="M181" s="66"/>
      <c r="N181" s="66" t="s">
        <v>589</v>
      </c>
      <c r="O181" s="66" t="s">
        <v>1111</v>
      </c>
      <c r="P181" s="66" t="s">
        <v>955</v>
      </c>
      <c r="Q181" s="66"/>
      <c r="R181" s="66"/>
      <c r="S181" s="66"/>
      <c r="T181" s="66"/>
    </row>
    <row r="182" spans="1:20" ht="15" customHeight="1">
      <c r="A182" s="63" t="s">
        <v>956</v>
      </c>
      <c r="B182" s="63" t="s">
        <v>957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958</v>
      </c>
      <c r="Q182" s="63"/>
      <c r="R182" s="63"/>
      <c r="S182" s="63"/>
      <c r="T182" s="63"/>
    </row>
    <row r="183" spans="1:20" ht="15" customHeight="1">
      <c r="A183" s="66" t="s">
        <v>959</v>
      </c>
      <c r="B183" s="66" t="s">
        <v>960</v>
      </c>
      <c r="C183" s="66" t="s">
        <v>95</v>
      </c>
      <c r="D183" s="67">
        <v>419</v>
      </c>
      <c r="E183" s="67">
        <v>699</v>
      </c>
      <c r="F183" s="76">
        <v>4</v>
      </c>
      <c r="G183" s="76">
        <v>4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1676</v>
      </c>
      <c r="K183" s="75">
        <f t="shared" si="10"/>
        <v>1676</v>
      </c>
      <c r="L183" s="66" t="s">
        <v>1200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961</v>
      </c>
      <c r="B184" s="63" t="s">
        <v>962</v>
      </c>
      <c r="C184" s="63" t="s">
        <v>95</v>
      </c>
      <c r="D184" s="64">
        <v>891</v>
      </c>
      <c r="E184" s="64">
        <v>1380</v>
      </c>
      <c r="F184" s="78">
        <v>19</v>
      </c>
      <c r="G184" s="78">
        <v>1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16929</v>
      </c>
      <c r="K184" s="77">
        <f t="shared" si="10"/>
        <v>891</v>
      </c>
      <c r="L184" s="63" t="s">
        <v>1144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963</v>
      </c>
      <c r="B185" s="66" t="s">
        <v>964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965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966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967</v>
      </c>
      <c r="B187" s="66" t="s">
        <v>968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969</v>
      </c>
      <c r="B188" s="63" t="s">
        <v>970</v>
      </c>
      <c r="C188" s="63" t="s">
        <v>95</v>
      </c>
      <c r="D188" s="64">
        <v>891</v>
      </c>
      <c r="E188" s="64">
        <v>1380</v>
      </c>
      <c r="F188" s="78">
        <v>2</v>
      </c>
      <c r="G188" s="78">
        <v>0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1782</v>
      </c>
      <c r="K188" s="77">
        <f t="shared" si="10"/>
        <v>0</v>
      </c>
      <c r="L188" s="63" t="s">
        <v>1135</v>
      </c>
      <c r="M188" s="63"/>
      <c r="N188" s="63" t="s">
        <v>504</v>
      </c>
      <c r="O188" s="63"/>
      <c r="P188" s="63"/>
      <c r="Q188" s="63"/>
      <c r="R188" s="63"/>
      <c r="S188" s="63"/>
      <c r="T188" s="63"/>
    </row>
    <row r="189" spans="1:20" ht="52" customHeight="1">
      <c r="A189" s="66" t="s">
        <v>971</v>
      </c>
      <c r="B189" s="63" t="s">
        <v>972</v>
      </c>
      <c r="C189" s="63" t="s">
        <v>95</v>
      </c>
      <c r="D189" s="64">
        <v>891</v>
      </c>
      <c r="E189" s="64">
        <v>1380</v>
      </c>
      <c r="F189" s="76">
        <v>6</v>
      </c>
      <c r="G189" s="76">
        <v>2</v>
      </c>
      <c r="H189" s="75">
        <f t="shared" si="12"/>
        <v>8</v>
      </c>
      <c r="I189" s="75">
        <f>IF(D189&lt;&gt;"",D189,IFERROR(E189/(IFERROR(SUM(Sales!C:C),0))*(IFERROR(SUM(Purchases!C:C),0)),0))</f>
        <v>891</v>
      </c>
      <c r="J189" s="75">
        <f t="shared" si="9"/>
        <v>5346</v>
      </c>
      <c r="K189" s="75">
        <f t="shared" si="10"/>
        <v>1782</v>
      </c>
      <c r="L189" s="66" t="s">
        <v>1145</v>
      </c>
      <c r="M189" s="66"/>
      <c r="N189" s="66" t="s">
        <v>589</v>
      </c>
      <c r="O189" s="66"/>
      <c r="P189" s="66" t="s">
        <v>1146</v>
      </c>
      <c r="Q189" s="66"/>
      <c r="R189" s="66"/>
      <c r="S189" s="66"/>
      <c r="T189" s="66"/>
    </row>
    <row r="190" spans="1:20" ht="15" customHeight="1">
      <c r="A190" s="63" t="s">
        <v>973</v>
      </c>
      <c r="B190" s="66" t="s">
        <v>974</v>
      </c>
      <c r="C190" s="66" t="s">
        <v>95</v>
      </c>
      <c r="D190" s="67">
        <v>891</v>
      </c>
      <c r="E190" s="67">
        <v>1380</v>
      </c>
      <c r="F190" s="78">
        <v>3</v>
      </c>
      <c r="G190" s="78">
        <v>0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2673</v>
      </c>
      <c r="K190" s="77">
        <f t="shared" si="10"/>
        <v>0</v>
      </c>
      <c r="L190" s="63" t="s">
        <v>1190</v>
      </c>
      <c r="M190" s="63"/>
      <c r="N190" s="58" t="s">
        <v>504</v>
      </c>
      <c r="S190" s="58"/>
      <c r="T190" s="58"/>
    </row>
    <row r="191" spans="1:20" ht="30" customHeight="1">
      <c r="A191" s="66" t="s">
        <v>975</v>
      </c>
      <c r="B191" s="63" t="s">
        <v>976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977</v>
      </c>
      <c r="S191" s="58"/>
      <c r="T191" s="58"/>
    </row>
    <row r="192" spans="1:20" ht="15" customHeight="1">
      <c r="A192" s="63" t="s">
        <v>978</v>
      </c>
      <c r="B192" s="66" t="s">
        <v>979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1086</v>
      </c>
      <c r="M192" s="63"/>
      <c r="N192" s="58" t="s">
        <v>589</v>
      </c>
      <c r="P192" s="58" t="s">
        <v>1087</v>
      </c>
      <c r="S192" s="58"/>
      <c r="T192" s="58"/>
    </row>
    <row r="193" spans="1:20" ht="15" customHeight="1">
      <c r="A193" s="66" t="s">
        <v>980</v>
      </c>
      <c r="B193" s="63" t="s">
        <v>981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982</v>
      </c>
      <c r="S193" s="58"/>
      <c r="T193" s="58"/>
    </row>
    <row r="194" spans="1:20" ht="15" customHeight="1">
      <c r="A194" s="63" t="s">
        <v>983</v>
      </c>
      <c r="B194" s="63" t="s">
        <v>984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985</v>
      </c>
      <c r="S194" s="58"/>
      <c r="T194" s="58"/>
    </row>
    <row r="195" spans="1:20" ht="15" customHeight="1">
      <c r="A195" s="66" t="s">
        <v>986</v>
      </c>
      <c r="B195" s="66" t="s">
        <v>987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988</v>
      </c>
      <c r="M195" s="66"/>
      <c r="N195" s="58" t="s">
        <v>589</v>
      </c>
      <c r="P195" s="58" t="s">
        <v>989</v>
      </c>
      <c r="S195" s="58"/>
      <c r="T195" s="58"/>
    </row>
    <row r="196" spans="1:20" ht="15" customHeight="1">
      <c r="A196" s="63" t="s">
        <v>990</v>
      </c>
      <c r="B196" s="63" t="s">
        <v>991</v>
      </c>
      <c r="C196" s="63" t="s">
        <v>95</v>
      </c>
      <c r="D196" s="64">
        <v>797</v>
      </c>
      <c r="E196" s="64">
        <v>1250</v>
      </c>
      <c r="F196" s="78">
        <v>2</v>
      </c>
      <c r="G196" s="78">
        <v>5</v>
      </c>
      <c r="H196" s="77">
        <f t="shared" si="12"/>
        <v>7</v>
      </c>
      <c r="I196" s="77">
        <f>IF(D196&lt;&gt;"",D196,IFERROR(E196/(IFERROR(SUM(Sales!C:C),0))*(IFERROR(SUM(Purchases!C:C),0)),0))</f>
        <v>797</v>
      </c>
      <c r="J196" s="77">
        <f t="shared" si="13"/>
        <v>1594</v>
      </c>
      <c r="K196" s="77">
        <f t="shared" si="14"/>
        <v>3985</v>
      </c>
      <c r="L196" s="63" t="s">
        <v>1155</v>
      </c>
      <c r="M196" s="63"/>
      <c r="N196" s="58" t="s">
        <v>589</v>
      </c>
      <c r="P196" s="58" t="s">
        <v>1156</v>
      </c>
      <c r="S196" s="58"/>
      <c r="T196" s="58"/>
    </row>
    <row r="197" spans="1:20" ht="15" customHeight="1">
      <c r="A197" s="66" t="s">
        <v>992</v>
      </c>
      <c r="B197" s="66" t="s">
        <v>993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994</v>
      </c>
      <c r="S197" s="58"/>
      <c r="T197" s="58"/>
    </row>
    <row r="198" spans="1:20" ht="15" customHeight="1">
      <c r="A198" s="63" t="s">
        <v>995</v>
      </c>
      <c r="B198" s="63" t="s">
        <v>996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997</v>
      </c>
      <c r="S198" s="58"/>
      <c r="T198" s="58"/>
    </row>
    <row r="199" spans="1:20" ht="15" customHeight="1">
      <c r="A199" s="66" t="s">
        <v>998</v>
      </c>
      <c r="B199" s="63" t="s">
        <v>999</v>
      </c>
      <c r="C199" s="63" t="s">
        <v>95</v>
      </c>
      <c r="D199" s="64">
        <v>467</v>
      </c>
      <c r="E199" s="64">
        <v>850</v>
      </c>
      <c r="F199" s="76">
        <v>2</v>
      </c>
      <c r="G199" s="76">
        <v>2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934</v>
      </c>
      <c r="K199" s="75">
        <f t="shared" si="14"/>
        <v>934</v>
      </c>
      <c r="L199" s="66" t="s">
        <v>1204</v>
      </c>
      <c r="M199" s="66"/>
      <c r="N199" s="58" t="s">
        <v>589</v>
      </c>
      <c r="P199" s="58" t="s">
        <v>1205</v>
      </c>
      <c r="S199" s="58"/>
      <c r="T199" s="58"/>
    </row>
    <row r="200" spans="1:20" ht="30" customHeight="1">
      <c r="A200" s="63" t="s">
        <v>1000</v>
      </c>
      <c r="B200" s="66" t="s">
        <v>1001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1090</v>
      </c>
      <c r="M200" s="63"/>
      <c r="N200" s="58" t="s">
        <v>589</v>
      </c>
      <c r="P200" s="58" t="s">
        <v>1091</v>
      </c>
      <c r="S200" s="58"/>
      <c r="T200" s="58"/>
    </row>
    <row r="201" spans="1:20" ht="15" customHeight="1">
      <c r="A201" s="66" t="s">
        <v>1002</v>
      </c>
      <c r="B201" s="63" t="s">
        <v>1003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1004</v>
      </c>
      <c r="M201" s="66"/>
      <c r="N201" s="58" t="s">
        <v>589</v>
      </c>
      <c r="P201" s="58" t="s">
        <v>1005</v>
      </c>
      <c r="S201" s="58"/>
      <c r="T201" s="58"/>
    </row>
    <row r="202" spans="1:20" ht="15" customHeight="1">
      <c r="A202" s="63" t="s">
        <v>1006</v>
      </c>
      <c r="B202" s="66" t="s">
        <v>1007</v>
      </c>
      <c r="C202" s="66" t="s">
        <v>95</v>
      </c>
      <c r="D202" s="67">
        <v>940</v>
      </c>
      <c r="E202" s="67">
        <v>1500</v>
      </c>
      <c r="F202" s="78">
        <v>5</v>
      </c>
      <c r="G202" s="78">
        <v>1</v>
      </c>
      <c r="H202" s="77">
        <f t="shared" si="12"/>
        <v>6</v>
      </c>
      <c r="I202" s="77">
        <f>IF(D202&lt;&gt;"",D202,IFERROR(E202/(IFERROR(SUM(Sales!C:C),0))*(IFERROR(SUM(Purchases!C:C),0)),0))</f>
        <v>940</v>
      </c>
      <c r="J202" s="77">
        <f t="shared" si="13"/>
        <v>4700</v>
      </c>
      <c r="K202" s="77">
        <f t="shared" si="14"/>
        <v>940</v>
      </c>
      <c r="L202" s="63" t="s">
        <v>1171</v>
      </c>
      <c r="M202" s="63"/>
      <c r="N202" s="58" t="s">
        <v>589</v>
      </c>
      <c r="P202" s="58" t="s">
        <v>1172</v>
      </c>
      <c r="S202" s="58"/>
      <c r="T202" s="58"/>
    </row>
    <row r="203" spans="1:20" ht="15" customHeight="1">
      <c r="A203" s="66" t="s">
        <v>1008</v>
      </c>
      <c r="B203" s="63" t="s">
        <v>1009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1010</v>
      </c>
      <c r="M203" s="66"/>
      <c r="N203" s="58" t="s">
        <v>504</v>
      </c>
      <c r="P203" s="58" t="s">
        <v>1011</v>
      </c>
      <c r="S203" s="58"/>
      <c r="T203" s="58"/>
    </row>
    <row r="204" spans="1:20" ht="15" customHeight="1">
      <c r="A204" s="63" t="s">
        <v>1012</v>
      </c>
      <c r="B204" s="63" t="s">
        <v>1013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1121</v>
      </c>
      <c r="M204" s="63"/>
      <c r="N204" s="58" t="s">
        <v>589</v>
      </c>
      <c r="P204" s="58" t="s">
        <v>1120</v>
      </c>
      <c r="S204" s="58"/>
      <c r="T204" s="58"/>
    </row>
    <row r="205" spans="1:20" ht="15" customHeight="1">
      <c r="A205" s="66" t="s">
        <v>1014</v>
      </c>
      <c r="B205" s="66" t="s">
        <v>1015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1016</v>
      </c>
      <c r="M205" s="66"/>
      <c r="N205" s="58" t="s">
        <v>678</v>
      </c>
      <c r="P205" s="58" t="s">
        <v>1017</v>
      </c>
      <c r="S205" s="58"/>
      <c r="T205" s="58"/>
    </row>
    <row r="206" spans="1:20" ht="15" customHeight="1">
      <c r="A206" s="63" t="s">
        <v>1018</v>
      </c>
      <c r="B206" s="63" t="s">
        <v>1019</v>
      </c>
      <c r="C206" s="63" t="s">
        <v>95</v>
      </c>
      <c r="D206" s="64">
        <v>761</v>
      </c>
      <c r="E206" s="64">
        <v>1250</v>
      </c>
      <c r="F206" s="78">
        <v>1</v>
      </c>
      <c r="G206" s="78">
        <v>0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761</v>
      </c>
      <c r="K206" s="77">
        <f t="shared" si="14"/>
        <v>0</v>
      </c>
      <c r="L206" s="63" t="s">
        <v>220</v>
      </c>
      <c r="M206" s="63"/>
      <c r="N206" s="58" t="s">
        <v>504</v>
      </c>
      <c r="P206" s="58" t="s">
        <v>1020</v>
      </c>
      <c r="S206" s="58"/>
      <c r="T206" s="58"/>
    </row>
    <row r="207" spans="1:20" ht="15" customHeight="1">
      <c r="A207" s="66" t="s">
        <v>1021</v>
      </c>
      <c r="B207" s="66" t="s">
        <v>1022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1023</v>
      </c>
      <c r="M207" s="66"/>
      <c r="N207" s="58" t="s">
        <v>589</v>
      </c>
      <c r="P207" s="58" t="s">
        <v>1024</v>
      </c>
      <c r="S207" s="58"/>
      <c r="T207" s="58"/>
    </row>
    <row r="208" spans="1:20" ht="30" customHeight="1">
      <c r="A208" s="63" t="s">
        <v>1025</v>
      </c>
      <c r="B208" s="63" t="s">
        <v>1026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1027</v>
      </c>
      <c r="S208" s="58"/>
      <c r="T208" s="58"/>
    </row>
    <row r="209" spans="1:20" ht="15" customHeight="1">
      <c r="A209" s="66" t="s">
        <v>1028</v>
      </c>
      <c r="B209" s="63" t="s">
        <v>1029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1089</v>
      </c>
      <c r="M209" s="66"/>
      <c r="N209" s="58" t="s">
        <v>589</v>
      </c>
      <c r="P209" s="58" t="s">
        <v>1088</v>
      </c>
      <c r="S209" s="58"/>
      <c r="T209" s="58"/>
    </row>
    <row r="210" spans="1:20" ht="15" customHeight="1">
      <c r="A210" s="63" t="s">
        <v>1030</v>
      </c>
      <c r="B210" s="66" t="s">
        <v>1031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1032</v>
      </c>
      <c r="S210" s="58"/>
      <c r="T210" s="58"/>
    </row>
    <row r="211" spans="1:20" ht="15" customHeight="1">
      <c r="A211" s="66" t="s">
        <v>1033</v>
      </c>
      <c r="B211" s="63" t="s">
        <v>901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1034</v>
      </c>
      <c r="S211" s="58"/>
      <c r="T211" s="58"/>
    </row>
    <row r="212" spans="1:20" ht="15" customHeight="1">
      <c r="A212" s="63" t="s">
        <v>1035</v>
      </c>
      <c r="B212" s="66" t="s">
        <v>1108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1036</v>
      </c>
      <c r="B213" s="63" t="s">
        <v>1154</v>
      </c>
      <c r="C213" s="63" t="s">
        <v>95</v>
      </c>
      <c r="D213" s="64">
        <v>555</v>
      </c>
      <c r="E213" s="64">
        <v>850</v>
      </c>
      <c r="F213" s="76">
        <v>3</v>
      </c>
      <c r="G213" s="76">
        <v>6</v>
      </c>
      <c r="H213" s="75">
        <f t="shared" si="12"/>
        <v>9</v>
      </c>
      <c r="I213" s="75">
        <f>IF(D213&lt;&gt;"",D213,IFERROR(E213/(IFERROR(SUM(Sales!C:C),0))*(IFERROR(SUM(Purchases!C:C),0)),0))</f>
        <v>555</v>
      </c>
      <c r="J213" s="75">
        <f t="shared" si="13"/>
        <v>1665</v>
      </c>
      <c r="K213" s="75">
        <f t="shared" si="14"/>
        <v>3330</v>
      </c>
      <c r="L213" s="66" t="s">
        <v>1208</v>
      </c>
      <c r="M213" s="66"/>
      <c r="N213" s="58" t="s">
        <v>589</v>
      </c>
      <c r="P213" s="58" t="s">
        <v>1209</v>
      </c>
      <c r="S213" s="58"/>
      <c r="T213" s="58"/>
    </row>
    <row r="214" spans="1:20" ht="15" customHeight="1">
      <c r="A214" s="63" t="s">
        <v>1037</v>
      </c>
      <c r="B214" s="63" t="s">
        <v>1159</v>
      </c>
      <c r="C214" s="63" t="s">
        <v>95</v>
      </c>
      <c r="D214" s="64">
        <v>835</v>
      </c>
      <c r="E214" s="64">
        <v>1250</v>
      </c>
      <c r="F214" s="78">
        <v>0</v>
      </c>
      <c r="G214" s="78">
        <v>5</v>
      </c>
      <c r="H214" s="77">
        <f t="shared" si="12"/>
        <v>5</v>
      </c>
      <c r="I214" s="77">
        <f>IF(D214&lt;&gt;"",D214,IFERROR(E214/(IFERROR(SUM(Sales!C:C),0))*(IFERROR(SUM(Purchases!C:C),0)),0))</f>
        <v>835</v>
      </c>
      <c r="J214" s="77">
        <f t="shared" si="13"/>
        <v>0</v>
      </c>
      <c r="K214" s="77">
        <f t="shared" si="14"/>
        <v>4175</v>
      </c>
      <c r="L214" s="63"/>
      <c r="M214" s="63"/>
      <c r="N214" s="58" t="s">
        <v>678</v>
      </c>
      <c r="P214" s="58" t="s">
        <v>1160</v>
      </c>
      <c r="S214" s="58"/>
      <c r="T214" s="58"/>
    </row>
    <row r="215" spans="1:20" ht="15" customHeight="1">
      <c r="A215" s="66" t="s">
        <v>1038</v>
      </c>
      <c r="B215" s="66" t="s">
        <v>1161</v>
      </c>
      <c r="C215" s="66" t="s">
        <v>95</v>
      </c>
      <c r="D215" s="67">
        <v>992</v>
      </c>
      <c r="E215" s="67">
        <v>1450</v>
      </c>
      <c r="F215" s="76">
        <v>1</v>
      </c>
      <c r="G215" s="76">
        <v>5</v>
      </c>
      <c r="H215" s="75">
        <f t="shared" si="12"/>
        <v>6</v>
      </c>
      <c r="I215" s="75">
        <f>IF(D215&lt;&gt;"",D215,IFERROR(E215/(IFERROR(SUM(Sales!C:C),0))*(IFERROR(SUM(Purchases!C:C),0)),0))</f>
        <v>992</v>
      </c>
      <c r="J215" s="75">
        <f t="shared" si="13"/>
        <v>992</v>
      </c>
      <c r="K215" s="75">
        <f t="shared" si="14"/>
        <v>4960</v>
      </c>
      <c r="L215" s="66" t="s">
        <v>1109</v>
      </c>
      <c r="M215" s="66"/>
      <c r="N215" s="58" t="s">
        <v>678</v>
      </c>
      <c r="P215" s="58" t="s">
        <v>1162</v>
      </c>
      <c r="S215" s="58"/>
      <c r="T215" s="58"/>
    </row>
    <row r="216" spans="1:20" ht="30">
      <c r="A216" s="63" t="s">
        <v>1039</v>
      </c>
      <c r="B216" s="63" t="s">
        <v>999</v>
      </c>
      <c r="C216" s="63" t="s">
        <v>95</v>
      </c>
      <c r="D216" s="64">
        <v>576</v>
      </c>
      <c r="E216" s="64">
        <v>899</v>
      </c>
      <c r="F216" s="78">
        <v>1</v>
      </c>
      <c r="G216" s="78">
        <v>5</v>
      </c>
      <c r="H216" s="77">
        <f t="shared" si="12"/>
        <v>6</v>
      </c>
      <c r="I216" s="77">
        <f>IF(D216&lt;&gt;"",D216,IFERROR(E216/(IFERROR(SUM(Sales!C:C),0))*(IFERROR(SUM(Purchases!C:C),0)),0))</f>
        <v>576</v>
      </c>
      <c r="J216" s="77">
        <f t="shared" si="13"/>
        <v>576</v>
      </c>
      <c r="K216" s="77">
        <f t="shared" si="14"/>
        <v>2880</v>
      </c>
      <c r="L216" s="63" t="s">
        <v>1206</v>
      </c>
      <c r="M216" s="63"/>
      <c r="N216" s="58" t="s">
        <v>589</v>
      </c>
      <c r="P216" s="58" t="s">
        <v>1207</v>
      </c>
      <c r="S216" s="58"/>
      <c r="T216" s="58"/>
    </row>
    <row r="217" spans="1:20" ht="15" customHeight="1">
      <c r="A217" s="66" t="s">
        <v>1040</v>
      </c>
      <c r="B217" s="66" t="s">
        <v>1163</v>
      </c>
      <c r="C217" s="66" t="s">
        <v>95</v>
      </c>
      <c r="D217" s="67">
        <v>1023</v>
      </c>
      <c r="E217" s="67">
        <v>1550</v>
      </c>
      <c r="F217" s="76">
        <v>0</v>
      </c>
      <c r="G217" s="76">
        <v>2</v>
      </c>
      <c r="H217" s="75">
        <f t="shared" si="12"/>
        <v>2</v>
      </c>
      <c r="I217" s="75">
        <f>IF(D217&lt;&gt;"",D217,IFERROR(E217/(IFERROR(SUM(Sales!C:C),0))*(IFERROR(SUM(Purchases!C:C),0)),0))</f>
        <v>1023</v>
      </c>
      <c r="J217" s="75">
        <f t="shared" si="13"/>
        <v>0</v>
      </c>
      <c r="K217" s="75">
        <f t="shared" si="14"/>
        <v>2046</v>
      </c>
      <c r="L217" s="66"/>
      <c r="M217" s="66"/>
      <c r="N217" s="58" t="s">
        <v>678</v>
      </c>
      <c r="P217" s="58" t="s">
        <v>1164</v>
      </c>
      <c r="S217" s="58"/>
      <c r="T217" s="58"/>
    </row>
    <row r="218" spans="1:20" ht="15">
      <c r="A218" s="63" t="s">
        <v>1041</v>
      </c>
      <c r="B218" s="63" t="s">
        <v>1165</v>
      </c>
      <c r="C218" s="63" t="s">
        <v>95</v>
      </c>
      <c r="D218" s="64">
        <v>414</v>
      </c>
      <c r="E218" s="64">
        <v>699</v>
      </c>
      <c r="F218" s="78">
        <v>1</v>
      </c>
      <c r="G218" s="78">
        <v>2</v>
      </c>
      <c r="H218" s="77">
        <f t="shared" si="12"/>
        <v>3</v>
      </c>
      <c r="I218" s="77">
        <f>IF(D218&lt;&gt;"",D218,IFERROR(E218/(IFERROR(SUM(Sales!C:C),0))*(IFERROR(SUM(Purchases!C:C),0)),0))</f>
        <v>414</v>
      </c>
      <c r="J218" s="77">
        <f t="shared" si="13"/>
        <v>414</v>
      </c>
      <c r="K218" s="77">
        <f t="shared" si="14"/>
        <v>828</v>
      </c>
      <c r="L218" s="63" t="s">
        <v>1201</v>
      </c>
      <c r="M218" s="63"/>
      <c r="N218" s="58" t="s">
        <v>589</v>
      </c>
      <c r="P218" s="58" t="s">
        <v>1202</v>
      </c>
      <c r="S218" s="58"/>
      <c r="T218" s="58"/>
    </row>
    <row r="219" spans="1:20" ht="15" customHeight="1">
      <c r="A219" s="66" t="s">
        <v>1042</v>
      </c>
      <c r="B219" s="63" t="s">
        <v>1166</v>
      </c>
      <c r="C219" s="63" t="s">
        <v>95</v>
      </c>
      <c r="D219" s="64">
        <v>761</v>
      </c>
      <c r="E219" s="64">
        <v>1150</v>
      </c>
      <c r="F219" s="76">
        <v>0</v>
      </c>
      <c r="G219" s="76">
        <v>4</v>
      </c>
      <c r="H219" s="75">
        <f t="shared" si="12"/>
        <v>4</v>
      </c>
      <c r="I219" s="75">
        <f>IF(D219&lt;&gt;"",D219,IFERROR(E219/(IFERROR(SUM(Sales!C:C),0))*(IFERROR(SUM(Purchases!C:C),0)),0))</f>
        <v>761</v>
      </c>
      <c r="J219" s="75">
        <f t="shared" si="13"/>
        <v>0</v>
      </c>
      <c r="K219" s="75">
        <f t="shared" si="14"/>
        <v>3044</v>
      </c>
      <c r="L219" s="66"/>
      <c r="M219" s="66"/>
      <c r="N219" s="58" t="s">
        <v>678</v>
      </c>
      <c r="P219" s="58" t="s">
        <v>1167</v>
      </c>
      <c r="S219" s="58"/>
      <c r="T219" s="58"/>
    </row>
    <row r="220" spans="1:20" ht="30">
      <c r="A220" s="63" t="s">
        <v>1043</v>
      </c>
      <c r="B220" s="66" t="s">
        <v>1168</v>
      </c>
      <c r="C220" s="66" t="s">
        <v>95</v>
      </c>
      <c r="D220" s="67">
        <v>761</v>
      </c>
      <c r="E220" s="67">
        <v>1150</v>
      </c>
      <c r="F220" s="78">
        <v>1</v>
      </c>
      <c r="G220" s="78">
        <v>5</v>
      </c>
      <c r="H220" s="77">
        <f t="shared" si="12"/>
        <v>6</v>
      </c>
      <c r="I220" s="77">
        <f>IF(D220&lt;&gt;"",D220,IFERROR(E220/(IFERROR(SUM(Sales!C:C),0))*(IFERROR(SUM(Purchases!C:C),0)),0))</f>
        <v>761</v>
      </c>
      <c r="J220" s="77">
        <f t="shared" si="13"/>
        <v>761</v>
      </c>
      <c r="K220" s="77">
        <f t="shared" si="14"/>
        <v>3805</v>
      </c>
      <c r="L220" s="63" t="s">
        <v>1196</v>
      </c>
      <c r="M220" s="63"/>
      <c r="N220" s="58" t="s">
        <v>589</v>
      </c>
      <c r="P220" s="58" t="s">
        <v>1197</v>
      </c>
      <c r="S220" s="58"/>
      <c r="T220" s="58"/>
    </row>
    <row r="221" spans="1:20" ht="15" customHeight="1">
      <c r="A221" s="66" t="s">
        <v>1044</v>
      </c>
      <c r="B221" s="63" t="s">
        <v>1193</v>
      </c>
      <c r="C221" s="63" t="s">
        <v>95</v>
      </c>
      <c r="D221" s="64">
        <v>870</v>
      </c>
      <c r="E221" s="64">
        <v>1380</v>
      </c>
      <c r="F221" s="76">
        <v>0</v>
      </c>
      <c r="G221" s="76">
        <v>5</v>
      </c>
      <c r="H221" s="75">
        <f t="shared" si="12"/>
        <v>5</v>
      </c>
      <c r="I221" s="75">
        <f>IF(D221&lt;&gt;"",D221,IFERROR(E221/(IFERROR(SUM(Sales!C:C),0))*(IFERROR(SUM(Purchases!C:C),0)),0))</f>
        <v>870</v>
      </c>
      <c r="J221" s="75">
        <f t="shared" si="13"/>
        <v>0</v>
      </c>
      <c r="K221" s="75">
        <f t="shared" si="14"/>
        <v>4350</v>
      </c>
      <c r="L221" s="66"/>
      <c r="M221" s="66"/>
      <c r="N221" s="58" t="s">
        <v>678</v>
      </c>
      <c r="P221" s="58" t="s">
        <v>1194</v>
      </c>
      <c r="S221" s="58"/>
      <c r="T221" s="58"/>
    </row>
    <row r="222" spans="1:20" ht="15" customHeight="1">
      <c r="A222" s="63" t="s">
        <v>1045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1046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1047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1048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1049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1050</v>
      </c>
      <c r="B1" s="92"/>
    </row>
    <row r="2" spans="1:8" ht="13.5" customHeight="1">
      <c r="A2" s="8" t="s">
        <v>42</v>
      </c>
      <c r="B2" s="8" t="s">
        <v>1051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1052</v>
      </c>
      <c r="C7" s="83" t="s">
        <v>1053</v>
      </c>
      <c r="D7" s="83" t="s">
        <v>1054</v>
      </c>
      <c r="E7" s="83" t="s">
        <v>1055</v>
      </c>
      <c r="F7" s="83" t="s">
        <v>1056</v>
      </c>
      <c r="G7" s="83" t="s">
        <v>1057</v>
      </c>
      <c r="H7" s="83" t="s">
        <v>1058</v>
      </c>
    </row>
    <row r="8" spans="1:8" ht="13.5" customHeight="1">
      <c r="A8" s="9" t="s">
        <v>49</v>
      </c>
      <c r="B8" s="9">
        <f>IFERROR(SUMIF(Purchases!$B:$B,$A8,Purchases!$C:$C),0)</f>
        <v>252430</v>
      </c>
      <c r="C8" s="9">
        <f>SUM($B$8:$B$10)/3</f>
        <v>173832.33333333334</v>
      </c>
      <c r="D8" s="9">
        <f>B8-C8</f>
        <v>78597.666666666657</v>
      </c>
      <c r="E8" s="9">
        <f>IF(Summary!$B$6&gt;0, Summary!$B$6*VLOOKUP($A8,$A$3:$B$5,2,FALSE()),0)</f>
        <v>0</v>
      </c>
      <c r="F8" s="9">
        <f>D8+E8</f>
        <v>78597.666666666657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60294.32666666666</v>
      </c>
    </row>
    <row r="9" spans="1:8" ht="13.5" customHeight="1">
      <c r="A9" s="11" t="s">
        <v>50</v>
      </c>
      <c r="B9" s="11">
        <f>IFERROR(SUMIF(Purchases!$B:$B,$A9,Purchases!$C:$C),0)</f>
        <v>236467</v>
      </c>
      <c r="C9" s="11">
        <f>SUM($B$8:$B$10)/3</f>
        <v>173832.33333333334</v>
      </c>
      <c r="D9" s="11">
        <f>B9-C9</f>
        <v>62634.666666666657</v>
      </c>
      <c r="E9" s="11">
        <f>IF(Summary!$B$6&gt;0, Summary!$B$6*VLOOKUP($A9,$A$3:$B$5,2,FALSE()),0)</f>
        <v>0</v>
      </c>
      <c r="F9" s="11">
        <f>D9+E9</f>
        <v>62634.666666666657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20995.336666666655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173832.33333333334</v>
      </c>
      <c r="D10" s="9">
        <f>B10-C10</f>
        <v>-141232.33333333334</v>
      </c>
      <c r="E10" s="9">
        <f>IF(Summary!$B$6&gt;0, Summary!$B$6*VLOOKUP($A10,$A$3:$B$5,2,FALSE()),0)</f>
        <v>0</v>
      </c>
      <c r="F10" s="9">
        <f>D10+E10</f>
        <v>-141232.33333333334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-81289.663333333345</v>
      </c>
    </row>
    <row r="12" spans="1:8" s="87" customFormat="1" ht="15.75" customHeight="1">
      <c r="A12" s="93" t="s">
        <v>1059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1060</v>
      </c>
      <c r="C13" s="83" t="s">
        <v>1061</v>
      </c>
      <c r="D13" s="83" t="s">
        <v>1062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1063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1063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1063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1063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1063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1063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1063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1063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1063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1063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1064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1065</v>
      </c>
    </row>
    <row r="3" spans="1:7" s="84" customFormat="1" ht="13.5" customHeight="1">
      <c r="A3" s="83" t="s">
        <v>42</v>
      </c>
      <c r="B3" s="83" t="s">
        <v>1066</v>
      </c>
      <c r="C3" s="83" t="s">
        <v>1051</v>
      </c>
      <c r="D3" s="83" t="s">
        <v>1067</v>
      </c>
      <c r="E3" s="83" t="s">
        <v>1068</v>
      </c>
      <c r="F3" s="83" t="s">
        <v>1069</v>
      </c>
      <c r="G3" s="83" t="s">
        <v>1070</v>
      </c>
    </row>
    <row r="4" spans="1:7" ht="13.5" customHeight="1">
      <c r="A4" s="9" t="s">
        <v>49</v>
      </c>
      <c r="B4" s="9">
        <f>IFERROR(SUMIFS(Sales!$C:$C,Sales!$E:$E,$A4,Sales!$I:$I,"Completed"),0)</f>
        <v>406310</v>
      </c>
      <c r="C4" s="9">
        <f>VLOOKUP($A4,PartnerShares!$A$3:$B$5,2,FALSE())</f>
        <v>0.33339999999999997</v>
      </c>
      <c r="D4" s="9">
        <f>Summary!$B$4*C4</f>
        <v>157852.8976</v>
      </c>
      <c r="E4" s="9">
        <f>B4-D4</f>
        <v>248457.1024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111147.07639999999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157758.20480000001</v>
      </c>
      <c r="E5" s="11">
        <f>B5-D5</f>
        <v>-103134.20480000001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-31547.162800000006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157852.8976</v>
      </c>
      <c r="E6" s="9">
        <f>B6-D6</f>
        <v>-145322.8976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-79599.913599999985</v>
      </c>
    </row>
    <row r="9" spans="1:7" ht="13.5" customHeight="1">
      <c r="A9" s="6" t="s">
        <v>0</v>
      </c>
    </row>
    <row r="10" spans="1:7" ht="13.5" customHeight="1">
      <c r="A10" s="6" t="s">
        <v>1071</v>
      </c>
    </row>
    <row r="11" spans="1:7" ht="13.5" customHeight="1">
      <c r="A11" s="6" t="s">
        <v>1072</v>
      </c>
    </row>
    <row r="12" spans="1:7" ht="13.5" customHeight="1">
      <c r="A12" s="6" t="s">
        <v>1073</v>
      </c>
    </row>
    <row r="13" spans="1:7" ht="13.5" customHeight="1">
      <c r="A13" s="6" t="s">
        <v>1074</v>
      </c>
    </row>
    <row r="14" spans="1:7" ht="13.5" customHeight="1">
      <c r="A14" s="6" t="s">
        <v>1075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2026-07-28T04:11:53Z</dcterms:modified>
  <dc:language>en-US</dc:language>
</cp:coreProperties>
</file>