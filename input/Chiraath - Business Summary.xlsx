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1EA0668F-0587-AE42-A516-1D92C0DF7564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B6" i="2" l="1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B7" i="2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E10" i="7" l="1"/>
  <c r="B36" i="2" s="1"/>
  <c r="E9" i="7"/>
  <c r="B35" i="2" s="1"/>
  <c r="B6" i="3"/>
  <c r="D10" i="7"/>
  <c r="D20" i="2" s="1"/>
  <c r="F20" i="2" s="1"/>
  <c r="G20" i="2" s="1"/>
  <c r="D9" i="7"/>
  <c r="D19" i="2" s="1"/>
  <c r="F19" i="2" s="1"/>
  <c r="G19" i="2" s="1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<sst xmlns="http://schemas.openxmlformats.org/spreadsheetml/2006/main" count="2416" uniqueCount="964">
  <si>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</si>
  <si>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</si>
  <si>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</si>
  <si>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</si>
  <si>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</si>
  <si>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</si>
  <si>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</si>
  <si>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</si>
  <si>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</si>
  <si>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</si>
  <si>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</si>
  <si>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</si>
  <si>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</si>
  <si>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</si>
  <si>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</si>
  <si>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</si>
  <si>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</si>
  <si>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</si>
  <si>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</si>
  <si>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</si>
  <si>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</si>
  <si>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</si>
  <si>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</si>
  <si>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</si>
  <si>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</si>
  <si>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</si>
  <si>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</si>
  <si>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</si>
  <si>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</si>
  <si>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</si>
  <si>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</si>
  <si>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</si>
  <si>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</si>
  <si>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</si>
  <si>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</si>
  <si>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</si>
  <si>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</si>
  <si>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</si>
  <si>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</si>
  <si>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</si>
  <si>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</si>
  <si>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</si>
  <si>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</si>
  <si>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</si>
  <si>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</si>
  <si>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</si>
  <si>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</si>
  <si>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</si>
  <si>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</si>
  <si>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</si>
  <si>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</si>
  <si>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</si>
  <si>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</si>
  <si>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</si>
  <si>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</si>
  <si>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</si>
  <si>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</si>
  <si>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</si>
  <si>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</si>
  <si>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</si>
  <si>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</si>
  <si>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</si>
  <si>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</si>
  <si>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</si>
  <si>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</si>
  <si>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</si>
  <si>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</si>
  <si>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</si>
  <si>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</si>
  <si>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</si>
  <si>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</si>
  <si>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</si>
  <si>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</si>
  <si>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</si>
  <si>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</si>
  <si>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</si>
  <si>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</si>
  <si>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</si>
  <si>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</si>
  <si>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</si>
  <si>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</si>
  <si>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</si>
  <si>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</si>
  <si>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</si>
  <si>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</si>
  <si>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</si>
  <si>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</si>
  <si>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</si>
  <si>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</si>
  <si>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</si>
  <si>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</si>
  <si>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</si>
  <si>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</si>
  <si>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</si>
  <si>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</si>
  <si>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</si>
  <si>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</si>
  <si>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</si>
  <si>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</si>
  <si>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</si>
  <si>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</si>
  <si>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</si>
  <si>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</si>
  <si>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</si>
  <si>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</si>
  <si>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</si>
  <si>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</si>
  <si>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</si>
  <si>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</si>
  <si>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</si>
  <si>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</si>
  <si>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</si>
  <si>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</si>
  <si>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</si>
  <si>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</si>
  <si>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</si>
  <si>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</si>
  <si>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</si>
  <si>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</si>
  <si>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</si>
  <si>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</si>
  <si>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</si>
  <si>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</si>
  <si>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</si>
  <si>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</si>
  <si>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</si>
  <si>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</si>
  <si>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</si>
  <si>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</si>
  <si>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</si>
  <si>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</si>
  <si>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</si>
  <si>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</si>
  <si>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</si>
  <si>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</si>
  <si>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</si>
  <si>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</si>
  <si>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</si>
  <si>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</si>
  <si>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</si>
  <si>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</si>
  <si>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</si>
  <si>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</si>
  <si>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</si>
  <si>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</si>
  <si>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</si>
  <si>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</si>
  <si>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</si>
  <si>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</si>
  <si>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</si>
  <si>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</si>
  <si>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</si>
  <si>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</si>
  <si>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</si>
  <si>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</si>
  <si>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</si>
  <si>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</si>
  <si>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</si>
  <si>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</si>
  <si>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</si>
  <si>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</si>
  <si>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</si>
  <si>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</si>
  <si>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</si>
  <si>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</si>
  <si>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</si>
  <si>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</si>
  <si>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</si>
  <si>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</si>
  <si>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</si>
  <si>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</si>
  <si>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</si>
  <si>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</si>
  <si>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</si>
  <si>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</si>
  <si>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</si>
  <si>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</si>
  <si>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</si>
  <si>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</si>
  <si>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</si>
  <si>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</si>
  <si>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</si>
  <si>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</si>
  <si>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</si>
  <si>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</si>
  <si>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</si>
  <si>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</si>
  <si>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</si>
  <si>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</si>
  <si>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</si>
  <si>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</si>
  <si>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</si>
  <si>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</si>
  <si>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</si>
  <si>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</si>
  <si>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</si>
  <si>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</si>
  <si>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</si>
  <si>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</si>
  <si>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</si>
  <si>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</si>
  <si>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</si>
  <si>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</si>
  <si>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</si>
  <si>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</si>
  <si>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</si>
  <si>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</si>
  <si>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</si>
  <si>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</si>
  <si>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</si>
  <si>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</si>
  <si>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</si>
  <si>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</si>
  <si>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</si>
  <si>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</si>
  <si>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</si>
  <si>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</si>
  <si>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</si>
  <si>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</si>
  <si>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</si>
  <si>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</si>
  <si>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</si>
  <si>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</si>
  <si>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</si>
  <si>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</si>
  <si>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</si>
  <si>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</si>
  <si>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</si>
  <si>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</si>
  <si>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</si>
  <si>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</si>
  <si>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</si>
  <si>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</si>
  <si>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</si>
  <si>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</si>
  <si>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</si>
  <si>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</si>
  <si>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</si>
  <si>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</si>
  <si>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</si>
  <si>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</si>
  <si>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</si>
  <si>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</si>
  <si>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</si>
  <si>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</si>
  <si>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</si>
  <si>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</si>
  <si>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</si>
  <si>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</si>
  <si>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</si>
  <si>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</si>
  <si>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</si>
  <si>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</si>
  <si>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</si>
  <si>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</si>
  <si>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</si>
  <si>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</si>
  <si>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</si>
  <si>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</si>
  <si>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</si>
  <si>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</si>
  <si>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</si>
  <si>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</si>
  <si>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</si>
  <si>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</si>
  <si>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</si>
  <si>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</si>
  <si>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</si>
  <si>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</si>
  <si>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</si>
  <si>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</si>
  <si>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</si>
  <si>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</si>
  <si>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</si>
  <si>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</si>
  <si>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</si>
  <si>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</si>
  <si>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</si>
  <si>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</si>
  <si>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</si>
  <si>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</si>
  <si>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</si>
  <si>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</si>
  <si>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</si>
  <si>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</si>
  <si>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</si>
  <si>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</si>
  <si>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</si>
  <si>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</si>
  <si>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</si>
  <si>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</si>
  <si>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</si>
  <si>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</si>
  <si>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</si>
  <si>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</si>
  <si>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</si>
  <si>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</si>
  <si>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</si>
  <si>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</si>
  <si>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</si>
  <si>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</si>
  <si>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</si>
  <si>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</si>
  <si>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</si>
  <si>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</si>
  <si>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</si>
  <si>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</si>
  <si>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</si>
  <si>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</si>
  <si>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</si>
  <si>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</si>
  <si>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</si>
  <si>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</si>
  <si>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</si>
  <si>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</si>
  <si>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</si>
  <si>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</si>
  <si>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</si>
  <si>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</si>
  <si>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</si>
  <si>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</si>
  <si>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</si>
  <si>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</si>
  <si>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</si>
  <si>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</si>
  <si>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</si>
  <si>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</si>
  <si>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</si>
  <si>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</si>
  <si>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</si>
  <si>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</si>
  <si>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</si>
  <si>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</si>
  <si>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</si>
  <si>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</si>
  <si>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</si>
  <si>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</si>
  <si>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</si>
  <si>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</si>
  <si>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</si>
  <si>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</si>
  <si>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</si>
  <si>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</si>
  <si>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</si>
  <si>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</si>
  <si>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</si>
  <si>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</si>
  <si>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</si>
  <si>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</si>
  <si>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</si>
  <si>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</si>
  <si>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</si>
  <si>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</si>
  <si>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</si>
  <si>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</si>
  <si>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</si>
  <si>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</si>
  <si>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</si>
  <si>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</si>
  <si>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</si>
  <si>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</si>
  <si>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</si>
  <si>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</si>
  <si>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</si>
  <si>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</si>
  <si>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</si>
  <si>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</si>
  <si>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</si>
  <si>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</si>
  <si>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</si>
  <si>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</si>
  <si>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</si>
  <si>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</si>
  <si>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</si>
  <si>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</si>
  <si>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</si>
  <si>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</si>
  <si>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</si>
  <si>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</si>
  <si>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</si>
  <si>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</si>
  <si>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</si>
  <si>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</si>
  <si>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</si>
  <si>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</si>
  <si>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</si>
  <si>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</si>
  <si>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</si>
  <si>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</si>
  <si>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</si>
  <si>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</si>
  <si>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</si>
  <si>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</si>
  <si>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</si>
  <si>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</si>
  <si>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</si>
  <si>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</si>
  <si>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</si>
  <si>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</si>
  <si>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</si>
  <si>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</si>
  <si>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</si>
  <si>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</si>
  <si>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</si>
  <si>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</si>
  <si>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</si>
  <si>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</si>
  <si>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</si>
  <si>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</si>
  <si>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</si>
  <si>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</si>
  <si>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</si>
  <si>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</si>
  <si>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</si>
  <si>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</si>
  <si>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</si>
  <si>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</si>
  <si>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</si>
  <si>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</si>
  <si>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</si>
  <si>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</si>
  <si>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</si>
  <si>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</si>
  <si>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</si>
  <si>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</si>
  <si>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</si>
  <si>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</si>
  <si>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</si>
  <si>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</si>
  <si>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</si>
  <si>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</si>
  <si>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</si>
  <si>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</si>
  <si>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</si>
  <si>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</si>
  <si>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</si>
  <si>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</si>
  <si>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</si>
  <si>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</si>
  <si>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</si>
  <si>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</si>
  <si>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</si>
  <si>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</si>
  <si>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</si>
  <si>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</si>
  <si>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</si>
  <si>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</si>
  <si>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</si>
  <si>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</si>
  <si>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</si>
  <si>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</si>
  <si>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</si>
  <si>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</si>
  <si>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</si>
  <si>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</si>
  <si>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</si>
  <si>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</si>
  <si>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</si>
  <si>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</si>
  <si>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</si>
  <si>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</si>
  <si>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</si>
  <si>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</si>
  <si>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</si>
  <si>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</si>
  <si>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</si>
  <si>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</si>
  <si>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</si>
  <si>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</si>
  <si>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</si>
  <si>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</si>
  <si>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</si>
  <si>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</si>
  <si>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</si>
  <si>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</si>
  <si>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</si>
  <si>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</si>
  <si>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</si>
  <si>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</si>
  <si>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</si>
  <si>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</si>
  <si>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</si>
  <si>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</si>
  <si>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</si>
  <si>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</si>
  <si>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</si>
  <si>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</si>
  <si>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</si>
  <si>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</si>
  <si>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</si>
  <si>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</si>
  <si>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</si>
  <si>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</si>
  <si>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</si>
  <si>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</si>
  <si>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</si>
  <si>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</si>
  <si>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</si>
  <si>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</si>
  <si>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</si>
  <si>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</si>
  <si>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</si>
  <si>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</si>
  <si>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</si>
  <si>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</si>
  <si>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</si>
  <si>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</si>
  <si>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</si>
  <si>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</si>
  <si>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</si>
  <si>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</si>
  <si>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</si>
  <si>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</si>
  <si>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</si>
  <si>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</si>
  <si>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</si>
  <si>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</si>
  <si>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</si>
  <si>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</si>
  <si>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</si>
  <si>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</si>
  <si>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</si>
  <si>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</si>
  <si>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</si>
  <si>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</si>
  <si>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</si>
  <si>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</si>
  <si>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</si>
  <si>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</si>
  <si>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</si>
  <si>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</si>
  <si>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</si>
  <si>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</si>
  <si>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</si>
  <si>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</si>
  <si>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</si>
  <si>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</si>
  <si>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</si>
  <si>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</si>
  <si>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</si>
  <si>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</si>
  <si>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</si>
  <si>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</si>
  <si>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</si>
  <si>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</si>
  <si>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</si>
  <si>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</si>
  <si>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</si>
  <si>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</si>
  <si>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</si>
  <si>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</si>
  <si>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</si>
  <si>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</si>
  <si>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</si>
  <si>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</si>
  <si>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</si>
  <si>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</si>
  <si>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</si>
  <si>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</si>
  <si>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</si>
  <si>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</si>
  <si>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</si>
  <si>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</si>
  <si>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</si>
  <si>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</si>
  <si>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</si>
  <si>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</si>
  <si>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</si>
  <si>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</si>
  <si>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</si>
  <si>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</si>
  <si>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</si>
  <si>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</si>
  <si>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</si>
  <si>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</si>
  <si>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</si>
  <si>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</si>
  <si>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</si>
  <si>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</si>
  <si>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</si>
  <si>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</si>
  <si>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</si>
  <si>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</si>
  <si>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</si>
  <si>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</si>
  <si>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</si>
  <si>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</si>
  <si>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</si>
  <si>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</si>
  <si>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</si>
  <si>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</si>
  <si>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</si>
  <si>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</si>
  <si>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</si>
  <si>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</si>
  <si>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</si>
  <si>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</si>
  <si>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</si>
  <si>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</si>
  <si>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</si>
  <si>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</si>
  <si>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</si>
  <si>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</si>
  <si>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</si>
  <si>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</si>
  <si>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</si>
  <si>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</si>
  <si>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</si>
  <si>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</si>
  <si>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</si>
  <si>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</si>
  <si>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</si>
  <si>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</si>
  <si>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</si>
  <si>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</si>
  <si>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</si>
  <si>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</si>
  <si>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</si>
  <si>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</si>
  <si>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</si>
  <si>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</si>
  <si>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</si>
  <si>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</si>
  <si>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</si>
  <si>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</si>
  <si>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</si>
  <si>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</si>
  <si>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</si>
  <si>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</si>
  <si>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</si>
  <si>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</si>
  <si>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</si>
  <si>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</si>
  <si>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</si>
  <si>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</si>
  <si>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</si>
  <si>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</si>
  <si>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</si>
  <si>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</si>
  <si>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</si>
  <si>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</si>
  <si>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</si>
  <si>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</si>
  <si>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</si>
  <si>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</si>
  <si>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</si>
  <si>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</si>
  <si>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</si>
  <si>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</si>
  <si>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</si>
  <si>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</si>
  <si>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</si>
  <si>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</si>
  <si>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</si>
  <si>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</si>
  <si>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</si>
  <si>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</si>
  <si>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</si>
  <si>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</si>
  <si>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</si>
  <si>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</si>
  <si>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</si>
  <si>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</si>
  <si>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</si>
  <si>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</si>
  <si>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</si>
  <si>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</si>
  <si>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</si>
  <si>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</si>
  <si>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</si>
  <si>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</si>
  <si>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</si>
  <si>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</si>
  <si>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</si>
  <si>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</si>
  <si>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</si>
  <si>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</si>
  <si>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</si>
  <si>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</si>
  <si>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</si>
  <si>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</si>
  <si>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</si>
  <si>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</si>
  <si>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</si>
  <si>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</si>
  <si>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</si>
  <si>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</si>
  <si>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</si>
  <si>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</si>
  <si>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</si>
  <si>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</si>
  <si>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</si>
  <si>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</si>
  <si>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</si>
  <si>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</si>
  <si>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</si>
  <si>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</si>
  <si>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</si>
  <si>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</si>
  <si>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</si>
  <si>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</si>
  <si>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</si>
  <si>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</si>
  <si>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</si>
  <si>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</si>
  <si>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</si>
  <si>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</si>
  <si>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</si>
  <si>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</si>
  <si>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</si>
  <si>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</si>
  <si>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</si>
  <si>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</si>
  <si>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</si>
  <si>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</si>
  <si>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</si>
  <si>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</si>
  <si>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</si>
  <si>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</si>
  <si>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</si>
  <si>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</si>
  <si>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</si>
  <si>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</si>
  <si>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</si>
  <si>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</si>
  <si>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</si>
  <si>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</si>
  <si>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</si>
  <si>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</si>
  <si>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</si>
  <si>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</si>
  <si>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</si>
  <si>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</si>
  <si>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</si>
  <si>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</si>
  <si>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</si>
  <si>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</si>
  <si>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</si>
  <si>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</si>
  <si>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</si>
  <si>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</si>
  <si>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</si>
  <si>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</si>
  <si>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</si>
  <si>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</si>
  <si>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</si>
  <si>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</si>
  <si>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</si>
  <si>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</si>
  <si>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</si>
  <si>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</si>
  <si>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</si>
  <si>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</si>
  <si>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</si>
  <si>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</si>
  <si>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</si>
  <si>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</si>
  <si>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</si>
  <si>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</si>
  <si>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</si>
  <si>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</si>
  <si>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</si>
  <si>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</si>
  <si>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</si>
  <si>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</si>
  <si>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</si>
  <si>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</si>
  <si>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</si>
  <si>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</si>
  <si>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</si>
  <si>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</si>
  <si>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</si>
  <si>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</si>
  <si>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</si>
  <si>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</si>
  <si>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</si>
  <si>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</si>
  <si>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</si>
  <si>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</si>
  <si>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</si>
  <si>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</si>
  <si>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</si>
  <si>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</si>
  <si>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</si>
  <si>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</si>
  <si>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</si>
  <si>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</si>
  <si>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</si>
  <si>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</si>
  <si>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</si>
  <si>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</si>
  <si>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</si>
  <si>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</si>
  <si>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</si>
  <si>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</si>
  <si>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</si>
  <si>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</si>
  <si>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</si>
  <si>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</si>
  <si>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</si>
  <si>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</si>
  <si>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</si>
  <si>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</si>
  <si>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</si>
  <si>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</si>
  <si>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</si>
  <si>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</si>
  <si>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</si>
  <si>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</si>
  <si>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</si>
  <si>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</si>
  <si>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</si>
  <si>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</si>
  <si>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</si>
  <si>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</t>
  </si>
  <si>
    <t>M, L, XL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</si>
  <si>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</si>
  <si>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</si>
  <si>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</si>
  <si>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</si>
  <si>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</si>
  <si>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</si>
  <si>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</si>
  <si>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</si>
  <si>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</si>
  <si>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</si>
  <si>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</si>
  <si>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</si>
  <si>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</si>
  <si>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</si>
  <si>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</si>
  <si>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</si>
  <si>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</si>
  <si>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</si>
  <si>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</si>
  <si>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</si>
  <si>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</si>
  <si>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</si>
  <si>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</si>
  <si>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</si>
  <si>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</si>
  <si>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</si>
  <si>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</si>
  <si>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</si>
  <si>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</si>
  <si>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</si>
  <si>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</si>
  <si>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</si>
  <si>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</si>
  <si>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</si>
  <si>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</si>
  <si>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</si>
  <si>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</si>
  <si>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</si>
  <si>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</si>
  <si>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</si>
  <si>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</si>
  <si>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</si>
  <si>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</si>
  <si>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</si>
  <si>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</si>
  <si>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</si>
  <si>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</si>
  <si>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</si>
  <si>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</si>
  <si>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</si>
  <si>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</si>
  <si>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</si>
  <si>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</si>
  <si>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</si>
  <si>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</si>
  <si>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</si>
  <si>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</si>
  <si>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</si>
  <si>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</si>
  <si>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</si>
  <si>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</si>
  <si>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</si>
  <si>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</si>
  <si>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</si>
  <si>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</si>
  <si>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</si>
  <si>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</si>
  <si>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</si>
  <si>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</si>
  <si>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</si>
  <si>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</si>
  <si>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</si>
  <si>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</si>
  <si>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</si>
  <si>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</si>
  <si>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</si>
  <si>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</si>
  <si>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</si>
  <si>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</si>
  <si>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</si>
  <si>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</si>
  <si>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</si>
  <si>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</si>
  <si>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</si>
  <si>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</si>
  <si>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</si>
  <si>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</si>
  <si>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</si>
  <si>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</si>
  <si>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</si>
  <si>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</si>
  <si>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</si>
  <si>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</si>
  <si>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</si>
  <si>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</si>
  <si>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</si>
  <si>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</si>
  <si>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</si>
  <si>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</si>
  <si>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Banarasi Green Old design (1000 advance)</t>
  </si>
  <si>
    <t>Sungudi (Alice Christy inspired)</t>
  </si>
  <si>
    <t>Salwar maroon single piece M (CHR-78) - 500 advance, 300 pending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</si>
  <si>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</si>
  <si>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</si>
  <si>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</si>
  <si>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</si>
  <si>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</si>
  <si>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</si>
  <si>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</si>
  <si>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</si>
  <si>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</si>
  <si>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</si>
  <si>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</si>
  <si>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</si>
  <si>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</si>
  <si>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</si>
  <si>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</si>
  <si>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Sherin - Maroon/navy blue(1099), Lakshmi - Navy Blue &amp; Maroon, Jaimy - Peacok Blue/Maroon</t>
  </si>
  <si>
    <t>Chithra- peacok blue, Indu Varier - Green, Susmi - Maroon, Jaimy - Purple/Bottle Green</t>
  </si>
  <si>
    <t>Grey-Black/Red</t>
  </si>
  <si>
    <t>Matka (peacock blue/maroon CHR-174), Narayanpett purple/bottle green (CHR-163)</t>
  </si>
  <si>
    <t>Peacok Blue/Maroon - 2
Purple/Green - 1
Navy Blue/Maroon - 2
Lavender/Violet - 1
Grey/Blue - 1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</si>
  <si>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</si>
  <si>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</si>
  <si>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</si>
  <si>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</si>
  <si>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</si>
  <si>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</si>
  <si>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</si>
  <si>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</si>
  <si>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</si>
  <si>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</si>
  <si>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</si>
  <si>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</si>
  <si>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</si>
  <si>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</si>
  <si>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</si>
  <si>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</si>
  <si>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</si>
  <si>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</si>
  <si>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</si>
  <si>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</si>
  <si>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Latha Suresh (Malappuram)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</si>
  <si>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</t>
  </si>
  <si>
    <t xml:space="preserve">
Blue (2), mustard yellow (1), Maroon (1), off white (1), Orange (1), Black(3), White(5)</t>
  </si>
  <si>
    <t>Boostin charges</t>
  </si>
  <si>
    <t>Kannur Salwar Purchase</t>
  </si>
  <si>
    <t>Courier covers and butter papers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</si>
</sst>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209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63</c:v>
                </c:pt>
                <c:pt idx="1">
                  <c:v>59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61609</c:v>
                </c:pt>
                <c:pt idx="1">
                  <c:v>42615.356666666667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4440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55267</c:v>
                </c:pt>
                <c:pt idx="4">
                  <c:v>53524</c:v>
                </c:pt>
                <c:pt idx="5">
                  <c:v>9843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-15735</c:v>
                </c:pt>
                <c:pt idx="4">
                  <c:v>49075</c:v>
                </c:pt>
                <c:pt idx="5">
                  <c:v>5403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298</c:v>
                </c:pt>
                <c:pt idx="1">
                  <c:v>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B40" sqref="B40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359182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346141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365446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-13041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20214.326666666671</v>
      </c>
      <c r="C10" s="9"/>
    </row>
    <row r="11" spans="1:6" ht="13.5" customHeight="1">
      <c r="A11" s="11" t="s">
        <v>50</v>
      </c>
      <c r="B11" s="14">
        <f>PartnerShares!H9</f>
        <v>6970.3366666666698</v>
      </c>
      <c r="C11" s="11"/>
    </row>
    <row r="12" spans="1:6" ht="13.5" customHeight="1">
      <c r="A12" s="9" t="s">
        <v>51</v>
      </c>
      <c r="B12" s="13">
        <f>PartnerShares!H10</f>
        <v>-27184.66333333333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158245</v>
      </c>
      <c r="C18" s="10">
        <f>PartnerShares!C8</f>
        <v>119727.33333333333</v>
      </c>
      <c r="D18" s="10">
        <f>PartnerShares!D8</f>
        <v>38517.666666666672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20214.326666666671</v>
      </c>
      <c r="G18" s="16" t="str">
        <f>IF(ROUND(F18,0)&gt;0,"Receive ₹"&amp;TEXT(ABS(F18),"#,##0"),IF(ROUND(F18,0)&lt;0,"Pay ₹"&amp;TEXT(ABS(F18),"#,##0"),"✓ Settled"))</f>
        <v>Receive ₹20,214</v>
      </c>
    </row>
    <row r="19" spans="1:7" ht="13.5" customHeight="1">
      <c r="A19" s="11" t="str">
        <f>PartnerShares!A9</f>
        <v>Anoop</v>
      </c>
      <c r="B19" s="12">
        <f>PartnerShares!B9</f>
        <v>168337</v>
      </c>
      <c r="C19" s="12">
        <f>PartnerShares!C9</f>
        <v>119727.33333333333</v>
      </c>
      <c r="D19" s="12">
        <f>PartnerShares!D9</f>
        <v>48609.666666666672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6970.3366666666698</v>
      </c>
      <c r="G19" s="17" t="str">
        <f>IF(ROUND(F19,0)&gt;0,"Receive ₹"&amp;TEXT(ABS(F19),"#,##0"),IF(ROUND(F19,0)&lt;0,"Pay ₹"&amp;TEXT(ABS(F19),"#,##0"),"✓ Settled"))</f>
        <v>Receive ₹6,970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119727.33333333333</v>
      </c>
      <c r="D20" s="10">
        <f>PartnerShares!D10</f>
        <v>-87127.333333333328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-27184.66333333333</v>
      </c>
      <c r="G20" s="17" t="str">
        <f>IF(ROUND(F20,0)&gt;0,"Receive ₹"&amp;TEXT(ABS(F20),"#,##0"),IF(ROUND(F20,0)&lt;0,"Pay ₹"&amp;TEXT(ABS(F20),"#,##0"),"✓ Settled"))</f>
        <v>Pay ₹27,185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288042</v>
      </c>
      <c r="C26" s="10">
        <f>'Cash Pool'!D4</f>
        <v>115403.40939999999</v>
      </c>
      <c r="D26" s="10">
        <f>'Cash Pool'!E4</f>
        <v>172638.5906</v>
      </c>
      <c r="E26" s="10">
        <f>'Cash Pool'!F4</f>
        <v>-137310.02600000001</v>
      </c>
      <c r="F26" s="13">
        <f>'Cash Pool'!G4</f>
        <v>35328.564599999983</v>
      </c>
      <c r="G26" s="17" t="str">
        <f>IF(ROUND(F26,0)&gt;0,"Pay ₹"&amp;TEXT(ABS(F26),"#,##0"),IF(ROUND(F26,0)&lt;0,"Receive ₹"&amp;TEXT(ABS(F26),"#,##0"),"✓ Settled"))</f>
        <v>Pay ₹35,329</v>
      </c>
    </row>
    <row r="27" spans="1:7" ht="13.5" customHeight="1">
      <c r="A27" s="11" t="str">
        <f>'Cash Pool'!A5</f>
        <v>Anoop</v>
      </c>
      <c r="B27" s="12">
        <f>'Cash Pool'!B5</f>
        <v>45569</v>
      </c>
      <c r="C27" s="12">
        <f>'Cash Pool'!D5</f>
        <v>115334.18119999999</v>
      </c>
      <c r="D27" s="12">
        <f>'Cash Pool'!E5</f>
        <v>-69765.181199999992</v>
      </c>
      <c r="E27" s="12">
        <f>'Cash Pool'!F5</f>
        <v>71587.042000000001</v>
      </c>
      <c r="F27" s="14">
        <f>'Cash Pool'!G5</f>
        <v>1821.8608000000095</v>
      </c>
      <c r="G27" s="18" t="str">
        <f>IF(ROUND(F27,0)&gt;0,"Pay ₹"&amp;TEXT(ABS(F27),"#,##0"),IF(ROUND(F27,0)&lt;0,"Receive ₹"&amp;TEXT(ABS(F27),"#,##0"),"✓ Settled"))</f>
        <v>Pay ₹1,822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115403.40939999999</v>
      </c>
      <c r="D28" s="10">
        <f>'Cash Pool'!E6</f>
        <v>-102873.40939999999</v>
      </c>
      <c r="E28" s="10">
        <f>'Cash Pool'!F6</f>
        <v>65722.984000000011</v>
      </c>
      <c r="F28" s="13">
        <f>'Cash Pool'!G6</f>
        <v>-37150.425399999978</v>
      </c>
      <c r="G28" s="16" t="str">
        <f>IF(ROUND(F28,0)&gt;0,"Pay ₹"&amp;TEXT(ABS(F28),"#,##0"),IF(ROUND(F28,0)&lt;0,"Receive ₹"&amp;TEXT(ABS(F28),"#,##0"),"✓ Settled"))</f>
        <v>Receive ₹37,150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46177</v>
      </c>
    </row>
    <row r="5" spans="1:8" ht="15" customHeight="1">
      <c r="A5" s="19" t="s">
        <v>41</v>
      </c>
      <c r="B5" s="21">
        <f>Summary!B3</f>
        <v>359182</v>
      </c>
      <c r="D5" s="19" t="s">
        <v>69</v>
      </c>
      <c r="E5" s="21">
        <f>Summary!B4</f>
        <v>346141</v>
      </c>
    </row>
    <row r="6" spans="1:8" ht="15" customHeight="1">
      <c r="A6" s="19" t="s">
        <v>70</v>
      </c>
      <c r="B6" s="21">
        <f>Summary!B6</f>
        <v>-13041</v>
      </c>
      <c r="D6" s="19" t="s">
        <v>71</v>
      </c>
      <c r="E6" s="21">
        <f>SUMIFS(INVENTORY!K:K, INVENTORY!N:N, "&lt;&gt;Sold Out")</f>
        <v>96277.556666666656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298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126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55267</v>
      </c>
      <c r="D13" s="27">
        <f t="shared" si="0"/>
        <v>-15735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53524</v>
      </c>
      <c r="D14" s="21">
        <f t="shared" si="0"/>
        <v>49075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4440</v>
      </c>
      <c r="C15" s="27">
        <f>IFERROR(SUMPRODUCT((TEXT(Sales!$A$2:$A$996,"MMM")=$A15)*(YEAR(Sales!$A$2:$A$996)=$B$7)*Sales!$C$2:$C$996),0)</f>
        <v>9843</v>
      </c>
      <c r="D15" s="27">
        <f t="shared" si="0"/>
        <v>5403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209</v>
      </c>
      <c r="H47" s="30">
        <f>SUMIF(INVENTORY!C:C, F47, INVENTORY!G:G)</f>
        <v>63</v>
      </c>
      <c r="J47" s="30" t="s">
        <v>96</v>
      </c>
      <c r="K47" s="31">
        <f t="array" ref="K47">SUMPRODUCT((INVENTORY!$C$2:$C$477=J47)*(INVENTORY!$D$2:$D$477)*(INVENTORY!$G$2:$G$477))</f>
        <v>61609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59</v>
      </c>
      <c r="J48" s="30" t="s">
        <v>95</v>
      </c>
      <c r="K48" s="31">
        <f t="array" ref="K48">SUMPRODUCT((INVENTORY!$C$2:$C$477=J48)*(INVENTORY!$D$2:$D$477)*(INVENTORY!$G$2:$G$477))</f>
        <v>42615.356666666667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55" activePane="bottomLeft" state="frozen"/>
      <selection pane="bottomLeft" activeCell="D73" sqref="D73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961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962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963</v>
      </c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tabSelected="1" zoomScale="130" zoomScaleNormal="130" workbookViewId="0">
      <pane ySplit="1" topLeftCell="A158" activePane="bottomLeft" state="frozen"/>
      <selection pane="bottomLeft" activeCell="H199" sqref="H199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38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916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1380</v>
      </c>
      <c r="D160" s="53" t="s">
        <v>156</v>
      </c>
      <c r="E160" s="53" t="s">
        <v>49</v>
      </c>
      <c r="F160" s="56"/>
      <c r="G160" s="56"/>
      <c r="H160" s="57" t="s">
        <v>915</v>
      </c>
      <c r="I160" s="53" t="s">
        <v>341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1380</v>
      </c>
      <c r="D164" s="53"/>
      <c r="E164" s="53" t="s">
        <v>49</v>
      </c>
      <c r="F164" s="56"/>
      <c r="G164" s="56"/>
      <c r="H164" s="57" t="s">
        <v>358</v>
      </c>
      <c r="I164" s="53" t="s">
        <v>341</v>
      </c>
    </row>
    <row r="165" spans="1:9" ht="13.5" customHeight="1">
      <c r="A165" s="48">
        <v>46133</v>
      </c>
      <c r="B165" s="49" t="s">
        <v>158</v>
      </c>
      <c r="C165" s="50">
        <v>1380</v>
      </c>
      <c r="D165" s="49"/>
      <c r="E165" s="49" t="s">
        <v>49</v>
      </c>
      <c r="F165" s="49"/>
      <c r="G165" s="49"/>
      <c r="H165" s="51" t="s">
        <v>359</v>
      </c>
      <c r="I165" s="49" t="s">
        <v>341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1250</v>
      </c>
      <c r="D167" s="49"/>
      <c r="E167" s="49" t="s">
        <v>49</v>
      </c>
      <c r="F167" s="49"/>
      <c r="G167" s="49"/>
      <c r="H167" s="51" t="s">
        <v>362</v>
      </c>
      <c r="I167" s="49" t="s">
        <v>341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/>
      <c r="E168" s="49" t="s">
        <v>49</v>
      </c>
      <c r="F168" s="49"/>
      <c r="G168" s="49"/>
      <c r="H168" s="51" t="s">
        <v>917</v>
      </c>
      <c r="I168" s="49" t="s">
        <v>341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/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680</v>
      </c>
      <c r="D171" s="53" t="s">
        <v>156</v>
      </c>
      <c r="E171" s="53" t="s">
        <v>49</v>
      </c>
      <c r="F171" s="56"/>
      <c r="G171" s="56"/>
      <c r="H171" s="57" t="s">
        <v>363</v>
      </c>
      <c r="I171" s="53" t="s">
        <v>142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955</v>
      </c>
      <c r="I180" s="49" t="s">
        <v>142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918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920</v>
      </c>
      <c r="I198" s="53" t="s">
        <v>142</v>
      </c>
    </row>
    <row r="199" spans="1:9" ht="14">
      <c r="A199" s="48">
        <v>46172</v>
      </c>
      <c r="B199" s="49" t="s">
        <v>921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924</v>
      </c>
      <c r="I199" s="49" t="s">
        <v>341</v>
      </c>
    </row>
    <row r="200" spans="1:9" ht="28">
      <c r="A200" s="52">
        <v>46173</v>
      </c>
      <c r="B200" s="53" t="s">
        <v>922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938</v>
      </c>
      <c r="I200" s="53" t="s">
        <v>341</v>
      </c>
    </row>
    <row r="201" spans="1:9" ht="28">
      <c r="A201" s="48">
        <v>46173</v>
      </c>
      <c r="B201" s="49" t="s">
        <v>932</v>
      </c>
      <c r="C201" s="50">
        <v>2850</v>
      </c>
      <c r="D201" s="49" t="s">
        <v>144</v>
      </c>
      <c r="E201" s="49" t="s">
        <v>50</v>
      </c>
      <c r="F201" s="49"/>
      <c r="G201" s="49"/>
      <c r="H201" s="51" t="s">
        <v>936</v>
      </c>
      <c r="I201" s="49" t="s">
        <v>341</v>
      </c>
    </row>
    <row r="202" spans="1:9" ht="14">
      <c r="A202" s="52">
        <v>46173</v>
      </c>
      <c r="B202" s="53" t="s">
        <v>923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927</v>
      </c>
      <c r="I202" s="53" t="s">
        <v>341</v>
      </c>
    </row>
    <row r="203" spans="1:9" ht="14">
      <c r="A203" s="48">
        <v>46173</v>
      </c>
      <c r="B203" s="49" t="s">
        <v>928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929</v>
      </c>
      <c r="I203" s="49" t="s">
        <v>341</v>
      </c>
    </row>
    <row r="204" spans="1:9" ht="14">
      <c r="A204" s="52">
        <v>46175</v>
      </c>
      <c r="B204" s="53" t="s">
        <v>939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929</v>
      </c>
      <c r="I204" s="53" t="s">
        <v>142</v>
      </c>
    </row>
    <row r="205" spans="1:9" ht="14">
      <c r="A205" s="48">
        <v>46175</v>
      </c>
      <c r="B205" s="49" t="s">
        <v>940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941</v>
      </c>
      <c r="I205" s="49" t="s">
        <v>142</v>
      </c>
    </row>
    <row r="206" spans="1:9" ht="14">
      <c r="A206" s="52">
        <v>46175</v>
      </c>
      <c r="B206" s="53" t="s">
        <v>942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943</v>
      </c>
      <c r="I206" s="53" t="s">
        <v>142</v>
      </c>
    </row>
    <row r="207" spans="1:9" ht="14">
      <c r="A207" s="48">
        <v>46175</v>
      </c>
      <c r="B207" s="49" t="s">
        <v>944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945</v>
      </c>
      <c r="I207" s="49" t="s">
        <v>142</v>
      </c>
    </row>
    <row r="208" spans="1:9" ht="14">
      <c r="A208" s="52">
        <v>46175</v>
      </c>
      <c r="B208" s="53" t="s">
        <v>946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947</v>
      </c>
      <c r="I208" s="53" t="s">
        <v>142</v>
      </c>
    </row>
    <row r="209" spans="1:9" ht="14">
      <c r="A209" s="48">
        <v>46176</v>
      </c>
      <c r="B209" s="49" t="s">
        <v>951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945</v>
      </c>
      <c r="I209" s="49" t="s">
        <v>142</v>
      </c>
    </row>
    <row r="210" spans="1:9" ht="28">
      <c r="A210" s="52">
        <v>46176</v>
      </c>
      <c r="B210" s="53" t="s">
        <v>948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949</v>
      </c>
      <c r="I210" s="53" t="s">
        <v>142</v>
      </c>
    </row>
    <row r="211" spans="1:9" ht="14">
      <c r="A211" s="48">
        <v>46176</v>
      </c>
      <c r="B211" s="49" t="s">
        <v>952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953</v>
      </c>
      <c r="I211" s="49" t="s">
        <v>142</v>
      </c>
    </row>
    <row r="212" spans="1:9">
      <c r="A212" s="52">
        <v>46176</v>
      </c>
      <c r="B212" s="53" t="s">
        <v>954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929</v>
      </c>
      <c r="I212" s="53" t="s">
        <v>142</v>
      </c>
    </row>
    <row r="213" spans="1:9" ht="14">
      <c r="A213" s="48">
        <v>46176</v>
      </c>
      <c r="B213" s="49" t="s">
        <v>957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953</v>
      </c>
      <c r="I213" s="49" t="s">
        <v>142</v>
      </c>
    </row>
    <row r="214" spans="1:9">
      <c r="A214" s="52">
        <v>46177</v>
      </c>
      <c r="B214" s="53" t="s">
        <v>958</v>
      </c>
      <c r="C214" s="54">
        <v>699</v>
      </c>
      <c r="D214" s="53" t="s">
        <v>156</v>
      </c>
      <c r="E214" s="53" t="s">
        <v>49</v>
      </c>
      <c r="F214" s="56"/>
      <c r="G214" s="56"/>
      <c r="H214" s="56" t="s">
        <v>929</v>
      </c>
      <c r="I214" s="53" t="s">
        <v>142</v>
      </c>
    </row>
    <row r="215" spans="1:9">
      <c r="A215" s="48"/>
      <c r="B215" s="49"/>
      <c r="C215" s="50"/>
      <c r="D215" s="49"/>
      <c r="E215" s="49"/>
      <c r="F215" s="49"/>
      <c r="G215" s="49"/>
      <c r="H215" s="51"/>
      <c r="I215" s="49"/>
    </row>
    <row r="216" spans="1:9">
      <c r="A216" s="52"/>
      <c r="B216" s="53"/>
      <c r="C216" s="54"/>
      <c r="D216" s="53"/>
      <c r="E216" s="53"/>
      <c r="F216" s="56"/>
      <c r="G216" s="56"/>
      <c r="H216" s="57"/>
      <c r="I216" s="53"/>
    </row>
    <row r="217" spans="1:9">
      <c r="A217" s="48"/>
      <c r="B217" s="49"/>
      <c r="C217" s="50"/>
      <c r="D217" s="49"/>
      <c r="E217" s="49"/>
      <c r="F217" s="49"/>
      <c r="G217" s="49"/>
      <c r="H217" s="51"/>
      <c r="I217" s="49"/>
    </row>
    <row r="218" spans="1:9">
      <c r="A218" s="52"/>
      <c r="B218" s="53"/>
      <c r="C218" s="54"/>
      <c r="D218" s="53"/>
      <c r="E218" s="53"/>
      <c r="F218" s="56"/>
      <c r="G218" s="56"/>
      <c r="H218" s="57"/>
      <c r="I218" s="53"/>
    </row>
    <row r="219" spans="1:9">
      <c r="A219" s="48"/>
      <c r="B219" s="49"/>
      <c r="C219" s="50"/>
      <c r="D219" s="49"/>
      <c r="E219" s="49"/>
      <c r="F219" s="49"/>
      <c r="G219" s="49"/>
      <c r="H219" s="51"/>
      <c r="I219" s="49"/>
    </row>
    <row r="220" spans="1:9">
      <c r="A220" s="52"/>
      <c r="B220" s="53"/>
      <c r="C220" s="54"/>
      <c r="D220" s="53"/>
      <c r="E220" s="53"/>
      <c r="F220" s="56"/>
      <c r="G220" s="56"/>
      <c r="H220" s="57"/>
      <c r="I220" s="53"/>
    </row>
    <row r="221" spans="1:9">
      <c r="A221" s="48"/>
      <c r="B221" s="49"/>
      <c r="C221" s="50"/>
      <c r="D221" s="49"/>
      <c r="E221" s="49"/>
      <c r="F221" s="49"/>
      <c r="G221" s="49"/>
      <c r="H221" s="51"/>
      <c r="I221" s="49"/>
    </row>
    <row r="222" spans="1:9">
      <c r="A222" s="52"/>
      <c r="B222" s="53"/>
      <c r="C222" s="54"/>
      <c r="D222" s="53"/>
      <c r="E222" s="53"/>
      <c r="F222" s="56"/>
      <c r="G222" s="56"/>
      <c r="H222" s="57"/>
      <c r="I222" s="53"/>
    </row>
    <row r="223" spans="1:9">
      <c r="A223" s="48"/>
      <c r="B223" s="49"/>
      <c r="C223" s="50"/>
      <c r="D223" s="49"/>
      <c r="E223" s="49"/>
      <c r="F223" s="49"/>
      <c r="G223" s="49"/>
      <c r="H223" s="51"/>
      <c r="I223" s="49"/>
    </row>
    <row r="224" spans="1:9">
      <c r="A224" s="52"/>
      <c r="B224" s="53"/>
      <c r="C224" s="54"/>
      <c r="D224" s="53"/>
      <c r="E224" s="53"/>
      <c r="F224" s="56"/>
      <c r="G224" s="56"/>
      <c r="H224" s="57"/>
      <c r="I224" s="53"/>
    </row>
    <row r="225" spans="1:9">
      <c r="A225" s="48"/>
      <c r="B225" s="49"/>
      <c r="C225" s="50"/>
      <c r="D225" s="49"/>
      <c r="E225" s="49"/>
      <c r="F225" s="49"/>
      <c r="G225" s="49"/>
      <c r="H225" s="51"/>
      <c r="I225" s="49"/>
    </row>
    <row r="226" spans="1:9">
      <c r="A226" s="52"/>
      <c r="B226" s="53"/>
      <c r="C226" s="54"/>
      <c r="D226" s="53"/>
      <c r="E226" s="53"/>
      <c r="F226" s="56"/>
      <c r="G226" s="56"/>
      <c r="H226" s="57"/>
      <c r="I226" s="53"/>
    </row>
    <row r="227" spans="1:9">
      <c r="A227" s="48"/>
      <c r="B227" s="49"/>
      <c r="C227" s="50"/>
      <c r="D227" s="49"/>
      <c r="E227" s="49"/>
      <c r="F227" s="49"/>
      <c r="G227" s="49"/>
      <c r="H227" s="51"/>
      <c r="I227" s="49"/>
    </row>
    <row r="228" spans="1:9">
      <c r="A228" s="52"/>
      <c r="B228" s="53"/>
      <c r="C228" s="54"/>
      <c r="D228" s="53"/>
      <c r="E228" s="53"/>
      <c r="F228" s="56"/>
      <c r="G228" s="56"/>
      <c r="H228" s="57"/>
      <c r="I228" s="53"/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4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11" activePane="bottomLeft" state="frozen"/>
      <selection pane="bottomLeft" activeCell="A120" sqref="A120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919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2</v>
      </c>
      <c r="G78" s="67">
        <v>2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2150</v>
      </c>
      <c r="K78" s="66">
        <f t="shared" si="8"/>
        <v>2150</v>
      </c>
      <c r="L78" s="66" t="s">
        <v>594</v>
      </c>
      <c r="M78" s="66"/>
      <c r="N78" s="66" t="s">
        <v>510</v>
      </c>
      <c r="O78" s="66" t="s">
        <v>595</v>
      </c>
      <c r="P78" s="66"/>
      <c r="Q78" s="66"/>
      <c r="R78" s="66"/>
      <c r="S78" s="66"/>
      <c r="T78" s="66"/>
    </row>
    <row r="79" spans="1:20" ht="15" customHeight="1">
      <c r="A79" s="69" t="s">
        <v>596</v>
      </c>
      <c r="B79" s="69" t="s">
        <v>597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598</v>
      </c>
      <c r="M79" s="69"/>
      <c r="N79" s="69" t="s">
        <v>599</v>
      </c>
      <c r="O79" s="69" t="s">
        <v>600</v>
      </c>
      <c r="P79" s="69"/>
      <c r="Q79" s="69"/>
      <c r="R79" s="69"/>
      <c r="S79" s="69"/>
      <c r="T79" s="69"/>
    </row>
    <row r="80" spans="1:20" ht="15" customHeight="1">
      <c r="A80" s="66" t="s">
        <v>601</v>
      </c>
      <c r="B80" s="66" t="s">
        <v>602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603</v>
      </c>
      <c r="M80" s="66"/>
      <c r="N80" s="66" t="s">
        <v>510</v>
      </c>
      <c r="O80" s="66" t="s">
        <v>604</v>
      </c>
      <c r="P80" s="66"/>
      <c r="Q80" s="66"/>
      <c r="R80" s="66"/>
      <c r="S80" s="66"/>
      <c r="T80" s="66"/>
    </row>
    <row r="81" spans="1:20" ht="30" customHeight="1">
      <c r="A81" s="69" t="s">
        <v>605</v>
      </c>
      <c r="B81" s="69" t="s">
        <v>606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607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608</v>
      </c>
      <c r="B82" s="66" t="s">
        <v>609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610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611</v>
      </c>
      <c r="B83" s="69" t="s">
        <v>612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613</v>
      </c>
      <c r="M83" s="69"/>
      <c r="N83" s="69" t="s">
        <v>425</v>
      </c>
      <c r="O83" s="69" t="s">
        <v>614</v>
      </c>
      <c r="P83" s="69"/>
      <c r="Q83" s="69"/>
      <c r="R83" s="69"/>
      <c r="S83" s="69"/>
      <c r="T83" s="69"/>
    </row>
    <row r="84" spans="1:20" ht="15" customHeight="1">
      <c r="A84" s="66" t="s">
        <v>615</v>
      </c>
      <c r="B84" s="66" t="s">
        <v>616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617</v>
      </c>
      <c r="M84" s="66"/>
      <c r="N84" s="66" t="s">
        <v>510</v>
      </c>
      <c r="O84" s="66" t="s">
        <v>618</v>
      </c>
      <c r="P84" s="66"/>
      <c r="Q84" s="66"/>
      <c r="R84" s="66"/>
      <c r="S84" s="66"/>
      <c r="T84" s="66"/>
    </row>
    <row r="85" spans="1:20" ht="15" customHeight="1">
      <c r="A85" s="69" t="s">
        <v>619</v>
      </c>
      <c r="B85" s="69" t="s">
        <v>620</v>
      </c>
      <c r="C85" s="69" t="s">
        <v>96</v>
      </c>
      <c r="D85" s="70">
        <v>895</v>
      </c>
      <c r="E85" s="70">
        <v>1350</v>
      </c>
      <c r="F85" s="70">
        <v>3</v>
      </c>
      <c r="G85" s="70">
        <v>1</v>
      </c>
      <c r="H85" s="69">
        <f t="shared" si="6"/>
        <v>4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895</v>
      </c>
      <c r="L85" s="69" t="s">
        <v>621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622</v>
      </c>
      <c r="B86" s="66" t="s">
        <v>623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624</v>
      </c>
      <c r="M86" s="66"/>
      <c r="N86" s="66" t="s">
        <v>510</v>
      </c>
      <c r="O86" s="66" t="s">
        <v>595</v>
      </c>
      <c r="P86" s="66"/>
      <c r="Q86" s="66"/>
      <c r="R86" s="66"/>
      <c r="S86" s="66"/>
      <c r="T86" s="66"/>
    </row>
    <row r="87" spans="1:20" ht="15" customHeight="1">
      <c r="A87" s="69" t="s">
        <v>625</v>
      </c>
      <c r="B87" s="69" t="s">
        <v>626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599</v>
      </c>
      <c r="O87" s="69" t="s">
        <v>627</v>
      </c>
      <c r="P87" s="69"/>
      <c r="Q87" s="69"/>
      <c r="R87" s="69"/>
      <c r="S87" s="69"/>
      <c r="T87" s="69"/>
    </row>
    <row r="88" spans="1:20" ht="30" customHeight="1">
      <c r="A88" s="66" t="s">
        <v>628</v>
      </c>
      <c r="B88" s="66" t="s">
        <v>629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630</v>
      </c>
      <c r="M88" s="66"/>
      <c r="N88" s="66" t="s">
        <v>510</v>
      </c>
      <c r="O88" s="66" t="s">
        <v>631</v>
      </c>
      <c r="P88" s="66"/>
      <c r="Q88" s="66"/>
      <c r="R88" s="66"/>
      <c r="S88" s="66"/>
      <c r="T88" s="66"/>
    </row>
    <row r="89" spans="1:20" ht="15" customHeight="1">
      <c r="A89" s="69" t="s">
        <v>632</v>
      </c>
      <c r="B89" s="69" t="s">
        <v>633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634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635</v>
      </c>
      <c r="B90" s="66" t="s">
        <v>636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637</v>
      </c>
      <c r="B91" s="69" t="s">
        <v>638</v>
      </c>
      <c r="C91" s="69" t="s">
        <v>639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640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641</v>
      </c>
      <c r="B92" s="66" t="s">
        <v>642</v>
      </c>
      <c r="C92" s="66" t="s">
        <v>639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643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644</v>
      </c>
      <c r="B93" s="69" t="s">
        <v>645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646</v>
      </c>
      <c r="M93" s="69"/>
      <c r="N93" s="66" t="s">
        <v>510</v>
      </c>
      <c r="O93" s="69" t="s">
        <v>647</v>
      </c>
      <c r="P93" s="69"/>
      <c r="Q93" s="69"/>
      <c r="R93" s="69"/>
      <c r="S93" s="69"/>
      <c r="T93" s="69"/>
    </row>
    <row r="94" spans="1:20" ht="15" customHeight="1">
      <c r="A94" s="66" t="s">
        <v>648</v>
      </c>
      <c r="B94" s="66" t="s">
        <v>649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650</v>
      </c>
      <c r="B95" s="69" t="s">
        <v>651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652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653</v>
      </c>
      <c r="B96" s="66" t="s">
        <v>654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599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655</v>
      </c>
      <c r="B97" s="69" t="s">
        <v>656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657</v>
      </c>
      <c r="B98" s="66" t="s">
        <v>658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659</v>
      </c>
      <c r="B99" s="69" t="s">
        <v>660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661</v>
      </c>
      <c r="B100" s="66" t="s">
        <v>662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663</v>
      </c>
      <c r="B101" s="69" t="s">
        <v>664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665</v>
      </c>
      <c r="B102" s="66" t="s">
        <v>666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667</v>
      </c>
      <c r="B103" s="69" t="s">
        <v>668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669</v>
      </c>
      <c r="B104" s="66" t="s">
        <v>670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671</v>
      </c>
      <c r="B105" s="69" t="s">
        <v>672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673</v>
      </c>
      <c r="B106" s="66" t="s">
        <v>674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675</v>
      </c>
      <c r="B107" s="69" t="s">
        <v>676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677</v>
      </c>
      <c r="B108" s="66" t="s">
        <v>678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679</v>
      </c>
      <c r="B109" s="69" t="s">
        <v>680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681</v>
      </c>
      <c r="B110" s="66" t="s">
        <v>682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683</v>
      </c>
      <c r="B111" s="69" t="s">
        <v>684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685</v>
      </c>
      <c r="B112" s="66" t="s">
        <v>686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599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687</v>
      </c>
      <c r="B113" s="69" t="s">
        <v>688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689</v>
      </c>
      <c r="B114" s="66" t="s">
        <v>690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691</v>
      </c>
      <c r="B115" s="69" t="s">
        <v>692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693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694</v>
      </c>
      <c r="B116" s="66" t="s">
        <v>695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696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697</v>
      </c>
      <c r="B117" s="69" t="s">
        <v>698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699</v>
      </c>
      <c r="B118" s="66" t="s">
        <v>700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701</v>
      </c>
      <c r="M118" s="66"/>
      <c r="N118" s="66" t="s">
        <v>425</v>
      </c>
      <c r="O118" s="66"/>
      <c r="P118" s="66" t="s">
        <v>702</v>
      </c>
      <c r="Q118" s="66"/>
      <c r="R118" s="66"/>
      <c r="S118" s="66"/>
      <c r="T118" s="66"/>
    </row>
    <row r="119" spans="1:246" ht="15" customHeight="1">
      <c r="A119" s="69" t="s">
        <v>703</v>
      </c>
      <c r="B119" s="69" t="s">
        <v>704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58" customHeight="1">
      <c r="A120" s="66" t="s">
        <v>705</v>
      </c>
      <c r="B120" s="66" t="s">
        <v>706</v>
      </c>
      <c r="C120" s="66" t="s">
        <v>95</v>
      </c>
      <c r="D120" s="67">
        <v>418.95333333333298</v>
      </c>
      <c r="E120" s="67">
        <v>699</v>
      </c>
      <c r="F120" s="67">
        <v>35</v>
      </c>
      <c r="G120" s="67">
        <v>14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14663.366666666654</v>
      </c>
      <c r="K120" s="66">
        <f t="shared" si="11"/>
        <v>5865.3466666666618</v>
      </c>
      <c r="L120" s="66" t="s">
        <v>959</v>
      </c>
      <c r="M120" s="66" t="s">
        <v>49</v>
      </c>
      <c r="N120" s="66" t="s">
        <v>510</v>
      </c>
      <c r="O120" s="66"/>
      <c r="P120" s="66" t="s">
        <v>960</v>
      </c>
      <c r="Q120" s="66"/>
      <c r="R120" s="66"/>
      <c r="S120" s="66"/>
      <c r="T120" s="66"/>
    </row>
    <row r="121" spans="1:246" ht="15" customHeight="1">
      <c r="A121" s="69" t="s">
        <v>707</v>
      </c>
      <c r="B121" s="69" t="s">
        <v>708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709</v>
      </c>
      <c r="M121" s="69"/>
      <c r="N121" s="69" t="s">
        <v>425</v>
      </c>
      <c r="O121" s="69"/>
      <c r="P121" s="69" t="s">
        <v>710</v>
      </c>
      <c r="Q121" s="69"/>
      <c r="R121" s="69"/>
      <c r="S121" s="69"/>
      <c r="T121" s="69"/>
    </row>
    <row r="122" spans="1:246" ht="15" customHeight="1">
      <c r="A122" s="66" t="s">
        <v>711</v>
      </c>
      <c r="B122" s="66" t="s">
        <v>712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713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714</v>
      </c>
      <c r="B123" s="78" t="s">
        <v>715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1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891.44</v>
      </c>
      <c r="L123" s="78" t="s">
        <v>716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717</v>
      </c>
      <c r="B124" s="80" t="s">
        <v>718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719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720</v>
      </c>
      <c r="B125" s="78" t="s">
        <v>721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722</v>
      </c>
      <c r="M125" s="78"/>
      <c r="N125" s="78" t="s">
        <v>425</v>
      </c>
      <c r="O125" s="78"/>
      <c r="P125" s="78" t="s">
        <v>723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724</v>
      </c>
      <c r="B126" s="66" t="s">
        <v>725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726</v>
      </c>
      <c r="M126" s="66"/>
      <c r="N126" s="66" t="s">
        <v>425</v>
      </c>
      <c r="O126" s="66" t="s">
        <v>727</v>
      </c>
      <c r="P126" s="66"/>
      <c r="Q126" s="66"/>
      <c r="R126" s="66"/>
      <c r="S126" s="66"/>
      <c r="T126" s="66"/>
    </row>
    <row r="127" spans="1:246" ht="15" customHeight="1">
      <c r="A127" s="78" t="s">
        <v>728</v>
      </c>
      <c r="B127" s="69" t="s">
        <v>729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730</v>
      </c>
      <c r="B128" s="66" t="s">
        <v>731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599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732</v>
      </c>
      <c r="B129" s="69" t="s">
        <v>733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734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735</v>
      </c>
      <c r="B130" s="66" t="s">
        <v>736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737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738</v>
      </c>
      <c r="B131" s="69" t="s">
        <v>739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599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740</v>
      </c>
      <c r="B132" s="66" t="s">
        <v>741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742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743</v>
      </c>
      <c r="B133" s="69" t="s">
        <v>744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599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745</v>
      </c>
      <c r="B134" s="66" t="s">
        <v>746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599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747</v>
      </c>
      <c r="B135" s="69" t="s">
        <v>748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749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750</v>
      </c>
      <c r="B136" s="66" t="s">
        <v>751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752</v>
      </c>
      <c r="M136" s="66"/>
      <c r="N136" s="66" t="s">
        <v>425</v>
      </c>
      <c r="O136" s="66"/>
      <c r="P136" s="66" t="s">
        <v>753</v>
      </c>
      <c r="Q136" s="66"/>
      <c r="R136" s="66"/>
      <c r="S136" s="66"/>
      <c r="T136" s="66"/>
    </row>
    <row r="137" spans="1:20" ht="15" customHeight="1">
      <c r="A137" s="78" t="s">
        <v>754</v>
      </c>
      <c r="B137" s="69" t="s">
        <v>755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756</v>
      </c>
      <c r="B138" s="66" t="s">
        <v>757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758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759</v>
      </c>
      <c r="B139" s="69" t="s">
        <v>760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761</v>
      </c>
      <c r="B140" s="66" t="s">
        <v>762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763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764</v>
      </c>
      <c r="B141" s="69" t="s">
        <v>765</v>
      </c>
      <c r="C141" s="69" t="s">
        <v>95</v>
      </c>
      <c r="D141" s="70">
        <v>838</v>
      </c>
      <c r="E141" s="70">
        <v>1100</v>
      </c>
      <c r="F141" s="79">
        <v>0</v>
      </c>
      <c r="G141" s="79">
        <v>1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0</v>
      </c>
      <c r="K141" s="78">
        <f t="shared" si="14"/>
        <v>838</v>
      </c>
      <c r="L141" s="69"/>
      <c r="M141" s="69"/>
      <c r="N141" s="69" t="s">
        <v>599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766</v>
      </c>
      <c r="B142" s="66" t="s">
        <v>767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768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769</v>
      </c>
      <c r="B143" s="69" t="s">
        <v>770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599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771</v>
      </c>
      <c r="B144" s="66" t="s">
        <v>772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599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773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774</v>
      </c>
      <c r="B146" s="66" t="s">
        <v>775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776</v>
      </c>
      <c r="M146" s="66"/>
      <c r="N146" s="66" t="s">
        <v>510</v>
      </c>
      <c r="O146" s="66"/>
      <c r="P146" s="66" t="s">
        <v>777</v>
      </c>
      <c r="Q146" s="66"/>
      <c r="R146" s="66"/>
      <c r="S146" s="66"/>
      <c r="T146" s="66"/>
    </row>
    <row r="147" spans="1:20" ht="63.75" customHeight="1">
      <c r="A147" s="69" t="s">
        <v>778</v>
      </c>
      <c r="B147" s="69" t="s">
        <v>779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780</v>
      </c>
      <c r="M147" s="69"/>
      <c r="N147" s="69" t="s">
        <v>510</v>
      </c>
      <c r="O147" s="69"/>
      <c r="P147" s="69" t="s">
        <v>956</v>
      </c>
      <c r="Q147" s="69"/>
      <c r="R147" s="69"/>
      <c r="S147" s="69"/>
      <c r="T147" s="69"/>
    </row>
    <row r="148" spans="1:20" ht="15" customHeight="1">
      <c r="A148" s="66" t="s">
        <v>781</v>
      </c>
      <c r="B148" s="66" t="s">
        <v>782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783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784</v>
      </c>
      <c r="B149" s="69" t="s">
        <v>785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786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787</v>
      </c>
      <c r="B150" s="66" t="s">
        <v>788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599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789</v>
      </c>
      <c r="B151" s="69" t="s">
        <v>790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791</v>
      </c>
      <c r="M151" s="69"/>
      <c r="N151" s="69" t="s">
        <v>510</v>
      </c>
      <c r="O151" s="69" t="s">
        <v>210</v>
      </c>
      <c r="P151" s="69" t="s">
        <v>792</v>
      </c>
      <c r="Q151" s="69"/>
      <c r="R151" s="69"/>
      <c r="S151" s="69"/>
      <c r="T151" s="69"/>
    </row>
    <row r="152" spans="1:20" ht="15" customHeight="1">
      <c r="A152" s="66" t="s">
        <v>793</v>
      </c>
      <c r="B152" s="66" t="s">
        <v>794</v>
      </c>
      <c r="C152" s="66" t="s">
        <v>97</v>
      </c>
      <c r="D152" s="67">
        <v>295</v>
      </c>
      <c r="E152" s="67">
        <v>580</v>
      </c>
      <c r="F152" s="81">
        <v>1</v>
      </c>
      <c r="G152" s="81">
        <v>3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295</v>
      </c>
      <c r="K152" s="80">
        <f t="shared" si="14"/>
        <v>885</v>
      </c>
      <c r="L152" s="66" t="s">
        <v>795</v>
      </c>
      <c r="M152" s="66"/>
      <c r="N152" s="66" t="s">
        <v>510</v>
      </c>
      <c r="O152" s="66" t="s">
        <v>796</v>
      </c>
      <c r="P152" s="66" t="s">
        <v>797</v>
      </c>
      <c r="Q152" s="66"/>
      <c r="R152" s="66"/>
      <c r="S152" s="66"/>
      <c r="T152" s="66"/>
    </row>
    <row r="153" spans="1:20" ht="15" customHeight="1">
      <c r="A153" s="69" t="s">
        <v>798</v>
      </c>
      <c r="B153" s="69" t="s">
        <v>799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800</v>
      </c>
      <c r="M153" s="69"/>
      <c r="N153" s="69" t="s">
        <v>510</v>
      </c>
      <c r="O153" s="69"/>
      <c r="P153" s="69" t="s">
        <v>801</v>
      </c>
      <c r="Q153" s="69"/>
      <c r="R153" s="69"/>
      <c r="S153" s="69"/>
      <c r="T153" s="69"/>
    </row>
    <row r="154" spans="1:20" ht="15" customHeight="1">
      <c r="A154" s="66" t="s">
        <v>802</v>
      </c>
      <c r="B154" s="66" t="s">
        <v>803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804</v>
      </c>
      <c r="M154" s="66"/>
      <c r="N154" s="66" t="s">
        <v>510</v>
      </c>
      <c r="O154" s="66" t="s">
        <v>805</v>
      </c>
      <c r="P154" s="66"/>
      <c r="Q154" s="66"/>
      <c r="R154" s="66"/>
      <c r="S154" s="66"/>
      <c r="T154" s="66"/>
    </row>
    <row r="155" spans="1:20" ht="15" customHeight="1">
      <c r="A155" s="69" t="s">
        <v>806</v>
      </c>
      <c r="B155" s="69" t="s">
        <v>807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599</v>
      </c>
      <c r="O155" s="69" t="s">
        <v>808</v>
      </c>
      <c r="P155" s="69"/>
      <c r="Q155" s="69"/>
      <c r="R155" s="69"/>
      <c r="S155" s="69"/>
      <c r="T155" s="69"/>
    </row>
    <row r="156" spans="1:20" ht="15" customHeight="1">
      <c r="A156" s="66" t="s">
        <v>809</v>
      </c>
      <c r="B156" s="66" t="s">
        <v>810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811</v>
      </c>
      <c r="M156" s="66"/>
      <c r="N156" s="66" t="s">
        <v>510</v>
      </c>
      <c r="O156" s="66" t="s">
        <v>808</v>
      </c>
      <c r="P156" s="66"/>
      <c r="Q156" s="66"/>
      <c r="R156" s="66"/>
      <c r="S156" s="66"/>
      <c r="T156" s="66"/>
    </row>
    <row r="157" spans="1:20" ht="15" customHeight="1">
      <c r="A157" s="69" t="s">
        <v>812</v>
      </c>
      <c r="B157" s="69" t="s">
        <v>813</v>
      </c>
      <c r="C157" s="6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69" t="s">
        <v>814</v>
      </c>
      <c r="M157" s="69"/>
      <c r="N157" s="69" t="s">
        <v>510</v>
      </c>
      <c r="O157" s="69" t="s">
        <v>815</v>
      </c>
      <c r="P157" s="69"/>
      <c r="Q157" s="69"/>
      <c r="R157" s="69"/>
      <c r="S157" s="69"/>
      <c r="T157" s="69"/>
    </row>
    <row r="158" spans="1:20" ht="15" customHeight="1">
      <c r="A158" s="66" t="s">
        <v>816</v>
      </c>
      <c r="B158" s="66" t="s">
        <v>817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818</v>
      </c>
      <c r="M158" s="66"/>
      <c r="N158" s="66" t="s">
        <v>599</v>
      </c>
      <c r="O158" s="66" t="s">
        <v>819</v>
      </c>
      <c r="P158" s="66"/>
      <c r="Q158" s="66"/>
      <c r="R158" s="66"/>
      <c r="S158" s="66"/>
      <c r="T158" s="66"/>
    </row>
    <row r="159" spans="1:20" ht="15" customHeight="1">
      <c r="A159" s="69" t="s">
        <v>820</v>
      </c>
      <c r="B159" s="69" t="s">
        <v>821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822</v>
      </c>
      <c r="M159" s="69"/>
      <c r="N159" s="69" t="s">
        <v>510</v>
      </c>
      <c r="O159" s="69" t="s">
        <v>823</v>
      </c>
      <c r="P159" s="69"/>
      <c r="Q159" s="69"/>
      <c r="R159" s="69"/>
      <c r="S159" s="69"/>
      <c r="T159" s="69"/>
    </row>
    <row r="160" spans="1:20" ht="15" customHeight="1">
      <c r="A160" s="66" t="s">
        <v>824</v>
      </c>
      <c r="B160" s="66" t="s">
        <v>825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826</v>
      </c>
      <c r="B161" s="69" t="s">
        <v>827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828</v>
      </c>
      <c r="B162" s="66" t="s">
        <v>829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830</v>
      </c>
      <c r="B163" s="69" t="s">
        <v>831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599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832</v>
      </c>
      <c r="B164" s="66" t="s">
        <v>833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934</v>
      </c>
      <c r="M164" s="66"/>
      <c r="N164" s="66" t="s">
        <v>510</v>
      </c>
      <c r="O164" s="66"/>
      <c r="P164" s="66" t="s">
        <v>935</v>
      </c>
      <c r="Q164" s="66"/>
      <c r="R164" s="66"/>
      <c r="S164" s="66"/>
      <c r="T164" s="66"/>
    </row>
    <row r="165" spans="1:20" ht="15" customHeight="1">
      <c r="A165" s="69" t="s">
        <v>834</v>
      </c>
      <c r="B165" s="69" t="s">
        <v>835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836</v>
      </c>
      <c r="Q165" s="69"/>
      <c r="R165" s="69"/>
      <c r="S165" s="69"/>
      <c r="T165" s="69"/>
    </row>
    <row r="166" spans="1:20" ht="15" customHeight="1">
      <c r="A166" s="66" t="s">
        <v>837</v>
      </c>
      <c r="B166" s="66" t="s">
        <v>838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599</v>
      </c>
      <c r="O166" s="66"/>
      <c r="P166" s="66" t="s">
        <v>839</v>
      </c>
      <c r="Q166" s="66"/>
      <c r="R166" s="66"/>
      <c r="S166" s="66"/>
      <c r="T166" s="66"/>
    </row>
    <row r="167" spans="1:20" ht="15" customHeight="1">
      <c r="A167" s="69" t="s">
        <v>840</v>
      </c>
      <c r="B167" s="69" t="s">
        <v>841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842</v>
      </c>
      <c r="M167" s="69"/>
      <c r="N167" s="69" t="s">
        <v>510</v>
      </c>
      <c r="O167" s="69"/>
      <c r="P167" s="69" t="s">
        <v>843</v>
      </c>
      <c r="Q167" s="69"/>
      <c r="R167" s="69"/>
      <c r="S167" s="69"/>
      <c r="T167" s="69"/>
    </row>
    <row r="168" spans="1:20" ht="15" customHeight="1">
      <c r="A168" s="66" t="s">
        <v>844</v>
      </c>
      <c r="B168" s="66" t="s">
        <v>845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846</v>
      </c>
      <c r="M168" s="66"/>
      <c r="N168" s="66" t="s">
        <v>510</v>
      </c>
      <c r="O168" s="66"/>
      <c r="P168" s="66" t="s">
        <v>847</v>
      </c>
      <c r="Q168" s="66"/>
      <c r="R168" s="66"/>
      <c r="S168" s="66"/>
      <c r="T168" s="66"/>
    </row>
    <row r="169" spans="1:20" ht="15" customHeight="1">
      <c r="A169" s="69" t="s">
        <v>848</v>
      </c>
      <c r="B169" s="69" t="s">
        <v>849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599</v>
      </c>
      <c r="O169" s="69"/>
      <c r="P169" s="69" t="s">
        <v>850</v>
      </c>
      <c r="Q169" s="69"/>
      <c r="R169" s="69"/>
      <c r="S169" s="69"/>
      <c r="T169" s="69"/>
    </row>
    <row r="170" spans="1:20" ht="30" customHeight="1">
      <c r="A170" s="66" t="s">
        <v>851</v>
      </c>
      <c r="B170" s="66" t="s">
        <v>852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853</v>
      </c>
      <c r="M170" s="66"/>
      <c r="N170" s="66" t="s">
        <v>425</v>
      </c>
      <c r="O170" s="66"/>
      <c r="P170" s="66" t="s">
        <v>854</v>
      </c>
      <c r="Q170" s="66"/>
      <c r="R170" s="66"/>
      <c r="S170" s="66"/>
      <c r="T170" s="66"/>
    </row>
    <row r="171" spans="1:20" ht="31.5" customHeight="1">
      <c r="A171" s="69" t="s">
        <v>855</v>
      </c>
      <c r="B171" s="66" t="s">
        <v>856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857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858</v>
      </c>
      <c r="B172" s="66" t="s">
        <v>859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2</v>
      </c>
      <c r="H172" s="80">
        <f t="shared" si="15"/>
        <v>4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2094</v>
      </c>
      <c r="L172" s="66" t="s">
        <v>950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860</v>
      </c>
      <c r="B173" s="69" t="s">
        <v>861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862</v>
      </c>
      <c r="B174" s="66" t="s">
        <v>863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864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865</v>
      </c>
      <c r="B175" s="69" t="s">
        <v>866</v>
      </c>
      <c r="C175" s="69" t="s">
        <v>95</v>
      </c>
      <c r="D175" s="70">
        <v>698.25</v>
      </c>
      <c r="E175" s="70">
        <v>1250</v>
      </c>
      <c r="F175" s="79">
        <v>3</v>
      </c>
      <c r="G175" s="79">
        <v>7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2094.75</v>
      </c>
      <c r="K175" s="78">
        <f t="shared" si="17"/>
        <v>4887.75</v>
      </c>
      <c r="L175" s="69" t="s">
        <v>933</v>
      </c>
      <c r="M175" s="69"/>
      <c r="N175" s="69" t="s">
        <v>510</v>
      </c>
      <c r="O175" s="69"/>
      <c r="P175" s="69" t="s">
        <v>937</v>
      </c>
      <c r="Q175" s="69"/>
      <c r="R175" s="69"/>
      <c r="S175" s="69"/>
      <c r="T175" s="69"/>
    </row>
    <row r="176" spans="1:20" ht="24" customHeight="1">
      <c r="A176" s="66" t="s">
        <v>867</v>
      </c>
      <c r="B176" s="66" t="s">
        <v>868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931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869</v>
      </c>
      <c r="B177" s="69" t="s">
        <v>870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926</v>
      </c>
      <c r="M177" s="69"/>
      <c r="N177" s="69" t="s">
        <v>425</v>
      </c>
      <c r="O177" s="69"/>
      <c r="P177" s="69" t="s">
        <v>871</v>
      </c>
      <c r="Q177" s="69"/>
      <c r="R177" s="69"/>
      <c r="S177" s="69"/>
      <c r="T177" s="69"/>
    </row>
    <row r="178" spans="1:20" ht="15" customHeight="1">
      <c r="A178" s="66" t="s">
        <v>872</v>
      </c>
      <c r="B178" s="66" t="s">
        <v>873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925</v>
      </c>
      <c r="M178" s="66"/>
      <c r="N178" s="66" t="s">
        <v>425</v>
      </c>
      <c r="O178" s="66"/>
      <c r="P178" s="66" t="s">
        <v>874</v>
      </c>
      <c r="Q178" s="66"/>
      <c r="R178" s="66"/>
      <c r="S178" s="66"/>
      <c r="T178" s="66"/>
    </row>
    <row r="179" spans="1:20" ht="30" customHeight="1">
      <c r="A179" s="69" t="s">
        <v>875</v>
      </c>
      <c r="B179" s="69" t="s">
        <v>876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877</v>
      </c>
      <c r="M179" s="69"/>
      <c r="N179" s="69" t="s">
        <v>425</v>
      </c>
      <c r="O179" s="69"/>
      <c r="P179" s="69" t="s">
        <v>878</v>
      </c>
      <c r="Q179" s="69"/>
      <c r="R179" s="69"/>
      <c r="S179" s="69"/>
      <c r="T179" s="69"/>
    </row>
    <row r="180" spans="1:20" ht="34" customHeight="1">
      <c r="A180" s="66" t="s">
        <v>879</v>
      </c>
      <c r="B180" s="66" t="s">
        <v>880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930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881</v>
      </c>
      <c r="B181" s="69"/>
      <c r="C181" s="69"/>
      <c r="D181" s="70"/>
      <c r="E181" s="70"/>
      <c r="F181" s="79"/>
      <c r="G181" s="79"/>
      <c r="H181" s="78"/>
      <c r="I181" s="78"/>
      <c r="J181" s="78"/>
      <c r="K181" s="78"/>
      <c r="L181" s="69"/>
      <c r="M181" s="69"/>
      <c r="N181" s="69"/>
      <c r="O181" s="69"/>
      <c r="P181" s="69"/>
      <c r="Q181" s="69"/>
      <c r="R181" s="69"/>
      <c r="S181" s="69"/>
      <c r="T181" s="69"/>
    </row>
    <row r="182" spans="1:20" ht="15" customHeight="1">
      <c r="A182" s="66" t="s">
        <v>882</v>
      </c>
      <c r="B182" s="66"/>
      <c r="C182" s="66"/>
      <c r="D182" s="67"/>
      <c r="E182" s="67"/>
      <c r="F182" s="81"/>
      <c r="G182" s="81"/>
      <c r="H182" s="80"/>
      <c r="I182" s="80"/>
      <c r="J182" s="80"/>
      <c r="K182" s="80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15" customHeight="1">
      <c r="A183" s="69" t="s">
        <v>883</v>
      </c>
      <c r="B183" s="69"/>
      <c r="C183" s="69"/>
      <c r="D183" s="70"/>
      <c r="E183" s="70"/>
      <c r="F183" s="79"/>
      <c r="G183" s="79"/>
      <c r="H183" s="78"/>
      <c r="I183" s="78"/>
      <c r="J183" s="78"/>
      <c r="K183" s="78"/>
      <c r="L183" s="69"/>
      <c r="M183" s="69"/>
      <c r="N183" s="69"/>
      <c r="O183" s="69"/>
      <c r="P183" s="69"/>
      <c r="Q183" s="69"/>
      <c r="R183" s="69"/>
      <c r="S183" s="69"/>
      <c r="T183" s="69"/>
    </row>
    <row r="184" spans="1:20" ht="15" customHeight="1">
      <c r="A184" s="66" t="s">
        <v>884</v>
      </c>
      <c r="B184" s="66"/>
      <c r="C184" s="66"/>
      <c r="D184" s="67"/>
      <c r="E184" s="67"/>
      <c r="F184" s="81"/>
      <c r="G184" s="81"/>
      <c r="H184" s="80"/>
      <c r="I184" s="80"/>
      <c r="J184" s="80"/>
      <c r="K184" s="80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15" customHeight="1">
      <c r="A185" s="69" t="s">
        <v>885</v>
      </c>
      <c r="B185" s="69"/>
      <c r="C185" s="69"/>
      <c r="D185" s="70"/>
      <c r="E185" s="70"/>
      <c r="F185" s="79"/>
      <c r="G185" s="79"/>
      <c r="H185" s="78"/>
      <c r="I185" s="78"/>
      <c r="J185" s="78"/>
      <c r="K185" s="78"/>
      <c r="L185" s="69"/>
      <c r="M185" s="69"/>
      <c r="N185" s="69"/>
      <c r="O185" s="69"/>
      <c r="P185" s="69"/>
      <c r="Q185" s="69"/>
      <c r="R185" s="69"/>
      <c r="S185" s="69"/>
      <c r="T185" s="69"/>
    </row>
    <row r="186" spans="1:20" ht="15" customHeight="1">
      <c r="A186" s="66" t="s">
        <v>886</v>
      </c>
      <c r="B186" s="66"/>
      <c r="C186" s="66"/>
      <c r="D186" s="67"/>
      <c r="E186" s="67"/>
      <c r="F186" s="81"/>
      <c r="G186" s="81"/>
      <c r="H186" s="80"/>
      <c r="I186" s="80"/>
      <c r="J186" s="80"/>
      <c r="K186" s="80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15" customHeight="1">
      <c r="A187" s="69" t="s">
        <v>887</v>
      </c>
      <c r="B187" s="69"/>
      <c r="C187" s="69"/>
      <c r="D187" s="70"/>
      <c r="E187" s="70"/>
      <c r="F187" s="79"/>
      <c r="G187" s="79"/>
      <c r="H187" s="78"/>
      <c r="I187" s="78"/>
      <c r="J187" s="78"/>
      <c r="K187" s="78"/>
      <c r="L187" s="69"/>
      <c r="M187" s="69"/>
      <c r="N187" s="69"/>
      <c r="O187" s="69"/>
      <c r="P187" s="69"/>
      <c r="Q187" s="69"/>
      <c r="R187" s="69"/>
      <c r="S187" s="69"/>
      <c r="T187" s="69"/>
    </row>
    <row r="188" spans="1:20" ht="15" customHeight="1">
      <c r="A188" s="66" t="s">
        <v>888</v>
      </c>
      <c r="B188" s="66"/>
      <c r="C188" s="66"/>
      <c r="D188" s="67"/>
      <c r="E188" s="67"/>
      <c r="F188" s="81"/>
      <c r="G188" s="81"/>
      <c r="H188" s="80"/>
      <c r="I188" s="80"/>
      <c r="J188" s="80"/>
      <c r="K188" s="80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>
      <c r="A189" s="69"/>
      <c r="B189" s="69"/>
      <c r="C189" s="69"/>
      <c r="D189" s="70"/>
      <c r="E189" s="70"/>
      <c r="F189" s="79"/>
      <c r="G189" s="79"/>
      <c r="H189" s="78"/>
      <c r="I189" s="78"/>
      <c r="J189" s="78"/>
      <c r="K189" s="78"/>
      <c r="L189" s="69"/>
      <c r="M189" s="69"/>
      <c r="N189" s="69"/>
      <c r="O189" s="69"/>
      <c r="P189" s="69"/>
      <c r="Q189" s="69"/>
      <c r="R189" s="69"/>
      <c r="S189" s="69"/>
      <c r="T189" s="69"/>
    </row>
    <row r="190" spans="1:20">
      <c r="S190" s="61"/>
      <c r="T190" s="61"/>
    </row>
    <row r="191" spans="1:20">
      <c r="S191" s="61"/>
      <c r="T191" s="61"/>
    </row>
    <row r="192" spans="1:20">
      <c r="S192" s="61"/>
      <c r="T192" s="61"/>
    </row>
    <row r="193" spans="19:20">
      <c r="S193" s="61"/>
      <c r="T193" s="61"/>
    </row>
    <row r="194" spans="19:20">
      <c r="S194" s="61"/>
      <c r="T194" s="61"/>
    </row>
    <row r="195" spans="19:20">
      <c r="S195" s="61"/>
      <c r="T195" s="61"/>
    </row>
    <row r="196" spans="19:20">
      <c r="S196" s="61"/>
      <c r="T196" s="61"/>
    </row>
    <row r="197" spans="19:20">
      <c r="S197" s="61"/>
      <c r="T197" s="61"/>
    </row>
    <row r="198" spans="19:20">
      <c r="S198" s="61"/>
      <c r="T198" s="61"/>
    </row>
    <row r="199" spans="19:20">
      <c r="S199" s="61"/>
      <c r="T199" s="61"/>
    </row>
    <row r="200" spans="19:20">
      <c r="S200" s="61"/>
      <c r="T200" s="61"/>
    </row>
    <row r="201" spans="19:20">
      <c r="S201" s="61"/>
      <c r="T201" s="61"/>
    </row>
    <row r="202" spans="19:20">
      <c r="S202" s="61"/>
      <c r="T202" s="61"/>
    </row>
    <row r="203" spans="19:20">
      <c r="S203" s="61"/>
      <c r="T203" s="61"/>
    </row>
    <row r="204" spans="19:20">
      <c r="S204" s="61"/>
      <c r="T204" s="61"/>
    </row>
    <row r="205" spans="19:20">
      <c r="S205" s="61"/>
      <c r="T205" s="61"/>
    </row>
    <row r="206" spans="19:20">
      <c r="S206" s="61"/>
      <c r="T206" s="61"/>
    </row>
    <row r="207" spans="19:20">
      <c r="S207" s="61"/>
      <c r="T207" s="61"/>
    </row>
    <row r="208" spans="19:20">
      <c r="S208" s="61"/>
      <c r="T208" s="61"/>
    </row>
    <row r="209" spans="19:20">
      <c r="S209" s="61"/>
      <c r="T209" s="61"/>
    </row>
    <row r="210" spans="19:20">
      <c r="S210" s="61"/>
      <c r="T210" s="61"/>
    </row>
    <row r="211" spans="19:20">
      <c r="S211" s="61"/>
      <c r="T211" s="61"/>
    </row>
    <row r="212" spans="19:20">
      <c r="S212" s="61"/>
      <c r="T212" s="61"/>
    </row>
    <row r="213" spans="19:20">
      <c r="S213" s="61"/>
      <c r="T213" s="61"/>
    </row>
    <row r="214" spans="19:20">
      <c r="S214" s="61"/>
      <c r="T214" s="61"/>
    </row>
    <row r="215" spans="19:20">
      <c r="S215" s="61"/>
      <c r="T215" s="61"/>
    </row>
    <row r="216" spans="19:20">
      <c r="S216" s="61"/>
      <c r="T216" s="61"/>
    </row>
    <row r="217" spans="19:20">
      <c r="S217" s="61"/>
      <c r="T217" s="61"/>
    </row>
    <row r="218" spans="19:20">
      <c r="S218" s="61"/>
      <c r="T218" s="61"/>
    </row>
    <row r="219" spans="19:20">
      <c r="S219" s="61"/>
      <c r="T219" s="61"/>
    </row>
    <row r="220" spans="19:20">
      <c r="S220" s="61"/>
      <c r="T220" s="61"/>
    </row>
    <row r="221" spans="19:20">
      <c r="S221" s="61"/>
      <c r="T221" s="61"/>
    </row>
    <row r="222" spans="19:20">
      <c r="S222" s="61"/>
      <c r="T222" s="61"/>
    </row>
    <row r="223" spans="19:20">
      <c r="S223" s="61"/>
      <c r="T223" s="61"/>
    </row>
    <row r="224" spans="19:20">
      <c r="S224" s="61"/>
      <c r="T224" s="61"/>
    </row>
    <row r="225" spans="19:20">
      <c r="S225" s="61"/>
      <c r="T225" s="61"/>
    </row>
    <row r="226" spans="19:20">
      <c r="S226" s="61"/>
      <c r="T226" s="61"/>
    </row>
    <row r="227" spans="19:20">
      <c r="S227" s="61"/>
      <c r="T227" s="61"/>
    </row>
    <row r="228" spans="19:20">
      <c r="S228" s="61"/>
      <c r="T228" s="61"/>
    </row>
    <row r="229" spans="19:20">
      <c r="S229" s="61"/>
      <c r="T229" s="61"/>
    </row>
    <row r="230" spans="19:20">
      <c r="S230" s="61"/>
      <c r="T230" s="61"/>
    </row>
    <row r="231" spans="19:20">
      <c r="S231" s="61"/>
      <c r="T231" s="61"/>
    </row>
    <row r="232" spans="19:20">
      <c r="S232" s="61"/>
      <c r="T232" s="61"/>
    </row>
    <row r="233" spans="19:20">
      <c r="S233" s="61"/>
      <c r="T233" s="61"/>
    </row>
    <row r="234" spans="19:20">
      <c r="S234" s="61"/>
      <c r="T234" s="61"/>
    </row>
    <row r="235" spans="19:20">
      <c r="S235" s="61"/>
      <c r="T235" s="61"/>
    </row>
    <row r="236" spans="19:20">
      <c r="S236" s="61"/>
      <c r="T236" s="61"/>
    </row>
    <row r="237" spans="19:20">
      <c r="S237" s="61"/>
      <c r="T237" s="61"/>
    </row>
    <row r="238" spans="19:20">
      <c r="S238" s="61"/>
      <c r="T238" s="61"/>
    </row>
    <row r="239" spans="19:20">
      <c r="S239" s="61"/>
      <c r="T239" s="61"/>
    </row>
    <row r="240" spans="19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889</v>
      </c>
      <c r="B1" s="95"/>
    </row>
    <row r="2" spans="1:8" ht="13.5" customHeight="1">
      <c r="A2" s="8" t="s">
        <v>42</v>
      </c>
      <c r="B2" s="8" t="s">
        <v>890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891</v>
      </c>
      <c r="C7" s="86" t="s">
        <v>892</v>
      </c>
      <c r="D7" s="86" t="s">
        <v>893</v>
      </c>
      <c r="E7" s="86" t="s">
        <v>894</v>
      </c>
      <c r="F7" s="86" t="s">
        <v>895</v>
      </c>
      <c r="G7" s="86" t="s">
        <v>896</v>
      </c>
      <c r="H7" s="86" t="s">
        <v>897</v>
      </c>
    </row>
    <row r="8" spans="1:8" ht="13.5" customHeight="1">
      <c r="A8" s="9" t="s">
        <v>49</v>
      </c>
      <c r="B8" s="9">
        <f>IFERROR(SUMIF(Purchases!$B:$B,$A8,Purchases!$C:$C),0)</f>
        <v>158245</v>
      </c>
      <c r="C8" s="9">
        <f>SUM($B$8:$B$10)/3</f>
        <v>119727.33333333333</v>
      </c>
      <c r="D8" s="9">
        <f>B8-C8</f>
        <v>38517.666666666672</v>
      </c>
      <c r="E8" s="9">
        <f>IF(Summary!$B$6&gt;0, Summary!$B$6*VLOOKUP($A8,$A$3:$B$5,2,FALSE()),0)</f>
        <v>0</v>
      </c>
      <c r="F8" s="9">
        <f>D8+E8</f>
        <v>38517.666666666672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20214.326666666671</v>
      </c>
    </row>
    <row r="9" spans="1:8" ht="13.5" customHeight="1">
      <c r="A9" s="11" t="s">
        <v>50</v>
      </c>
      <c r="B9" s="11">
        <f>IFERROR(SUMIF(Purchases!$B:$B,$A9,Purchases!$C:$C),0)</f>
        <v>168337</v>
      </c>
      <c r="C9" s="11">
        <f>SUM($B$8:$B$10)/3</f>
        <v>119727.33333333333</v>
      </c>
      <c r="D9" s="11">
        <f>B9-C9</f>
        <v>48609.666666666672</v>
      </c>
      <c r="E9" s="11">
        <f>IF(Summary!$B$6&gt;0, Summary!$B$6*VLOOKUP($A9,$A$3:$B$5,2,FALSE()),0)</f>
        <v>0</v>
      </c>
      <c r="F9" s="11">
        <f>D9+E9</f>
        <v>48609.666666666672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6970.3366666666698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119727.33333333333</v>
      </c>
      <c r="D10" s="9">
        <f>B10-C10</f>
        <v>-87127.333333333328</v>
      </c>
      <c r="E10" s="9">
        <f>IF(Summary!$B$6&gt;0, Summary!$B$6*VLOOKUP($A10,$A$3:$B$5,2,FALSE()),0)</f>
        <v>0</v>
      </c>
      <c r="F10" s="9">
        <f>D10+E10</f>
        <v>-87127.333333333328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-27184.66333333333</v>
      </c>
    </row>
    <row r="12" spans="1:8" s="90" customFormat="1" ht="15.75" customHeight="1">
      <c r="A12" s="96" t="s">
        <v>898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899</v>
      </c>
      <c r="C13" s="86" t="s">
        <v>900</v>
      </c>
      <c r="D13" s="86" t="s">
        <v>901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902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902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902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902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902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902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902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902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902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902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903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904</v>
      </c>
    </row>
    <row r="3" spans="1:7" s="87" customFormat="1" ht="13.5" customHeight="1">
      <c r="A3" s="86" t="s">
        <v>42</v>
      </c>
      <c r="B3" s="86" t="s">
        <v>905</v>
      </c>
      <c r="C3" s="86" t="s">
        <v>890</v>
      </c>
      <c r="D3" s="86" t="s">
        <v>906</v>
      </c>
      <c r="E3" s="86" t="s">
        <v>907</v>
      </c>
      <c r="F3" s="86" t="s">
        <v>908</v>
      </c>
      <c r="G3" s="86" t="s">
        <v>909</v>
      </c>
    </row>
    <row r="4" spans="1:7" ht="13.5" customHeight="1">
      <c r="A4" s="9" t="s">
        <v>49</v>
      </c>
      <c r="B4" s="9">
        <f>IFERROR(SUMIFS(Sales!$C:$C,Sales!$E:$E,$A4,Sales!$I:$I,"Completed"),0)</f>
        <v>288042</v>
      </c>
      <c r="C4" s="9">
        <f>VLOOKUP($A4,PartnerShares!$A$3:$B$5,2,FALSE())</f>
        <v>0.33339999999999997</v>
      </c>
      <c r="D4" s="9">
        <f>Summary!$B$4*C4</f>
        <v>115403.40939999999</v>
      </c>
      <c r="E4" s="9">
        <f>B4-D4</f>
        <v>172638.5906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35328.564599999983</v>
      </c>
    </row>
    <row r="5" spans="1:7" ht="13.5" customHeight="1">
      <c r="A5" s="11" t="s">
        <v>50</v>
      </c>
      <c r="B5" s="11">
        <f>IFERROR(SUMIFS(Sales!$C:$C,Sales!$E:$E,$A5,Sales!$I:$I,"Completed"),0)</f>
        <v>45569</v>
      </c>
      <c r="C5" s="11">
        <f>VLOOKUP($A5,PartnerShares!$A$3:$B$5,2,FALSE())</f>
        <v>0.3332</v>
      </c>
      <c r="D5" s="11">
        <f>Summary!$B$4*C5</f>
        <v>115334.18119999999</v>
      </c>
      <c r="E5" s="11">
        <f>B5-D5</f>
        <v>-69765.181199999992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1821.8608000000095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115403.40939999999</v>
      </c>
      <c r="E6" s="9">
        <f>B6-D6</f>
        <v>-102873.40939999999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-37150.425399999978</v>
      </c>
    </row>
    <row r="9" spans="1:7" ht="13.5" customHeight="1">
      <c r="A9" s="6" t="s">
        <v>0</v>
      </c>
    </row>
    <row r="10" spans="1:7" ht="13.5" customHeight="1">
      <c r="A10" s="6" t="s">
        <v>910</v>
      </c>
    </row>
    <row r="11" spans="1:7" ht="13.5" customHeight="1">
      <c r="A11" s="6" t="s">
        <v>911</v>
      </c>
    </row>
    <row r="12" spans="1:7" ht="13.5" customHeight="1">
      <c r="A12" s="6" t="s">
        <v>912</v>
      </c>
    </row>
    <row r="13" spans="1:7" ht="13.5" customHeight="1">
      <c r="A13" s="6" t="s">
        <v>913</v>
      </c>
    </row>
    <row r="14" spans="1:7" ht="13.5" customHeight="1">
      <c r="A14" s="6" t="s">
        <v>914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2026-06-04T14:05:33Z</dcterms:modified>
  <dc:language>en-US</dc:language>
</cp:coreProperties>
</file>