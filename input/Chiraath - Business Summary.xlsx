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9A4E6F16-B8FD-A94B-A723-A9CE67661138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9" i="2"/>
  <c r="F19" i="2" s="1"/>
  <c r="G19" i="2" s="1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<sst xmlns="http://schemas.openxmlformats.org/spreadsheetml/2006/main" count="2125" uniqueCount="851">
  <si>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</si>
  <si>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</si>
  <si>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</si>
  <si>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</si>
  <si>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</si>
  <si>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</si>
  <si>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</si>
  <si>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</si>
  <si>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</si>
  <si>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</si>
  <si>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</si>
  <si>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</si>
  <si>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</si>
  <si>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</si>
  <si>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</si>
  <si>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</si>
  <si>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</si>
  <si>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</si>
  <si>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</si>
  <si>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</si>
  <si>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</si>
  <si>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</si>
  <si>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</si>
  <si>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</si>
  <si>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</si>
  <si>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</si>
  <si>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</si>
  <si>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</si>
  <si>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</si>
  <si>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</si>
  <si>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</si>
  <si>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</si>
  <si>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</si>
  <si>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</si>
  <si>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</si>
  <si>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</si>
  <si>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</si>
  <si>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</si>
  <si>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</si>
  <si>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</si>
  <si>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</si>
  <si>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</si>
  <si>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</si>
  <si>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</si>
  <si>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</si>
  <si>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</si>
  <si>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</si>
  <si>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</si>
  <si>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</si>
  <si>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</si>
  <si>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</si>
  <si>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</si>
  <si>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</si>
  <si>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</si>
  <si>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</si>
  <si>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</si>
  <si>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</si>
  <si>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</si>
  <si>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</si>
  <si>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</si>
  <si>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</si>
  <si>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</si>
  <si>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</si>
  <si>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</si>
  <si>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</si>
  <si>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</si>
  <si>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</si>
  <si>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</si>
  <si>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</si>
  <si>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</si>
  <si>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</si>
  <si>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</si>
  <si>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</si>
  <si>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</si>
  <si>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</si>
  <si>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</si>
  <si>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</si>
  <si>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</si>
  <si>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</si>
  <si>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</si>
  <si>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</si>
  <si>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</si>
  <si>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</si>
  <si>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</si>
  <si>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</si>
  <si>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</si>
  <si>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</si>
  <si>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</si>
  <si>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</si>
  <si>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</si>
  <si>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</si>
  <si>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</si>
  <si>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</si>
  <si>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</si>
  <si>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</si>
  <si>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</si>
  <si>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</si>
  <si>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</si>
  <si>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</si>
  <si>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</si>
  <si>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</si>
  <si>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</si>
  <si>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</si>
  <si>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</si>
  <si>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</si>
  <si>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</si>
  <si>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</si>
  <si>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</si>
  <si>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</si>
  <si>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</si>
  <si>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</si>
  <si>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</si>
  <si>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</si>
  <si>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</si>
  <si>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</si>
  <si>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</si>
  <si>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</si>
  <si>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</si>
  <si>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</si>
  <si>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</si>
  <si>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</si>
  <si>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</si>
  <si>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</si>
  <si>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</si>
  <si>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</si>
  <si>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</si>
  <si>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</si>
  <si>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</si>
  <si>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</si>
  <si>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</si>
  <si>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</si>
  <si>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</si>
  <si>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</si>
  <si>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</si>
  <si>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</si>
  <si>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</si>
  <si>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</si>
  <si>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</si>
  <si>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</si>
  <si>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</si>
  <si>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</si>
  <si>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</si>
  <si>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</si>
  <si>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</si>
  <si>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</si>
  <si>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</si>
  <si>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</si>
  <si>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</si>
  <si>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</si>
  <si>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</si>
  <si>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</si>
  <si>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</si>
  <si>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</si>
  <si>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</si>
  <si>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</si>
  <si>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</si>
  <si>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</si>
  <si>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</si>
  <si>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</si>
  <si>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</si>
  <si>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</si>
  <si>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</si>
  <si>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</si>
  <si>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</si>
  <si>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</si>
  <si>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</si>
  <si>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</si>
  <si>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</si>
  <si>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</si>
  <si>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</si>
  <si>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</si>
  <si>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</si>
  <si>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</si>
  <si>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</si>
  <si>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</si>
  <si>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</si>
  <si>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</si>
  <si>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</si>
  <si>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</si>
  <si>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</si>
  <si>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</si>
  <si>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</si>
  <si>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</si>
  <si>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</si>
  <si>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</si>
  <si>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</si>
  <si>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</si>
  <si>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</si>
  <si>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</si>
  <si>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</si>
  <si>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</si>
  <si>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</si>
  <si>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</si>
  <si>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</si>
  <si>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</si>
  <si>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</si>
  <si>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</si>
  <si>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</si>
  <si>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</si>
  <si>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</si>
  <si>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</si>
  <si>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</si>
  <si>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</si>
  <si>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</si>
  <si>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</si>
  <si>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</si>
  <si>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</si>
  <si>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</si>
  <si>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</si>
  <si>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</si>
  <si>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</si>
  <si>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</si>
  <si>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</si>
  <si>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</si>
  <si>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</si>
  <si>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</si>
  <si>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</si>
  <si>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</si>
  <si>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</si>
  <si>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</si>
  <si>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</si>
  <si>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</si>
  <si>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</si>
  <si>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</si>
  <si>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</si>
  <si>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</si>
  <si>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</si>
  <si>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</si>
  <si>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</si>
  <si>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</si>
  <si>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</si>
  <si>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</si>
  <si>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</si>
  <si>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</si>
  <si>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</si>
  <si>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</si>
  <si>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</si>
  <si>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</si>
  <si>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</si>
  <si>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</si>
  <si>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</si>
  <si>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</si>
  <si>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</si>
  <si>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</si>
  <si>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</si>
  <si>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</si>
  <si>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</si>
  <si>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</si>
  <si>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</si>
  <si>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</si>
  <si>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</si>
  <si>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</si>
  <si>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</si>
  <si>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</si>
  <si>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</si>
  <si>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</si>
  <si>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</si>
  <si>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</si>
  <si>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</si>
  <si>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</si>
  <si>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</si>
  <si>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</si>
  <si>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</si>
  <si>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</si>
  <si>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</si>
  <si>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</si>
  <si>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</si>
  <si>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</si>
  <si>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</si>
  <si>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</si>
  <si>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</si>
  <si>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</si>
  <si>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</si>
  <si>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</si>
  <si>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</si>
  <si>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</si>
  <si>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</si>
  <si>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</si>
  <si>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</si>
  <si>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</si>
  <si>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</si>
  <si>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</si>
  <si>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</si>
  <si>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</si>
  <si>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</si>
  <si>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</si>
  <si>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</si>
  <si>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</si>
  <si>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</si>
  <si>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</si>
  <si>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</si>
  <si>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</si>
  <si>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</si>
  <si>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</si>
  <si>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</si>
  <si>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</si>
  <si>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</si>
  <si>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</si>
  <si>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</si>
  <si>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</si>
  <si>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</si>
  <si>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</si>
  <si>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</si>
  <si>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</si>
  <si>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</si>
  <si>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</si>
  <si>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</si>
  <si>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</si>
  <si>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</si>
  <si>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</si>
  <si>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</si>
  <si>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</si>
  <si>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</si>
  <si>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</si>
  <si>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</si>
  <si>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</si>
  <si>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</si>
  <si>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</si>
  <si>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</si>
  <si>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</si>
  <si>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</si>
  <si>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</si>
  <si>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</si>
  <si>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</si>
  <si>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</si>
  <si>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</si>
  <si>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</si>
  <si>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</si>
  <si>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</si>
  <si>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</si>
  <si>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</si>
  <si>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</si>
  <si>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</si>
  <si>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</si>
  <si>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</si>
  <si>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</si>
  <si>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</si>
  <si>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</si>
  <si>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</si>
  <si>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</si>
  <si>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</si>
  <si>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</si>
  <si>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</si>
  <si>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</si>
  <si>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</si>
  <si>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</si>
  <si>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</si>
  <si>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</si>
  <si>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</si>
  <si>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</si>
  <si>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</si>
  <si>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</si>
  <si>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</si>
  <si>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</si>
  <si>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</si>
  <si>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</si>
  <si>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</si>
  <si>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</si>
  <si>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</si>
  <si>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</si>
  <si>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</si>
  <si>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</si>
  <si>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</si>
  <si>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</si>
  <si>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</si>
  <si>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</si>
  <si>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</si>
  <si>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</si>
  <si>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</si>
  <si>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</si>
  <si>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</si>
  <si>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</si>
  <si>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</si>
  <si>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</si>
  <si>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</si>
  <si>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</si>
  <si>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</si>
  <si>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</si>
  <si>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</si>
  <si>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</si>
  <si>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</si>
  <si>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</si>
  <si>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</si>
  <si>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</si>
  <si>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</si>
  <si>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</si>
  <si>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</si>
  <si>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</si>
  <si>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</si>
  <si>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</si>
  <si>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</si>
  <si>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</si>
  <si>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</si>
  <si>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</si>
  <si>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</si>
  <si>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</si>
  <si>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</si>
  <si>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</si>
  <si>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</si>
  <si>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</si>
  <si>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</si>
  <si>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</si>
  <si>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</si>
  <si>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</si>
  <si>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</si>
  <si>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</si>
  <si>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</si>
  <si>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</si>
  <si>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</si>
  <si>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</si>
  <si>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</si>
  <si>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</si>
  <si>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</si>
  <si>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</si>
  <si>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</si>
  <si>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</si>
  <si>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</si>
  <si>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</si>
  <si>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</si>
  <si>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</si>
  <si>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</si>
  <si>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</si>
  <si>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</si>
  <si>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</si>
  <si>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</si>
  <si>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</si>
  <si>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</si>
  <si>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</si>
  <si>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</si>
  <si>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</si>
  <si>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</si>
  <si>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</si>
  <si>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</si>
  <si>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</si>
  <si>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</si>
  <si>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</si>
  <si>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</si>
  <si>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</si>
  <si>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</si>
  <si>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</si>
  <si>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</si>
  <si>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</si>
  <si>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</si>
  <si>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</si>
  <si>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</si>
  <si>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</si>
  <si>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</si>
  <si>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</si>
  <si>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</si>
  <si>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</si>
  <si>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</si>
  <si>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</si>
  <si>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</si>
  <si>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</si>
  <si>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</si>
  <si>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</si>
  <si>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</si>
  <si>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</si>
  <si>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</si>
  <si>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</si>
  <si>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</si>
  <si>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</si>
  <si>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</si>
  <si>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</si>
  <si>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</si>
  <si>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</si>
  <si>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</si>
  <si>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</si>
  <si>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</si>
  <si>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</si>
  <si>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</si>
  <si>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</si>
  <si>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</si>
  <si>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</si>
  <si>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</si>
  <si>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</si>
  <si>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</si>
  <si>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</si>
  <si>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</si>
  <si>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</si>
  <si>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</si>
  <si>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</si>
  <si>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</si>
  <si>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</si>
  <si>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</si>
  <si>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</si>
  <si>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</si>
  <si>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</si>
  <si>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</si>
  <si>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</si>
  <si>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</si>
  <si>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</si>
  <si>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</si>
  <si>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</si>
  <si>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</si>
  <si>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</si>
  <si>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</si>
  <si>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</si>
  <si>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</si>
  <si>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</si>
  <si>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</si>
  <si>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</si>
  <si>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</si>
  <si>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</si>
  <si>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</si>
  <si>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</si>
  <si>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</si>
  <si>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</si>
  <si>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</si>
  <si>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</si>
  <si>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</si>
  <si>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</si>
  <si>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</si>
  <si>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</si>
  <si>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</si>
  <si>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</si>
  <si>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</si>
  <si>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</si>
  <si>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</si>
  <si>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</si>
  <si>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</si>
  <si>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</si>
  <si>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</si>
  <si>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</si>
  <si>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</si>
  <si>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</si>
  <si>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</si>
  <si>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</si>
  <si>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</si>
  <si>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</si>
  <si>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</si>
  <si>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</si>
  <si>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</si>
  <si>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</si>
  <si>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</si>
  <si>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</si>
  <si>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</si>
  <si>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</si>
  <si>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</si>
  <si>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</si>
  <si>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</si>
  <si>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</si>
  <si>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</si>
  <si>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</si>
  <si>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</si>
  <si>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</si>
  <si>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</si>
  <si>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</si>
  <si>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</si>
  <si>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</si>
  <si>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</si>
  <si>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</si>
  <si>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</si>
  <si>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</si>
  <si>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</si>
  <si>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</si>
  <si>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</si>
  <si>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</si>
  <si>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</si>
  <si>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</si>
  <si>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</si>
  <si>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</si>
  <si>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</si>
  <si>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</si>
  <si>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</si>
  <si>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</si>
  <si>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</si>
  <si>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</si>
  <si>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</si>
  <si>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</si>
  <si>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</si>
  <si>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</si>
  <si>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</si>
  <si>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</si>
  <si>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</si>
  <si>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</si>
  <si>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</si>
  <si>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</si>
  <si>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</si>
  <si>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</si>
  <si>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</si>
  <si>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</si>
  <si>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</si>
  <si>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</si>
  <si>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</si>
  <si>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</si>
  <si>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</si>
  <si>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</si>
  <si>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</si>
  <si>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</si>
  <si>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</si>
  <si>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</si>
  <si>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</si>
  <si>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</si>
  <si>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</si>
  <si>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</si>
  <si>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</si>
  <si>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</si>
  <si>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</si>
  <si>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</si>
  <si>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</si>
  <si>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</si>
  <si>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</si>
  <si>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</si>
  <si>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</si>
  <si>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</si>
  <si>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</si>
  <si>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</si>
  <si>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</si>
  <si>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</si>
  <si>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</si>
  <si>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</si>
  <si>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</si>
  <si>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</si>
  <si>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</si>
  <si>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</si>
  <si>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</si>
  <si>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</si>
  <si>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</si>
  <si>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</si>
  <si>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</si>
  <si>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</si>
  <si>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</si>
  <si>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</si>
  <si>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</si>
  <si>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</si>
  <si>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</si>
  <si>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</si>
  <si>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</si>
  <si>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</si>
  <si>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</si>
  <si>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</si>
  <si>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</si>
  <si>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</si>
  <si>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</si>
  <si>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</si>
  <si>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</si>
  <si>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</si>
  <si>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</si>
  <si>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</si>
  <si>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</si>
  <si>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</si>
  <si>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</si>
  <si>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</si>
  <si>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</si>
  <si>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</si>
  <si>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</si>
  <si>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</si>
  <si>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</si>
  <si>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</si>
  <si>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</si>
  <si>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</si>
  <si>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</si>
  <si>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</si>
  <si>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</si>
  <si>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</si>
  <si>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</si>
  <si>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</si>
  <si>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</si>
  <si>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</si>
  <si>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</si>
  <si>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</si>
  <si>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</si>
  <si>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</si>
  <si>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</si>
  <si>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</si>
  <si>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</si>
  <si>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</si>
  <si>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</si>
  <si>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</si>
  <si>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</si>
  <si>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</si>
  <si>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</si>
  <si>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</si>
  <si>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</si>
  <si>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</si>
  <si>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</si>
  <si>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</si>
  <si>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</si>
  <si>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</si>
  <si>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</si>
  <si>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</si>
  <si>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</si>
  <si>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</si>
  <si>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</si>
  <si>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</si>
  <si>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</si>
  <si>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</si>
  <si>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</si>
  <si>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</si>
  <si>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</si>
  <si>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</si>
  <si>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</si>
  <si>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</si>
  <si>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</si>
  <si>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</si>
  <si>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</si>
  <si>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</si>
  <si>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</si>
  <si>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</si>
  <si>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</si>
  <si>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</si>
  <si>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</si>
  <si>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</si>
  <si>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</si>
  <si>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</si>
  <si>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</si>
  <si>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</si>
  <si>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</si>
  <si>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</si>
  <si>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</si>
  <si>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</si>
  <si>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</si>
  <si>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</si>
  <si>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</si>
  <si>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</si>
  <si>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</si>
  <si>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</si>
  <si>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</si>
  <si>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</si>
  <si>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</si>
  <si>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</si>
  <si>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</si>
  <si>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</si>
  <si>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</si>
  <si>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</si>
  <si>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</si>
  <si>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</si>
  <si>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</si>
  <si>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</si>
  <si>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</si>
  <si>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</si>
  <si>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</si>
  <si>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</si>
  <si>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</si>
  <si>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</si>
  <si>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</si>
  <si>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</si>
  <si>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</si>
  <si>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</si>
  <si>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</si>
  <si>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</si>
  <si>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</si>
  <si>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</si>
  <si>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</si>
  <si>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</si>
  <si>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</si>
  <si>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</si>
  <si>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</si>
  <si>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</si>
  <si>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</si>
  <si>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</si>
  <si>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</si>
  <si>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</si>
  <si>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</si>
  <si>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</si>
  <si>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</si>
  <si>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</si>
  <si>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</si>
  <si>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</si>
  <si>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</si>
  <si>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</si>
  <si>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</si>
  <si>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</si>
  <si>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</si>
  <si>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</si>
  <si>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</si>
  <si>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</si>
  <si>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</si>
  <si>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</si>
  <si>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</si>
  <si>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</si>
  <si>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</si>
  <si>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</si>
  <si>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</si>
  <si>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</si>
  <si>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</si>
  <si>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</si>
  <si>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</si>
  <si>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</si>
  <si>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</si>
  <si>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</si>
  <si>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</si>
  <si>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</si>
  <si>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</si>
  <si>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</si>
  <si>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</si>
  <si>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</si>
  <si>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</si>
  <si>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</si>
  <si>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</si>
  <si>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Peacok Blue/Maroon - 3
Purple/Green - 1
Navy Blue/Maroon - 3
Maroon/Navy Blue - 1
Lavender/Violet - 1
Grey/Blue - 1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</si>
  <si>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</si>
  <si>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</si>
  <si>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</si>
  <si>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</si>
  <si>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</si>
  <si>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</si>
  <si>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</si>
  <si>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</si>
  <si>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</si>
  <si>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</si>
  <si>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</si>
  <si>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</si>
  <si>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</si>
  <si>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</si>
  <si>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</si>
  <si>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</si>
  <si>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</si>
  <si>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</si>
  <si>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</si>
  <si>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</si>
  <si>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</si>
  <si>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</si>
  <si>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</si>
  <si>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</si>
  <si>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</si>
  <si>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</si>
  <si>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</si>
  <si>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</si>
  <si>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</si>
  <si>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</si>
  <si>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</si>
  <si>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</si>
  <si>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</si>
  <si>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</si>
  <si>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</si>
  <si>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</si>
  <si>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</si>
  <si>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</si>
  <si>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</si>
  <si>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</si>
  <si>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</si>
  <si>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</si>
  <si>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</si>
  <si>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</si>
  <si>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</si>
  <si>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</si>
  <si>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</si>
  <si>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</si>
  <si>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</si>
  <si>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</si>
  <si>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Aruna - violet, Resmi - navy blue, Malini - Rani Pink, Dona - Black, Dona - Blue, Jayalakshmi - Pink</t>
  </si>
  <si>
    <t>Jet Black(1), Maroon(3), Dark Green(1), navy Blue (1), Off white (1)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</si>
  <si>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</si>
  <si>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</si>
  <si>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</si>
  <si>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</si>
  <si>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Blue Banarasi new design</t>
  </si>
  <si>
    <t>Maroon/Bottle Green</t>
  </si>
  <si>
    <t>Ponnu - Red, Indu -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</si>
</sst>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146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73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52554.133333333331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39598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42139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2541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229</c:v>
                </c:pt>
                <c:pt idx="1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318889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276101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288951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-42788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2256.3266666666714</v>
      </c>
      <c r="C10" s="9"/>
    </row>
    <row r="11" spans="1:6" ht="13.5" customHeight="1">
      <c r="A11" s="11" t="s">
        <v>50</v>
      </c>
      <c r="B11" s="14">
        <f>PartnerShares!H9</f>
        <v>11497.33666666667</v>
      </c>
      <c r="C11" s="11"/>
    </row>
    <row r="12" spans="1:6" ht="13.5" customHeight="1">
      <c r="A12" s="9" t="s">
        <v>51</v>
      </c>
      <c r="B12" s="13">
        <f>PartnerShares!H10</f>
        <v>-13753.66333333333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126856</v>
      </c>
      <c r="C18" s="10">
        <f>PartnerShares!C8</f>
        <v>106296.33333333333</v>
      </c>
      <c r="D18" s="10">
        <f>PartnerShares!D8</f>
        <v>20559.666666666672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2256.3266666666714</v>
      </c>
      <c r="G18" s="16" t="str">
        <f>IF(ROUND(F18,0)&gt;0,"Receive ₹"&amp;TEXT(ABS(F18),"#,##0"),IF(ROUND(F18,0)&lt;0,"Pay ₹"&amp;TEXT(ABS(F18),"#,##0"),"✓ Settled"))</f>
        <v>Receive ₹2,256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106296.33333333333</v>
      </c>
      <c r="D19" s="12">
        <f>PartnerShares!D9</f>
        <v>53136.666666666672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11497.33666666667</v>
      </c>
      <c r="G19" s="17" t="str">
        <f>IF(ROUND(F19,0)&gt;0,"Receive ₹"&amp;TEXT(ABS(F19),"#,##0"),IF(ROUND(F19,0)&lt;0,"Pay ₹"&amp;TEXT(ABS(F19),"#,##0"),"✓ Settled"))</f>
        <v>Receive ₹11,497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106296.33333333333</v>
      </c>
      <c r="D20" s="10">
        <f>PartnerShares!D10</f>
        <v>-73696.333333333328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-13753.66333333333</v>
      </c>
      <c r="G20" s="17" t="str">
        <f>IF(ROUND(F20,0)&gt;0,"Receive ₹"&amp;TEXT(ABS(F20),"#,##0"),IF(ROUND(F20,0)&lt;0,"Pay ₹"&amp;TEXT(ABS(F20),"#,##0"),"✓ Settled"))</f>
        <v>Pay ₹13,754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255152</v>
      </c>
      <c r="C26" s="10">
        <f>'Cash Pool'!D4</f>
        <v>92052.073399999994</v>
      </c>
      <c r="D26" s="10">
        <f>'Cash Pool'!E4</f>
        <v>163099.92660000001</v>
      </c>
      <c r="E26" s="10">
        <f>'Cash Pool'!F4</f>
        <v>-137310.02600000001</v>
      </c>
      <c r="F26" s="13">
        <f>'Cash Pool'!G4</f>
        <v>25789.900599999994</v>
      </c>
      <c r="G26" s="17" t="str">
        <f>IF(ROUND(F26,0)&gt;0,"Pay ₹"&amp;TEXT(ABS(F26),"#,##0"),IF(ROUND(F26,0)&lt;0,"Receive ₹"&amp;TEXT(ABS(F26),"#,##0"),"✓ Settled"))</f>
        <v>Pay ₹25,790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91996.853199999998</v>
      </c>
      <c r="D27" s="12">
        <f>'Cash Pool'!E5</f>
        <v>-83577.853199999998</v>
      </c>
      <c r="E27" s="12">
        <f>'Cash Pool'!F5</f>
        <v>71587.042000000001</v>
      </c>
      <c r="F27" s="14">
        <f>'Cash Pool'!G5</f>
        <v>-11990.811199999996</v>
      </c>
      <c r="G27" s="18" t="str">
        <f>IF(ROUND(F27,0)&gt;0,"Pay ₹"&amp;TEXT(ABS(F27),"#,##0"),IF(ROUND(F27,0)&lt;0,"Receive ₹"&amp;TEXT(ABS(F27),"#,##0"),"✓ Settled"))</f>
        <v>Receive ₹11,991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92052.073399999994</v>
      </c>
      <c r="D28" s="10">
        <f>'Cash Pool'!E6</f>
        <v>-79522.073399999994</v>
      </c>
      <c r="E28" s="10">
        <f>'Cash Pool'!F6</f>
        <v>65722.984000000011</v>
      </c>
      <c r="F28" s="13">
        <f>'Cash Pool'!G6</f>
        <v>-13799.089399999983</v>
      </c>
      <c r="G28" s="16" t="str">
        <f>IF(ROUND(F28,0)&gt;0,"Pay ₹"&amp;TEXT(ABS(F28),"#,##0"),IF(ROUND(F28,0)&lt;0,"Receive ₹"&amp;TEXT(ABS(F28),"#,##0"),"✓ Settled"))</f>
        <v>Receive ₹13,799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46136</v>
      </c>
    </row>
    <row r="5" spans="1:8" ht="15" customHeight="1">
      <c r="A5" s="19" t="s">
        <v>41</v>
      </c>
      <c r="B5" s="21">
        <f>Summary!B3</f>
        <v>318889</v>
      </c>
      <c r="D5" s="19" t="s">
        <v>69</v>
      </c>
      <c r="E5" s="21">
        <f>Summary!B4</f>
        <v>276101</v>
      </c>
    </row>
    <row r="6" spans="1:8" ht="15" customHeight="1">
      <c r="A6" s="19" t="s">
        <v>70</v>
      </c>
      <c r="B6" s="21">
        <f>Summary!B6</f>
        <v>-42788</v>
      </c>
      <c r="D6" s="19" t="s">
        <v>71</v>
      </c>
      <c r="E6" s="21">
        <f>SUMIFS(INVENTORY!K:K, INVENTORY!N:N, "&lt;&gt;Sold Out")</f>
        <v>116890.33333333333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229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142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39598</v>
      </c>
      <c r="C13" s="27">
        <f>IFERROR(SUMPRODUCT((TEXT(Sales!$A$2:$A$996,"MMM")=$A13)*(YEAR(Sales!$A$2:$A$996)=$B$7)*Sales!$C$2:$C$996),0)</f>
        <v>42139</v>
      </c>
      <c r="D13" s="27">
        <f t="shared" si="0"/>
        <v>2541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146</v>
      </c>
      <c r="H47" s="30">
        <f>SUMIF(INVENTORY!C:C, F47, INVENTORY!G:G)</f>
        <v>73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52554.133333333331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B58" sqref="B5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818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/>
      <c r="B67" s="39"/>
      <c r="C67" s="40"/>
      <c r="D67" s="39"/>
    </row>
    <row r="68" spans="1:4" ht="15" customHeight="1">
      <c r="A68" s="35"/>
      <c r="B68" s="36"/>
      <c r="C68" s="37"/>
      <c r="D68" s="36"/>
    </row>
    <row r="69" spans="1:4" ht="15" customHeight="1">
      <c r="A69" s="38"/>
      <c r="B69" s="39"/>
      <c r="C69" s="40"/>
      <c r="D69" s="39"/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260"/>
  <sheetViews>
    <sheetView zoomScale="130" zoomScaleNormal="130" workbookViewId="0">
      <pane ySplit="1" topLeftCell="A146" activePane="bottomLeft" state="frozen"/>
      <selection pane="bottomLeft" activeCell="F175" sqref="F175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4.5" style="90" customWidth="1"/>
    <col min="4" max="4" width="18.1640625" style="90" customWidth="1"/>
    <col min="5" max="5" width="8.1640625" style="90" customWidth="1"/>
    <col min="6" max="6" width="7.1640625" style="93" customWidth="1"/>
    <col min="7" max="7" width="7.832031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 hidden="1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 hidden="1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 hidden="1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 hidden="1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 hidden="1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 hidden="1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 hidden="1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 hidden="1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 hidden="1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 hidden="1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 hidden="1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 hidden="1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 hidden="1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 hidden="1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 hidden="1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 hidden="1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 hidden="1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 hidden="1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 hidden="1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 hidden="1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 hidden="1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 hidden="1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 hidden="1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 hidden="1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 hidden="1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 hidden="1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 hidden="1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 hidden="1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 hidden="1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 hidden="1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 hidden="1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 hidden="1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 hidden="1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 hidden="1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 hidden="1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 hidden="1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 hidden="1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 hidden="1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 hidden="1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 hidden="1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 hidden="1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 hidden="1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 hidden="1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 hidden="1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 hidden="1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 hidden="1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 hidden="1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 hidden="1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 hidden="1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 hidden="1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 hidden="1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 hidden="1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 hidden="1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hidden="1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 hidden="1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hidden="1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hidden="1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hidden="1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 hidden="1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hidden="1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 hidden="1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hidden="1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hidden="1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 hidden="1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hidden="1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 hidden="1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hidden="1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 hidden="1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 hidden="1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hidden="1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hidden="1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hidden="1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 hidden="1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hidden="1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hidden="1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 hidden="1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hidden="1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 hidden="1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hidden="1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 hidden="1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hidden="1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 hidden="1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hidden="1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 hidden="1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 hidden="1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hidden="1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 hidden="1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hidden="1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 hidden="1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hidden="1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 hidden="1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hidden="1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 hidden="1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hidden="1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 hidden="1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hidden="1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 hidden="1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hidden="1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 hidden="1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hidden="1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 hidden="1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 hidden="1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 hidden="1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hidden="1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 hidden="1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hidden="1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 hidden="1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hidden="1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 hidden="1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hidden="1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hidden="1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hidden="1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 hidden="1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hidden="1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 hidden="1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hidden="1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 hidden="1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hidden="1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hidden="1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hidden="1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 hidden="1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hidden="1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 hidden="1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hidden="1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 hidden="1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 hidden="1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 hidden="1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 hidden="1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hidden="1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 hidden="1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hidden="1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hidden="1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hidden="1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 hidden="1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hidden="1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 hidden="1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hidden="1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hidden="1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hidden="1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 hidden="1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hidden="1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 hidden="1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hidden="1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 hidden="1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846</v>
      </c>
      <c r="I146" s="80" t="s">
        <v>334</v>
      </c>
    </row>
    <row r="147" spans="1:9" ht="14" hidden="1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hidden="1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hidden="1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 hidden="1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hidden="1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 hidden="1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hidden="1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 hidden="1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hidden="1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 hidden="1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 hidden="1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819</v>
      </c>
      <c r="I160" s="80" t="s">
        <v>334</v>
      </c>
    </row>
    <row r="161" spans="1:9" ht="14" hidden="1">
      <c r="A161" s="75">
        <v>46132</v>
      </c>
      <c r="B161" s="76" t="s">
        <v>833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 hidden="1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848</v>
      </c>
      <c r="I162" s="80" t="s">
        <v>140</v>
      </c>
    </row>
    <row r="163" spans="1:9" ht="14">
      <c r="A163" s="75">
        <v>46133</v>
      </c>
      <c r="B163" s="76" t="s">
        <v>823</v>
      </c>
      <c r="C163" s="77">
        <v>1380</v>
      </c>
      <c r="D163" s="76"/>
      <c r="E163" s="76" t="s">
        <v>49</v>
      </c>
      <c r="F163" s="76"/>
      <c r="G163" s="76"/>
      <c r="H163" s="78" t="s">
        <v>824</v>
      </c>
      <c r="I163" s="76" t="s">
        <v>334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825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826</v>
      </c>
      <c r="I165" s="76" t="s">
        <v>334</v>
      </c>
    </row>
    <row r="166" spans="1:9" ht="14" hidden="1">
      <c r="A166" s="79">
        <v>46134</v>
      </c>
      <c r="B166" s="80" t="s">
        <v>838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840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836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847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844</v>
      </c>
      <c r="I169" s="80" t="s">
        <v>334</v>
      </c>
    </row>
    <row r="170" spans="1:9" ht="14">
      <c r="A170" s="75">
        <v>46134</v>
      </c>
      <c r="B170" s="76" t="s">
        <v>837</v>
      </c>
      <c r="C170" s="77">
        <v>650</v>
      </c>
      <c r="D170" s="76"/>
      <c r="E170" s="76" t="s">
        <v>49</v>
      </c>
      <c r="F170" s="76"/>
      <c r="G170" s="76"/>
      <c r="H170" s="78" t="s">
        <v>845</v>
      </c>
      <c r="I170" s="76" t="s">
        <v>334</v>
      </c>
    </row>
    <row r="171" spans="1:9">
      <c r="A171" s="79"/>
      <c r="B171" s="80"/>
      <c r="C171" s="81"/>
      <c r="D171" s="80"/>
      <c r="E171" s="80"/>
      <c r="F171" s="91"/>
      <c r="G171" s="91"/>
      <c r="H171" s="92"/>
      <c r="I171" s="80"/>
    </row>
    <row r="172" spans="1:9">
      <c r="A172" s="75"/>
      <c r="B172" s="76"/>
      <c r="C172" s="77"/>
      <c r="D172" s="76"/>
      <c r="E172" s="76"/>
      <c r="F172" s="76"/>
      <c r="G172" s="76"/>
      <c r="H172" s="78"/>
      <c r="I172" s="76"/>
    </row>
    <row r="173" spans="1:9">
      <c r="A173" s="79"/>
      <c r="B173" s="80"/>
      <c r="C173" s="81"/>
      <c r="D173" s="80"/>
      <c r="E173" s="80"/>
      <c r="F173" s="91"/>
      <c r="G173" s="91"/>
      <c r="H173" s="92"/>
      <c r="I173" s="80"/>
    </row>
    <row r="174" spans="1:9">
      <c r="A174" s="75"/>
      <c r="B174" s="76"/>
      <c r="C174" s="77"/>
      <c r="D174" s="76"/>
      <c r="E174" s="76"/>
      <c r="F174" s="76"/>
      <c r="G174" s="76"/>
      <c r="H174" s="78"/>
      <c r="I174" s="76"/>
    </row>
    <row r="175" spans="1:9">
      <c r="A175" s="79"/>
      <c r="B175" s="80"/>
      <c r="C175" s="81"/>
      <c r="D175" s="80"/>
      <c r="E175" s="80"/>
      <c r="F175" s="91"/>
      <c r="G175" s="91"/>
      <c r="H175" s="92"/>
      <c r="I175" s="80"/>
    </row>
    <row r="176" spans="1:9">
      <c r="A176" s="75"/>
      <c r="B176" s="76"/>
      <c r="C176" s="77"/>
      <c r="D176" s="76"/>
      <c r="E176" s="76"/>
      <c r="F176" s="76"/>
      <c r="G176" s="76"/>
      <c r="H176" s="78"/>
      <c r="I176" s="76"/>
    </row>
    <row r="177" spans="1:9">
      <c r="A177" s="79"/>
      <c r="B177" s="80"/>
      <c r="C177" s="81"/>
      <c r="D177" s="80"/>
      <c r="E177" s="80"/>
      <c r="F177" s="91"/>
      <c r="G177" s="91"/>
      <c r="H177" s="92"/>
      <c r="I177" s="80"/>
    </row>
    <row r="178" spans="1:9">
      <c r="A178" s="75"/>
      <c r="B178" s="76"/>
      <c r="C178" s="77"/>
      <c r="D178" s="76"/>
      <c r="E178" s="76"/>
      <c r="F178" s="76"/>
      <c r="G178" s="76"/>
      <c r="H178" s="78"/>
      <c r="I178" s="76"/>
    </row>
    <row r="179" spans="1:9">
      <c r="A179" s="79"/>
      <c r="B179" s="80"/>
      <c r="C179" s="81"/>
      <c r="D179" s="80"/>
      <c r="E179" s="80"/>
      <c r="F179" s="91"/>
      <c r="G179" s="91"/>
      <c r="H179" s="92"/>
      <c r="I179" s="80"/>
    </row>
    <row r="180" spans="1:9">
      <c r="A180" s="75"/>
      <c r="B180" s="76"/>
      <c r="C180" s="77"/>
      <c r="D180" s="76"/>
      <c r="E180" s="76"/>
      <c r="F180" s="76"/>
      <c r="G180" s="76"/>
      <c r="H180" s="78"/>
      <c r="I180" s="76"/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70" xr:uid="{00000000-0009-0000-0000-000004000000}">
    <filterColumn colId="8">
      <filters>
        <filter val="Pending"/>
      </filters>
    </filterColumn>
  </autoFilter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54" activePane="bottomLeft" state="frozen"/>
      <selection pane="bottomLeft" activeCell="B171" sqref="B171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6.33203125" style="43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839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841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832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1</v>
      </c>
      <c r="G91" s="51">
        <v>1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389</v>
      </c>
      <c r="K91" s="42">
        <f t="shared" si="8"/>
        <v>389</v>
      </c>
      <c r="L91" s="42" t="s">
        <v>578</v>
      </c>
      <c r="M91" s="42"/>
      <c r="N91" s="42" t="s">
        <v>538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579</v>
      </c>
      <c r="B92" s="48" t="s">
        <v>580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581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582</v>
      </c>
      <c r="B93" s="42" t="s">
        <v>583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821</v>
      </c>
      <c r="M93" s="42"/>
      <c r="N93" s="48" t="s">
        <v>451</v>
      </c>
      <c r="O93" s="42" t="s">
        <v>822</v>
      </c>
      <c r="P93" s="42"/>
      <c r="Q93" s="42"/>
      <c r="R93" s="42"/>
      <c r="S93" s="42"/>
      <c r="T93" s="42"/>
    </row>
    <row r="94" spans="1:20" ht="15" customHeight="1">
      <c r="A94" s="48" t="s">
        <v>584</v>
      </c>
      <c r="B94" s="48" t="s">
        <v>585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586</v>
      </c>
      <c r="B95" s="42" t="s">
        <v>587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588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589</v>
      </c>
      <c r="B96" s="48" t="s">
        <v>590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591</v>
      </c>
      <c r="B97" s="42" t="s">
        <v>592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593</v>
      </c>
      <c r="B98" s="48" t="s">
        <v>594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595</v>
      </c>
      <c r="B99" s="42" t="s">
        <v>596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597</v>
      </c>
      <c r="B100" s="48" t="s">
        <v>598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599</v>
      </c>
      <c r="B101" s="42" t="s">
        <v>600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601</v>
      </c>
      <c r="B102" s="48" t="s">
        <v>602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603</v>
      </c>
      <c r="B103" s="42" t="s">
        <v>604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605</v>
      </c>
      <c r="B104" s="48" t="s">
        <v>606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607</v>
      </c>
      <c r="B105" s="42" t="s">
        <v>608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609</v>
      </c>
      <c r="B106" s="48" t="s">
        <v>610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611</v>
      </c>
      <c r="B107" s="42" t="s">
        <v>612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613</v>
      </c>
      <c r="B108" s="48" t="s">
        <v>614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615</v>
      </c>
      <c r="B109" s="42" t="s">
        <v>616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617</v>
      </c>
      <c r="B110" s="48" t="s">
        <v>618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619</v>
      </c>
      <c r="B111" s="42" t="s">
        <v>620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621</v>
      </c>
      <c r="B112" s="48" t="s">
        <v>622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623</v>
      </c>
      <c r="B113" s="42" t="s">
        <v>624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625</v>
      </c>
      <c r="B114" s="48" t="s">
        <v>626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627</v>
      </c>
      <c r="B115" s="42" t="s">
        <v>628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629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630</v>
      </c>
      <c r="B116" s="48" t="s">
        <v>631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632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633</v>
      </c>
      <c r="B117" s="42" t="s">
        <v>634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635</v>
      </c>
      <c r="B118" s="48" t="s">
        <v>636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637</v>
      </c>
      <c r="M118" s="48"/>
      <c r="N118" s="48" t="s">
        <v>366</v>
      </c>
      <c r="O118" s="48"/>
      <c r="P118" s="48" t="s">
        <v>638</v>
      </c>
      <c r="Q118" s="48"/>
      <c r="R118" s="48"/>
      <c r="S118" s="48"/>
      <c r="T118" s="48"/>
    </row>
    <row r="119" spans="1:246" ht="15" customHeight="1">
      <c r="A119" s="42" t="s">
        <v>639</v>
      </c>
      <c r="B119" s="42" t="s">
        <v>640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30" customHeight="1">
      <c r="A120" s="48" t="s">
        <v>641</v>
      </c>
      <c r="B120" s="48" t="s">
        <v>642</v>
      </c>
      <c r="C120" s="48" t="s">
        <v>95</v>
      </c>
      <c r="D120" s="49">
        <v>418.95333333333298</v>
      </c>
      <c r="E120" s="49">
        <v>699</v>
      </c>
      <c r="F120" s="49">
        <v>6</v>
      </c>
      <c r="G120" s="49">
        <v>7</v>
      </c>
      <c r="H120" s="48">
        <f t="shared" si="9"/>
        <v>13</v>
      </c>
      <c r="I120" s="48">
        <f>IF(D120&lt;&gt;"",D120,IFERROR(E120/(IFERROR(SUM(Sales!C:C),0))*(IFERROR(SUM(Purchases!C:C),0)),0))</f>
        <v>418.95333333333298</v>
      </c>
      <c r="J120" s="48">
        <f t="shared" si="10"/>
        <v>2513.719999999998</v>
      </c>
      <c r="K120" s="48">
        <f t="shared" si="11"/>
        <v>2932.6733333333309</v>
      </c>
      <c r="L120" s="48" t="s">
        <v>842</v>
      </c>
      <c r="M120" s="48" t="s">
        <v>49</v>
      </c>
      <c r="N120" s="48" t="s">
        <v>451</v>
      </c>
      <c r="O120" s="48"/>
      <c r="P120" s="48" t="s">
        <v>843</v>
      </c>
      <c r="Q120" s="48"/>
      <c r="R120" s="48"/>
      <c r="S120" s="48"/>
      <c r="T120" s="48"/>
    </row>
    <row r="121" spans="1:246" ht="15" customHeight="1">
      <c r="A121" s="42" t="s">
        <v>643</v>
      </c>
      <c r="B121" s="42" t="s">
        <v>644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645</v>
      </c>
      <c r="M121" s="42"/>
      <c r="N121" s="42" t="s">
        <v>366</v>
      </c>
      <c r="O121" s="42"/>
      <c r="P121" s="42" t="s">
        <v>646</v>
      </c>
      <c r="Q121" s="42"/>
      <c r="R121" s="42"/>
      <c r="S121" s="42"/>
      <c r="T121" s="42"/>
    </row>
    <row r="122" spans="1:246" ht="15" customHeight="1">
      <c r="A122" s="48" t="s">
        <v>647</v>
      </c>
      <c r="B122" s="48" t="s">
        <v>648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649</v>
      </c>
      <c r="M122" s="48"/>
      <c r="N122" s="48" t="s">
        <v>451</v>
      </c>
      <c r="O122" s="48" t="s">
        <v>650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651</v>
      </c>
      <c r="B123" s="59" t="s">
        <v>652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653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654</v>
      </c>
      <c r="B124" s="61" t="s">
        <v>655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656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657</v>
      </c>
      <c r="B125" s="59" t="s">
        <v>658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659</v>
      </c>
      <c r="M125" s="59"/>
      <c r="N125" s="59" t="s">
        <v>366</v>
      </c>
      <c r="O125" s="59"/>
      <c r="P125" s="59" t="s">
        <v>660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661</v>
      </c>
      <c r="B126" s="48" t="s">
        <v>662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663</v>
      </c>
      <c r="M126" s="48"/>
      <c r="N126" s="48" t="s">
        <v>366</v>
      </c>
      <c r="O126" s="48" t="s">
        <v>664</v>
      </c>
      <c r="P126" s="48"/>
      <c r="Q126" s="48"/>
      <c r="R126" s="48"/>
      <c r="S126" s="48"/>
      <c r="T126" s="48"/>
    </row>
    <row r="127" spans="1:246" ht="15" customHeight="1">
      <c r="A127" s="59" t="s">
        <v>665</v>
      </c>
      <c r="B127" s="42" t="s">
        <v>666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667</v>
      </c>
      <c r="B128" s="48" t="s">
        <v>668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669</v>
      </c>
      <c r="B129" s="42" t="s">
        <v>670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671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672</v>
      </c>
      <c r="B130" s="48" t="s">
        <v>673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674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675</v>
      </c>
      <c r="B131" s="42" t="s">
        <v>676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677</v>
      </c>
      <c r="B132" s="48" t="s">
        <v>678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679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680</v>
      </c>
      <c r="B133" s="42" t="s">
        <v>681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682</v>
      </c>
      <c r="B134" s="48" t="s">
        <v>683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684</v>
      </c>
      <c r="B135" s="42" t="s">
        <v>685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686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687</v>
      </c>
      <c r="B136" s="48" t="s">
        <v>688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835</v>
      </c>
      <c r="M136" s="48"/>
      <c r="N136" s="48" t="s">
        <v>366</v>
      </c>
      <c r="O136" s="48"/>
      <c r="P136" s="48" t="s">
        <v>689</v>
      </c>
      <c r="Q136" s="48"/>
      <c r="R136" s="48"/>
      <c r="S136" s="48"/>
      <c r="T136" s="48"/>
    </row>
    <row r="137" spans="1:20" ht="15" customHeight="1">
      <c r="A137" s="59" t="s">
        <v>690</v>
      </c>
      <c r="B137" s="42" t="s">
        <v>691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692</v>
      </c>
      <c r="B138" s="48" t="s">
        <v>693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834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694</v>
      </c>
      <c r="B139" s="42" t="s">
        <v>695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696</v>
      </c>
      <c r="B140" s="48" t="s">
        <v>697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698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699</v>
      </c>
      <c r="B141" s="42" t="s">
        <v>700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701</v>
      </c>
      <c r="B142" s="48" t="s">
        <v>702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703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704</v>
      </c>
      <c r="B143" s="42" t="s">
        <v>705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706</v>
      </c>
      <c r="B144" s="48" t="s">
        <v>707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708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709</v>
      </c>
      <c r="B146" s="48" t="s">
        <v>710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711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712</v>
      </c>
      <c r="B147" s="42" t="s">
        <v>713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714</v>
      </c>
      <c r="M147" s="42"/>
      <c r="N147" s="42" t="s">
        <v>451</v>
      </c>
      <c r="O147" s="42"/>
      <c r="P147" s="42" t="s">
        <v>715</v>
      </c>
      <c r="Q147" s="42"/>
      <c r="R147" s="42"/>
      <c r="S147" s="42"/>
      <c r="T147" s="42"/>
    </row>
    <row r="148" spans="1:20" ht="15" customHeight="1">
      <c r="A148" s="48" t="s">
        <v>716</v>
      </c>
      <c r="B148" s="48" t="s">
        <v>717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718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719</v>
      </c>
      <c r="B149" s="42" t="s">
        <v>720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721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722</v>
      </c>
      <c r="B150" s="48" t="s">
        <v>723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724</v>
      </c>
      <c r="B151" s="42" t="s">
        <v>725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827</v>
      </c>
      <c r="M151" s="42"/>
      <c r="N151" s="42" t="s">
        <v>451</v>
      </c>
      <c r="O151" s="42" t="s">
        <v>208</v>
      </c>
      <c r="P151" s="42" t="s">
        <v>726</v>
      </c>
      <c r="Q151" s="42"/>
      <c r="R151" s="42"/>
      <c r="S151" s="42"/>
      <c r="T151" s="42"/>
    </row>
    <row r="152" spans="1:20" ht="15" customHeight="1">
      <c r="A152" s="48" t="s">
        <v>727</v>
      </c>
      <c r="B152" s="48" t="s">
        <v>728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729</v>
      </c>
      <c r="M152" s="48"/>
      <c r="N152" s="48" t="s">
        <v>451</v>
      </c>
      <c r="O152" s="48" t="s">
        <v>730</v>
      </c>
      <c r="P152" s="48" t="s">
        <v>731</v>
      </c>
      <c r="Q152" s="48"/>
      <c r="R152" s="48"/>
      <c r="S152" s="48"/>
      <c r="T152" s="48"/>
    </row>
    <row r="153" spans="1:20" ht="15" customHeight="1">
      <c r="A153" s="42" t="s">
        <v>732</v>
      </c>
      <c r="B153" s="42" t="s">
        <v>733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734</v>
      </c>
      <c r="M153" s="42"/>
      <c r="N153" s="42" t="s">
        <v>451</v>
      </c>
      <c r="O153" s="42"/>
      <c r="P153" s="42" t="s">
        <v>735</v>
      </c>
      <c r="Q153" s="42"/>
      <c r="R153" s="42"/>
      <c r="S153" s="42"/>
      <c r="T153" s="42"/>
    </row>
    <row r="154" spans="1:20" ht="15" customHeight="1">
      <c r="A154" s="48" t="s">
        <v>736</v>
      </c>
      <c r="B154" s="48" t="s">
        <v>737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738</v>
      </c>
      <c r="P154" s="48"/>
      <c r="Q154" s="48"/>
      <c r="R154" s="48"/>
      <c r="S154" s="48"/>
      <c r="T154" s="48"/>
    </row>
    <row r="155" spans="1:20" ht="15" customHeight="1">
      <c r="A155" s="42" t="s">
        <v>739</v>
      </c>
      <c r="B155" s="42" t="s">
        <v>740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738</v>
      </c>
      <c r="P155" s="42"/>
      <c r="Q155" s="42"/>
      <c r="R155" s="42"/>
      <c r="S155" s="42"/>
      <c r="T155" s="42"/>
    </row>
    <row r="156" spans="1:20" ht="15" customHeight="1">
      <c r="A156" s="48" t="s">
        <v>741</v>
      </c>
      <c r="B156" s="48" t="s">
        <v>742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743</v>
      </c>
      <c r="P156" s="48"/>
      <c r="Q156" s="48"/>
      <c r="R156" s="48"/>
      <c r="S156" s="48"/>
      <c r="T156" s="48"/>
    </row>
    <row r="157" spans="1:20" ht="15" customHeight="1">
      <c r="A157" s="42" t="s">
        <v>744</v>
      </c>
      <c r="B157" s="42" t="s">
        <v>745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746</v>
      </c>
      <c r="M157" s="42"/>
      <c r="N157" s="42" t="s">
        <v>451</v>
      </c>
      <c r="O157" s="42" t="s">
        <v>650</v>
      </c>
      <c r="P157" s="42"/>
      <c r="Q157" s="42"/>
      <c r="R157" s="42"/>
      <c r="S157" s="42"/>
      <c r="T157" s="42"/>
    </row>
    <row r="158" spans="1:20" ht="15" customHeight="1">
      <c r="A158" s="48" t="s">
        <v>747</v>
      </c>
      <c r="B158" s="48" t="s">
        <v>748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830</v>
      </c>
      <c r="M158" s="48"/>
      <c r="N158" s="48" t="s">
        <v>538</v>
      </c>
      <c r="O158" s="48" t="s">
        <v>831</v>
      </c>
      <c r="P158" s="48"/>
      <c r="Q158" s="48"/>
      <c r="R158" s="48"/>
      <c r="S158" s="48"/>
      <c r="T158" s="48"/>
    </row>
    <row r="159" spans="1:20" ht="15" customHeight="1">
      <c r="A159" s="42" t="s">
        <v>749</v>
      </c>
      <c r="B159" s="42" t="s">
        <v>750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828</v>
      </c>
      <c r="M159" s="42"/>
      <c r="N159" s="42" t="s">
        <v>538</v>
      </c>
      <c r="O159" s="42" t="s">
        <v>829</v>
      </c>
      <c r="P159" s="42"/>
      <c r="Q159" s="42"/>
      <c r="R159" s="42"/>
      <c r="S159" s="42"/>
      <c r="T159" s="42"/>
    </row>
    <row r="160" spans="1:20" ht="15" customHeight="1">
      <c r="A160" s="48" t="s">
        <v>751</v>
      </c>
      <c r="B160" s="48" t="s">
        <v>752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753</v>
      </c>
      <c r="B161" s="42" t="s">
        <v>754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755</v>
      </c>
      <c r="B162" s="48" t="s">
        <v>756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757</v>
      </c>
      <c r="B163" s="42" t="s">
        <v>758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759</v>
      </c>
      <c r="B164" s="48" t="s">
        <v>760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761</v>
      </c>
      <c r="Q164" s="48"/>
      <c r="R164" s="48"/>
      <c r="S164" s="48"/>
      <c r="T164" s="48"/>
    </row>
    <row r="165" spans="1:20" ht="15" customHeight="1">
      <c r="A165" s="42" t="s">
        <v>762</v>
      </c>
      <c r="B165" s="42" t="s">
        <v>763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764</v>
      </c>
      <c r="Q165" s="42"/>
      <c r="R165" s="42"/>
      <c r="S165" s="42"/>
      <c r="T165" s="42"/>
    </row>
    <row r="166" spans="1:20" ht="15" customHeight="1">
      <c r="A166" s="48" t="s">
        <v>765</v>
      </c>
      <c r="B166" s="48" t="s">
        <v>766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767</v>
      </c>
      <c r="Q166" s="48"/>
      <c r="R166" s="48"/>
      <c r="S166" s="48"/>
      <c r="T166" s="48"/>
    </row>
    <row r="167" spans="1:20" ht="15" customHeight="1">
      <c r="A167" s="42" t="s">
        <v>768</v>
      </c>
      <c r="B167" s="42" t="s">
        <v>769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770</v>
      </c>
      <c r="M167" s="42"/>
      <c r="N167" s="42" t="s">
        <v>451</v>
      </c>
      <c r="O167" s="42"/>
      <c r="P167" s="42" t="s">
        <v>771</v>
      </c>
      <c r="Q167" s="42"/>
      <c r="R167" s="42"/>
      <c r="S167" s="42"/>
      <c r="T167" s="42"/>
    </row>
    <row r="168" spans="1:20" ht="15" customHeight="1">
      <c r="A168" s="48" t="s">
        <v>772</v>
      </c>
      <c r="B168" s="48" t="s">
        <v>773</v>
      </c>
      <c r="C168" s="48" t="s">
        <v>95</v>
      </c>
      <c r="D168" s="49">
        <v>608</v>
      </c>
      <c r="E168" s="49">
        <v>950</v>
      </c>
      <c r="F168" s="62">
        <v>0</v>
      </c>
      <c r="G168" s="62">
        <v>3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0</v>
      </c>
      <c r="K168" s="61">
        <f t="shared" si="17"/>
        <v>1824</v>
      </c>
      <c r="L168" s="48"/>
      <c r="M168" s="48"/>
      <c r="N168" s="48" t="s">
        <v>538</v>
      </c>
      <c r="O168" s="48"/>
      <c r="P168" s="48" t="s">
        <v>774</v>
      </c>
      <c r="Q168" s="48"/>
      <c r="R168" s="48"/>
      <c r="S168" s="48"/>
      <c r="T168" s="48"/>
    </row>
    <row r="169" spans="1:20" ht="15" customHeight="1">
      <c r="A169" s="42" t="s">
        <v>775</v>
      </c>
      <c r="B169" s="42" t="s">
        <v>776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777</v>
      </c>
      <c r="Q169" s="42"/>
      <c r="R169" s="42"/>
      <c r="S169" s="42"/>
      <c r="T169" s="42"/>
    </row>
    <row r="170" spans="1:20" ht="30" customHeight="1">
      <c r="A170" s="48" t="s">
        <v>778</v>
      </c>
      <c r="B170" s="48" t="s">
        <v>779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820</v>
      </c>
      <c r="M170" s="48"/>
      <c r="N170" s="48" t="s">
        <v>366</v>
      </c>
      <c r="O170" s="48"/>
      <c r="P170" s="48" t="s">
        <v>780</v>
      </c>
      <c r="Q170" s="48"/>
      <c r="R170" s="48"/>
      <c r="S170" s="48"/>
      <c r="T170" s="48"/>
    </row>
    <row r="171" spans="1:20" ht="32" customHeight="1">
      <c r="A171" s="42" t="s">
        <v>781</v>
      </c>
      <c r="B171" s="48" t="s">
        <v>782</v>
      </c>
      <c r="C171" s="42" t="s">
        <v>95</v>
      </c>
      <c r="D171" s="51">
        <v>892</v>
      </c>
      <c r="E171" s="51">
        <v>1380</v>
      </c>
      <c r="F171" s="60">
        <v>1</v>
      </c>
      <c r="G171" s="60">
        <v>2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892</v>
      </c>
      <c r="K171" s="59">
        <f t="shared" si="17"/>
        <v>1784</v>
      </c>
      <c r="L171" s="42" t="s">
        <v>850</v>
      </c>
      <c r="M171" s="42"/>
      <c r="N171" s="42" t="s">
        <v>451</v>
      </c>
      <c r="O171" s="42"/>
      <c r="P171" s="42" t="s">
        <v>849</v>
      </c>
      <c r="Q171" s="42"/>
      <c r="R171" s="42"/>
      <c r="S171" s="42"/>
      <c r="T171" s="42"/>
    </row>
    <row r="172" spans="1:20" ht="15" customHeight="1">
      <c r="A172" s="48" t="s">
        <v>783</v>
      </c>
      <c r="B172" s="48" t="s">
        <v>784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785</v>
      </c>
      <c r="B173" s="42" t="s">
        <v>786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787</v>
      </c>
      <c r="B174" s="48" t="s">
        <v>788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789</v>
      </c>
      <c r="B175" s="42" t="s">
        <v>790</v>
      </c>
      <c r="C175" s="42" t="s">
        <v>95</v>
      </c>
      <c r="D175" s="51">
        <v>698.25</v>
      </c>
      <c r="E175" s="51">
        <v>1250</v>
      </c>
      <c r="F175" s="60">
        <v>0</v>
      </c>
      <c r="G175" s="60">
        <v>10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0</v>
      </c>
      <c r="K175" s="59">
        <f t="shared" si="17"/>
        <v>6982.5</v>
      </c>
      <c r="L175" s="42"/>
      <c r="M175" s="42"/>
      <c r="N175" s="42" t="s">
        <v>538</v>
      </c>
      <c r="O175" s="42"/>
      <c r="P175" s="42" t="s">
        <v>791</v>
      </c>
      <c r="Q175" s="42"/>
      <c r="R175" s="42"/>
      <c r="S175" s="42"/>
      <c r="T175" s="42"/>
    </row>
    <row r="176" spans="1:20">
      <c r="A176" s="48"/>
      <c r="B176" s="48"/>
      <c r="C176" s="48"/>
      <c r="D176" s="49"/>
      <c r="E176" s="49"/>
      <c r="F176" s="62"/>
      <c r="G176" s="62"/>
      <c r="H176" s="61"/>
      <c r="I176" s="61"/>
      <c r="J176" s="61"/>
      <c r="K176" s="61"/>
      <c r="L176" s="48"/>
      <c r="M176" s="48"/>
      <c r="N176" s="48"/>
      <c r="O176" s="48"/>
      <c r="P176" s="48"/>
      <c r="Q176" s="48"/>
      <c r="R176" s="48"/>
      <c r="S176" s="48"/>
      <c r="T176" s="48"/>
    </row>
    <row r="177" spans="1:20">
      <c r="A177" s="42"/>
      <c r="B177" s="42"/>
      <c r="C177" s="42"/>
      <c r="D177" s="51"/>
      <c r="E177" s="51"/>
      <c r="F177" s="60"/>
      <c r="G177" s="60"/>
      <c r="H177" s="59"/>
      <c r="I177" s="59"/>
      <c r="J177" s="59"/>
      <c r="K177" s="59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>
      <c r="A178" s="48"/>
      <c r="B178" s="48"/>
      <c r="C178" s="48"/>
      <c r="D178" s="49"/>
      <c r="E178" s="49"/>
      <c r="F178" s="62"/>
      <c r="G178" s="62"/>
      <c r="H178" s="61"/>
      <c r="I178" s="61"/>
      <c r="J178" s="61"/>
      <c r="K178" s="61"/>
      <c r="L178" s="48"/>
      <c r="M178" s="48"/>
      <c r="N178" s="48"/>
      <c r="O178" s="48"/>
      <c r="P178" s="48"/>
      <c r="Q178" s="48"/>
      <c r="R178" s="48"/>
      <c r="S178" s="48"/>
      <c r="T178" s="48"/>
    </row>
    <row r="179" spans="1:20">
      <c r="A179" s="42"/>
      <c r="B179" s="42"/>
      <c r="C179" s="42"/>
      <c r="D179" s="51"/>
      <c r="E179" s="51"/>
      <c r="F179" s="60"/>
      <c r="G179" s="60"/>
      <c r="H179" s="59"/>
      <c r="I179" s="59"/>
      <c r="J179" s="59"/>
      <c r="K179" s="59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>
      <c r="A180" s="48"/>
      <c r="B180" s="48"/>
      <c r="C180" s="48"/>
      <c r="D180" s="49"/>
      <c r="E180" s="49"/>
      <c r="F180" s="62"/>
      <c r="G180" s="62"/>
      <c r="H180" s="61"/>
      <c r="I180" s="61"/>
      <c r="J180" s="61"/>
      <c r="K180" s="61"/>
      <c r="L180" s="48"/>
      <c r="M180" s="48"/>
      <c r="N180" s="48"/>
      <c r="O180" s="48"/>
      <c r="P180" s="48"/>
      <c r="Q180" s="48"/>
      <c r="R180" s="48"/>
      <c r="S180" s="48"/>
      <c r="T180" s="48"/>
    </row>
    <row r="181" spans="1:20">
      <c r="A181" s="42"/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>
      <c r="A182" s="48"/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>
      <c r="A183" s="42"/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>
      <c r="A184" s="48"/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>
      <c r="A185" s="42"/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>
      <c r="A186" s="48"/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>
      <c r="A187" s="42"/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>
      <c r="A188" s="48"/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792</v>
      </c>
      <c r="B1" s="95"/>
    </row>
    <row r="2" spans="1:8" ht="13.5" customHeight="1">
      <c r="A2" s="8" t="s">
        <v>42</v>
      </c>
      <c r="B2" s="8" t="s">
        <v>793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794</v>
      </c>
      <c r="C7" s="67" t="s">
        <v>795</v>
      </c>
      <c r="D7" s="67" t="s">
        <v>796</v>
      </c>
      <c r="E7" s="67" t="s">
        <v>797</v>
      </c>
      <c r="F7" s="67" t="s">
        <v>798</v>
      </c>
      <c r="G7" s="67" t="s">
        <v>799</v>
      </c>
      <c r="H7" s="67" t="s">
        <v>800</v>
      </c>
    </row>
    <row r="8" spans="1:8" ht="13.5" customHeight="1">
      <c r="A8" s="9" t="s">
        <v>49</v>
      </c>
      <c r="B8" s="9">
        <f>IFERROR(SUMIF(Purchases!$B:$B,$A8,Purchases!$C:$C),0)</f>
        <v>126856</v>
      </c>
      <c r="C8" s="9">
        <f>SUM($B$8:$B$10)/3</f>
        <v>106296.33333333333</v>
      </c>
      <c r="D8" s="9">
        <f>B8-C8</f>
        <v>20559.666666666672</v>
      </c>
      <c r="E8" s="9">
        <f>IF(Summary!$B$6&gt;0, Summary!$B$6*VLOOKUP($A8,$A$3:$B$5,2,FALSE()),0)</f>
        <v>0</v>
      </c>
      <c r="F8" s="9">
        <f>D8+E8</f>
        <v>20559.666666666672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2256.3266666666714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106296.33333333333</v>
      </c>
      <c r="D9" s="11">
        <f>B9-C9</f>
        <v>53136.666666666672</v>
      </c>
      <c r="E9" s="11">
        <f>IF(Summary!$B$6&gt;0, Summary!$B$6*VLOOKUP($A9,$A$3:$B$5,2,FALSE()),0)</f>
        <v>0</v>
      </c>
      <c r="F9" s="11">
        <f>D9+E9</f>
        <v>53136.666666666672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11497.33666666667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106296.33333333333</v>
      </c>
      <c r="D10" s="9">
        <f>B10-C10</f>
        <v>-73696.333333333328</v>
      </c>
      <c r="E10" s="9">
        <f>IF(Summary!$B$6&gt;0, Summary!$B$6*VLOOKUP($A10,$A$3:$B$5,2,FALSE()),0)</f>
        <v>0</v>
      </c>
      <c r="F10" s="9">
        <f>D10+E10</f>
        <v>-73696.333333333328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-13753.66333333333</v>
      </c>
    </row>
    <row r="12" spans="1:8" s="71" customFormat="1" ht="15.75" customHeight="1">
      <c r="A12" s="96" t="s">
        <v>801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802</v>
      </c>
      <c r="C13" s="67" t="s">
        <v>803</v>
      </c>
      <c r="D13" s="67" t="s">
        <v>804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805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805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805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805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805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805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805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805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805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805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807</v>
      </c>
    </row>
    <row r="3" spans="1:7" s="68" customFormat="1" ht="13.5" customHeight="1">
      <c r="A3" s="67" t="s">
        <v>42</v>
      </c>
      <c r="B3" s="67" t="s">
        <v>808</v>
      </c>
      <c r="C3" s="67" t="s">
        <v>793</v>
      </c>
      <c r="D3" s="67" t="s">
        <v>809</v>
      </c>
      <c r="E3" s="67" t="s">
        <v>810</v>
      </c>
      <c r="F3" s="67" t="s">
        <v>811</v>
      </c>
      <c r="G3" s="67" t="s">
        <v>812</v>
      </c>
    </row>
    <row r="4" spans="1:7" ht="13.5" customHeight="1">
      <c r="A4" s="9" t="s">
        <v>49</v>
      </c>
      <c r="B4" s="9">
        <f>IFERROR(SUMIFS(Sales!$C:$C,Sales!$E:$E,$A4,Sales!$I:$I,"Completed"),0)</f>
        <v>255152</v>
      </c>
      <c r="C4" s="9">
        <f>VLOOKUP($A4,PartnerShares!$A$3:$B$5,2,FALSE())</f>
        <v>0.33339999999999997</v>
      </c>
      <c r="D4" s="9">
        <f>Summary!$B$4*C4</f>
        <v>92052.073399999994</v>
      </c>
      <c r="E4" s="9">
        <f>B4-D4</f>
        <v>163099.92660000001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25789.900599999994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91996.853199999998</v>
      </c>
      <c r="E5" s="11">
        <f>B5-D5</f>
        <v>-83577.853199999998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-11990.811199999996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92052.073399999994</v>
      </c>
      <c r="E6" s="9">
        <f>B6-D6</f>
        <v>-79522.073399999994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-13799.089399999983</v>
      </c>
    </row>
    <row r="9" spans="1:7" ht="13.5" customHeight="1">
      <c r="A9" s="6" t="s">
        <v>0</v>
      </c>
    </row>
    <row r="10" spans="1:7" ht="13.5" customHeight="1">
      <c r="A10" s="6" t="s">
        <v>813</v>
      </c>
    </row>
    <row r="11" spans="1:7" ht="13.5" customHeight="1">
      <c r="A11" s="6" t="s">
        <v>814</v>
      </c>
    </row>
    <row r="12" spans="1:7" ht="13.5" customHeight="1">
      <c r="A12" s="6" t="s">
        <v>815</v>
      </c>
    </row>
    <row r="13" spans="1:7" ht="13.5" customHeight="1">
      <c r="A13" s="6" t="s">
        <v>816</v>
      </c>
    </row>
    <row r="14" spans="1:7" ht="13.5" customHeight="1">
      <c r="A14" s="6" t="s">
        <v>817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2026-04-24T12:58:39Z</dcterms:modified>
  <dc:language>en-US</dc:language>
</cp:coreProperties>
</file>