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9D71F876-72BD-6A4B-B550-68B68D9082B9}" xr6:coauthVersionLast="47" xr6:coauthVersionMax="47" xr10:uidLastSave="{00000000-0000-0000-0000-000000000000}"/>
  <bookViews>
    <workbookView xWindow="0" yWindow="0" windowWidth="28800" windowHeight="18000" tabRatio="5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Sales!$A$1:$I$209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B6" i="2" l="1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B7" i="2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E10" i="7" l="1"/>
  <c r="B36" i="2" s="1"/>
  <c r="E9" i="7"/>
  <c r="B35" i="2" s="1"/>
  <c r="B6" i="3"/>
  <c r="D10" i="7"/>
  <c r="D9" i="7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D20" i="2"/>
  <c r="F20" i="2" s="1"/>
  <c r="G20" i="2" s="1"/>
  <c r="D19" i="2"/>
  <c r="F19" i="2" s="1"/>
  <c r="G19" i="2" s="1"/>
  <c r="F10" i="7" l="1"/>
  <c r="H10" i="7" s="1"/>
  <c r="B12" i="2" s="1"/>
  <c r="F9" i="7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<sst xmlns="http://schemas.openxmlformats.org/spreadsheetml/2006/main" count="2387" uniqueCount="956">
  <si>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</si>
  <si>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</si>
  <si>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</si>
  <si>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</si>
  <si>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</si>
  <si>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</si>
  <si>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</si>
  <si>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</si>
  <si>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</si>
  <si>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</si>
  <si>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</si>
  <si>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</si>
  <si>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</si>
  <si>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</si>
  <si>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</si>
  <si>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</si>
  <si>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</si>
  <si>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</si>
  <si>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</si>
  <si>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</si>
  <si>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</si>
  <si>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</si>
  <si>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</si>
  <si>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</si>
  <si>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</si>
  <si>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</si>
  <si>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</si>
  <si>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</si>
  <si>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</si>
  <si>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</si>
  <si>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</si>
  <si>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</si>
  <si>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</si>
  <si>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</si>
  <si>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</si>
  <si>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</si>
  <si>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</si>
  <si>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</si>
  <si>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</si>
  <si>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</si>
  <si>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</si>
  <si>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</si>
  <si>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</si>
  <si>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</si>
  <si>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</si>
  <si>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</si>
  <si>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</si>
  <si>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</si>
  <si>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</si>
  <si>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</si>
  <si>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</si>
  <si>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</si>
  <si>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</si>
  <si>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</si>
  <si>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</si>
  <si>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</si>
  <si>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</si>
  <si>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</si>
  <si>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</si>
  <si>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</si>
  <si>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</si>
  <si>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</si>
  <si>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</si>
  <si>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</si>
  <si>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</si>
  <si>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</si>
  <si>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</si>
  <si>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</si>
  <si>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</si>
  <si>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</si>
  <si>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</si>
  <si>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</si>
  <si>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</si>
  <si>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</si>
  <si>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</si>
  <si>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</si>
  <si>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</si>
  <si>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</si>
  <si>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</si>
  <si>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</si>
  <si>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</si>
  <si>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</si>
  <si>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</si>
  <si>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</si>
  <si>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</si>
  <si>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</si>
  <si>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</si>
  <si>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</si>
  <si>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</si>
  <si>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</si>
  <si>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</si>
  <si>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</si>
  <si>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</si>
  <si>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</si>
  <si>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</si>
  <si>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</si>
  <si>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</si>
  <si>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</si>
  <si>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</si>
  <si>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</si>
  <si>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</si>
  <si>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</si>
  <si>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</si>
  <si>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</si>
  <si>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</si>
  <si>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</si>
  <si>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</si>
  <si>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</si>
  <si>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</si>
  <si>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</si>
  <si>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</si>
  <si>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</si>
  <si>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</si>
  <si>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</si>
  <si>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</si>
  <si>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</si>
  <si>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</si>
  <si>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</si>
  <si>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</si>
  <si>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</si>
  <si>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</si>
  <si>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</si>
  <si>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</si>
  <si>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</si>
  <si>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</si>
  <si>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</si>
  <si>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</si>
  <si>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</si>
  <si>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</si>
  <si>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</si>
  <si>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</si>
  <si>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</si>
  <si>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</si>
  <si>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</si>
  <si>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</si>
  <si>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</si>
  <si>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</si>
  <si>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</si>
  <si>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</si>
  <si>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</si>
  <si>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</si>
  <si>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</si>
  <si>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</si>
  <si>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</si>
  <si>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</si>
  <si>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</si>
  <si>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</si>
  <si>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</si>
  <si>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</si>
  <si>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</si>
  <si>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</si>
  <si>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</si>
  <si>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</si>
  <si>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</si>
  <si>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</si>
  <si>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</si>
  <si>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</si>
  <si>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</si>
  <si>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</si>
  <si>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</si>
  <si>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</si>
  <si>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</si>
  <si>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</si>
  <si>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</si>
  <si>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</si>
  <si>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</si>
  <si>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</si>
  <si>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</si>
  <si>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</si>
  <si>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</si>
  <si>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</si>
  <si>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</si>
  <si>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</si>
  <si>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</si>
  <si>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</si>
  <si>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</si>
  <si>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</si>
  <si>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</si>
  <si>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</si>
  <si>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</si>
  <si>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</si>
  <si>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</si>
  <si>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</si>
  <si>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</si>
  <si>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</si>
  <si>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</si>
  <si>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</si>
  <si>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</si>
  <si>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</si>
  <si>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</si>
  <si>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</si>
  <si>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</si>
  <si>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</si>
  <si>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</si>
  <si>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</si>
  <si>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</si>
  <si>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</si>
  <si>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</si>
  <si>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</si>
  <si>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</si>
  <si>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</si>
  <si>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</si>
  <si>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</si>
  <si>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</si>
  <si>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</si>
  <si>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</si>
  <si>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</si>
  <si>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</si>
  <si>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</si>
  <si>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</si>
  <si>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</si>
  <si>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</si>
  <si>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</si>
  <si>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</si>
  <si>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</si>
  <si>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</si>
  <si>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</si>
  <si>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</si>
  <si>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</si>
  <si>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</si>
  <si>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</si>
  <si>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</si>
  <si>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</si>
  <si>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</si>
  <si>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</si>
  <si>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</si>
  <si>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</si>
  <si>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</si>
  <si>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</si>
  <si>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</si>
  <si>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</si>
  <si>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</si>
  <si>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</si>
  <si>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</si>
  <si>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</si>
  <si>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</si>
  <si>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</si>
  <si>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</si>
  <si>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</si>
  <si>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</si>
  <si>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</si>
  <si>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</si>
  <si>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</si>
  <si>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</si>
  <si>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</si>
  <si>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</si>
  <si>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</si>
  <si>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</si>
  <si>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</si>
  <si>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</si>
  <si>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</si>
  <si>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</si>
  <si>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</si>
  <si>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</si>
  <si>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</si>
  <si>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</si>
  <si>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</si>
  <si>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</si>
  <si>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</si>
  <si>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</si>
  <si>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</si>
  <si>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</si>
  <si>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</si>
  <si>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</si>
  <si>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</si>
  <si>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</si>
  <si>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</si>
  <si>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</si>
  <si>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</si>
  <si>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</si>
  <si>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</si>
  <si>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</si>
  <si>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</si>
  <si>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</si>
  <si>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</si>
  <si>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</si>
  <si>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</si>
  <si>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</si>
  <si>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</si>
  <si>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</si>
  <si>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</si>
  <si>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</si>
  <si>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</si>
  <si>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</si>
  <si>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</si>
  <si>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</si>
  <si>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</si>
  <si>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</si>
  <si>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</si>
  <si>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</si>
  <si>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</si>
  <si>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</si>
  <si>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</si>
  <si>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</si>
  <si>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</si>
  <si>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</si>
  <si>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</si>
  <si>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</si>
  <si>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</si>
  <si>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</si>
  <si>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</si>
  <si>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</si>
  <si>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</si>
  <si>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</si>
  <si>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</si>
  <si>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</si>
  <si>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</si>
  <si>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</si>
  <si>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</si>
  <si>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</si>
  <si>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</si>
  <si>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</si>
  <si>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</si>
  <si>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</si>
  <si>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</si>
  <si>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</si>
  <si>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</si>
  <si>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</si>
  <si>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</si>
  <si>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</si>
  <si>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</si>
  <si>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</si>
  <si>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</si>
  <si>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</si>
  <si>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</si>
  <si>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</si>
  <si>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</si>
  <si>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</si>
  <si>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</si>
  <si>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</si>
  <si>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</si>
  <si>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</si>
  <si>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</si>
  <si>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</si>
  <si>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</si>
  <si>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</si>
  <si>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</si>
  <si>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</si>
  <si>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</si>
  <si>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</si>
  <si>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</si>
  <si>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</si>
  <si>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</si>
  <si>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</si>
  <si>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</si>
  <si>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</si>
  <si>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</si>
  <si>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</si>
  <si>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</si>
  <si>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</si>
  <si>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</si>
  <si>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</si>
  <si>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</si>
  <si>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</si>
  <si>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</si>
  <si>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</si>
  <si>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</si>
  <si>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</si>
  <si>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</si>
  <si>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</si>
  <si>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</si>
  <si>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</si>
  <si>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</si>
  <si>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</si>
  <si>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</si>
  <si>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</si>
  <si>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</si>
  <si>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</si>
  <si>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</si>
  <si>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</si>
  <si>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</si>
  <si>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</si>
  <si>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</si>
  <si>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</si>
  <si>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</si>
  <si>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</si>
  <si>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</si>
  <si>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</si>
  <si>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</si>
  <si>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</si>
  <si>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</si>
  <si>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</si>
  <si>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</si>
  <si>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</si>
  <si>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</si>
  <si>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</si>
  <si>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</si>
  <si>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</si>
  <si>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</si>
  <si>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</si>
  <si>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</si>
  <si>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</si>
  <si>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</si>
  <si>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</si>
  <si>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</si>
  <si>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</si>
  <si>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</si>
  <si>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</si>
  <si>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</si>
  <si>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</si>
  <si>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</si>
  <si>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</si>
  <si>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</si>
  <si>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</si>
  <si>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</si>
  <si>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</si>
  <si>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</si>
  <si>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</si>
  <si>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</si>
  <si>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</si>
  <si>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</si>
  <si>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</si>
  <si>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</si>
  <si>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</si>
  <si>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</si>
  <si>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</si>
  <si>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</si>
  <si>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</si>
  <si>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</si>
  <si>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</si>
  <si>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</si>
  <si>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</si>
  <si>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</si>
  <si>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</si>
  <si>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</si>
  <si>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</si>
  <si>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</si>
  <si>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</si>
  <si>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</si>
  <si>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</si>
  <si>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</si>
  <si>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</si>
  <si>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</si>
  <si>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</si>
  <si>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</si>
  <si>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</si>
  <si>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</si>
  <si>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</si>
  <si>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</si>
  <si>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</si>
  <si>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</si>
  <si>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</si>
  <si>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</si>
  <si>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</si>
  <si>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</si>
  <si>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</si>
  <si>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</si>
  <si>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</si>
  <si>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</si>
  <si>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</si>
  <si>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</si>
  <si>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</si>
  <si>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</si>
  <si>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</si>
  <si>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</si>
  <si>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</si>
  <si>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</si>
  <si>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</si>
  <si>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</si>
  <si>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</si>
  <si>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</si>
  <si>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</si>
  <si>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</si>
  <si>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</si>
  <si>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</si>
  <si>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</si>
  <si>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</si>
  <si>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</si>
  <si>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</si>
  <si>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</si>
  <si>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</si>
  <si>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</si>
  <si>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</si>
  <si>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</si>
  <si>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</si>
  <si>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</si>
  <si>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</si>
  <si>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</si>
  <si>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</si>
  <si>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</si>
  <si>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</si>
  <si>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</si>
  <si>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</si>
  <si>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</si>
  <si>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</si>
  <si>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</si>
  <si>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</si>
  <si>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</si>
  <si>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</si>
  <si>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</si>
  <si>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</si>
  <si>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</si>
  <si>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</si>
  <si>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</si>
  <si>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</si>
  <si>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</si>
  <si>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</si>
  <si>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</si>
  <si>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</si>
  <si>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</si>
  <si>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</si>
  <si>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</si>
  <si>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</si>
  <si>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</si>
  <si>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</si>
  <si>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</si>
  <si>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</si>
  <si>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</si>
  <si>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</si>
  <si>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</si>
  <si>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</si>
  <si>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</si>
  <si>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</si>
  <si>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</si>
  <si>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</si>
  <si>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</si>
  <si>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</si>
  <si>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</si>
  <si>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</si>
  <si>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</si>
  <si>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</si>
  <si>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</si>
  <si>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</si>
  <si>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</si>
  <si>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</si>
  <si>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</si>
  <si>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</si>
  <si>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</si>
  <si>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</si>
  <si>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</si>
  <si>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</si>
  <si>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</si>
  <si>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</si>
  <si>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</si>
  <si>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</si>
  <si>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</si>
  <si>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</si>
  <si>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</si>
  <si>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</si>
  <si>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</si>
  <si>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</si>
  <si>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</si>
  <si>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</si>
  <si>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</si>
  <si>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</si>
  <si>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</si>
  <si>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</si>
  <si>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</si>
  <si>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</si>
  <si>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</si>
  <si>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</si>
  <si>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</si>
  <si>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</si>
  <si>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</si>
  <si>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</si>
  <si>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</si>
  <si>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</si>
  <si>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</si>
  <si>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</si>
  <si>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</si>
  <si>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</si>
  <si>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</si>
  <si>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</si>
  <si>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</si>
  <si>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</si>
  <si>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</si>
  <si>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</si>
  <si>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</si>
  <si>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</si>
  <si>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</si>
  <si>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</si>
  <si>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</si>
  <si>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</si>
  <si>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</si>
  <si>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</si>
  <si>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</si>
  <si>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</si>
  <si>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</si>
  <si>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</si>
  <si>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</si>
  <si>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</si>
  <si>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</si>
  <si>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</si>
  <si>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</si>
  <si>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</si>
  <si>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</si>
  <si>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</si>
  <si>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</si>
  <si>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</si>
  <si>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</si>
  <si>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</si>
  <si>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</si>
  <si>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</si>
  <si>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</si>
  <si>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</si>
  <si>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</si>
  <si>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</si>
  <si>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</si>
  <si>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</si>
  <si>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</si>
  <si>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</si>
  <si>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</si>
  <si>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</si>
  <si>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</si>
  <si>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</si>
  <si>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</si>
  <si>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</si>
  <si>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</si>
  <si>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</si>
  <si>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</si>
  <si>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</si>
  <si>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</si>
  <si>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</si>
  <si>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</si>
  <si>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</si>
  <si>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</si>
  <si>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</si>
  <si>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</si>
  <si>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</si>
  <si>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</si>
  <si>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</si>
  <si>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</si>
  <si>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</si>
  <si>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</si>
  <si>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</si>
  <si>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</si>
  <si>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</si>
  <si>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</si>
  <si>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</si>
  <si>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</si>
  <si>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</si>
  <si>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</si>
  <si>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</si>
  <si>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</si>
  <si>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</si>
  <si>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</si>
  <si>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</si>
  <si>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</si>
  <si>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</si>
  <si>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</si>
  <si>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</si>
  <si>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</si>
  <si>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</si>
  <si>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</si>
  <si>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</si>
  <si>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</si>
  <si>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</si>
  <si>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</si>
  <si>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</si>
  <si>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</si>
  <si>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</si>
  <si>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</si>
  <si>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</si>
  <si>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</si>
  <si>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</si>
  <si>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</si>
  <si>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</si>
  <si>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</si>
  <si>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</si>
  <si>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</si>
  <si>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</si>
  <si>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</si>
  <si>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</si>
  <si>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</si>
  <si>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</si>
  <si>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</si>
  <si>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</si>
  <si>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</si>
  <si>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</si>
  <si>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</si>
  <si>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</si>
  <si>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</si>
  <si>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</si>
  <si>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</si>
  <si>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</si>
  <si>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</si>
  <si>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</si>
  <si>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</si>
  <si>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</si>
  <si>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</si>
  <si>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</si>
  <si>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</si>
  <si>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</si>
  <si>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</si>
  <si>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</si>
  <si>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</si>
  <si>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</si>
  <si>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</si>
  <si>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</si>
  <si>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</si>
  <si>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</si>
  <si>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</si>
  <si>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</si>
  <si>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</si>
  <si>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</si>
  <si>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</si>
  <si>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</si>
  <si>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</si>
  <si>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</si>
  <si>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</si>
  <si>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</si>
  <si>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</si>
  <si>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</si>
  <si>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</si>
  <si>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</si>
  <si>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</si>
  <si>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</si>
  <si>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</si>
  <si>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</si>
  <si>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</si>
  <si>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</si>
  <si>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</si>
  <si>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</si>
  <si>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</si>
  <si>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</si>
  <si>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</si>
  <si>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</si>
  <si>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</si>
  <si>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</si>
  <si>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</si>
  <si>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</si>
  <si>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</si>
  <si>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</si>
  <si>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</si>
  <si>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</si>
  <si>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</si>
  <si>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</si>
  <si>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</si>
  <si>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</si>
  <si>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</si>
  <si>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</si>
  <si>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</si>
  <si>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</si>
  <si>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</si>
  <si>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</si>
  <si>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</si>
  <si>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</si>
  <si>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</si>
  <si>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</si>
  <si>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</si>
  <si>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</si>
  <si>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</si>
  <si>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</si>
  <si>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</si>
  <si>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</si>
  <si>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</si>
  <si>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</si>
  <si>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</si>
  <si>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</si>
  <si>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</si>
  <si>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</si>
  <si>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</si>
  <si>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</si>
  <si>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</si>
  <si>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</si>
  <si>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</si>
  <si>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</si>
  <si>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</si>
  <si>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</si>
  <si>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</si>
  <si>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</si>
  <si>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</si>
  <si>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</si>
  <si>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</si>
  <si>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</si>
  <si>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</si>
  <si>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</si>
  <si>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</si>
  <si>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</si>
  <si>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</si>
  <si>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</si>
  <si>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</si>
  <si>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</si>
  <si>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</si>
  <si>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</si>
  <si>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</si>
  <si>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</si>
  <si>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</si>
  <si>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</si>
  <si>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</si>
  <si>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</si>
  <si>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Bottle Green/Golden Yellow - 2 
Navy Blue/Bottle Green - 2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</si>
  <si>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</si>
  <si>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</si>
  <si>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</si>
  <si>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</si>
  <si>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</si>
  <si>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</si>
  <si>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</si>
  <si>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</si>
  <si>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</si>
  <si>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</si>
  <si>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</si>
  <si>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</si>
  <si>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</si>
  <si>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</si>
  <si>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</si>
  <si>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</si>
  <si>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</si>
  <si>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</si>
  <si>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</si>
  <si>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</si>
  <si>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</si>
  <si>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</si>
  <si>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</si>
  <si>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</si>
  <si>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</si>
  <si>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</si>
  <si>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</si>
  <si>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</si>
  <si>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</si>
  <si>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</si>
  <si>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</si>
  <si>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</si>
  <si>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</si>
  <si>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</t>
  </si>
  <si>
    <t>M, L, XL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</si>
  <si>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</si>
  <si>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</si>
  <si>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</si>
  <si>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</si>
  <si>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</si>
  <si>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</si>
  <si>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</si>
  <si>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</si>
  <si>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</si>
  <si>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</si>
  <si>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</si>
  <si>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</si>
  <si>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</si>
  <si>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</si>
  <si>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</si>
  <si>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</si>
  <si>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</si>
  <si>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</si>
  <si>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</si>
  <si>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</si>
  <si>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</si>
  <si>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</si>
  <si>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</si>
  <si>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</si>
  <si>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</si>
  <si>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</si>
  <si>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</si>
  <si>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</si>
  <si>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</si>
  <si>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</si>
  <si>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</si>
  <si>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</si>
  <si>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</si>
  <si>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</si>
  <si>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</si>
  <si>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</si>
  <si>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</si>
  <si>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</si>
  <si>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</si>
  <si>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</si>
  <si>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</si>
  <si>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</si>
  <si>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</si>
  <si>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</si>
  <si>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</si>
  <si>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</si>
  <si>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</si>
  <si>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</si>
  <si>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</si>
  <si>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</si>
  <si>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</si>
  <si>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</si>
  <si>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</si>
  <si>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CHR-176</t>
  </si>
  <si>
    <t>Tussar Silk Collection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</si>
  <si>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</si>
  <si>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</si>
  <si>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</si>
  <si>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</si>
  <si>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</si>
  <si>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</si>
  <si>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</si>
  <si>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</si>
  <si>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</si>
  <si>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</si>
  <si>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</si>
  <si>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</si>
  <si>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</si>
  <si>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</si>
  <si>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</si>
  <si>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</si>
  <si>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</si>
  <si>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</si>
  <si>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</si>
  <si>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</si>
  <si>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</si>
  <si>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</si>
  <si>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</si>
  <si>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</si>
  <si>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</si>
  <si>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</si>
  <si>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</si>
  <si>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</si>
  <si>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</si>
  <si>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</si>
  <si>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</si>
  <si>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</si>
  <si>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</si>
  <si>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</si>
  <si>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</si>
  <si>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</si>
  <si>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</si>
  <si>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</si>
  <si>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</si>
  <si>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</si>
  <si>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</si>
  <si>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</si>
  <si>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</si>
  <si>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</si>
  <si>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Banarasi Green Old design (1000 advance)</t>
  </si>
  <si>
    <t>Sungudi (Alice Christy inspired)</t>
  </si>
  <si>
    <t>Salwar maroon single piece M (CHR-78) - 500 advance, 300 pending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</si>
  <si>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</si>
  <si>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</si>
  <si>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</si>
  <si>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</si>
  <si>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</si>
  <si>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Saritha</t>
  </si>
  <si>
    <t>Tussar Silk Saree (CHR-177)</t>
  </si>
  <si>
    <t>Lipcy - Green, Siji -Dusty Rose</t>
  </si>
  <si>
    <t>Smitha - Rust orange &amp; Onion Peel, Lipcy - Blue, Grey &amp; Wine - Returned</t>
  </si>
  <si>
    <t>Chanderi Silk Saree (Rani Pink- CHR-119)</t>
  </si>
  <si>
    <t>Rose</t>
  </si>
  <si>
    <t>Chanderi Silk Saree (Black - CHR-119)</t>
  </si>
  <si>
    <t>Lipcy - Red/Green, Revathi - Parrot Green/Red, Anju Sanjeev - royal blue/rani pink</t>
  </si>
  <si>
    <t>Soft Silk Black - Chithra, Violet - Susmi, Maroon - Returned, Anju Sanjeev - Navy Blue</t>
  </si>
  <si>
    <t>Jaimy</t>
  </si>
  <si>
    <t>Sherin - Maroon/navy blue(1099), Lakshmi - Navy Blue &amp; Maroon, Jaimy - Peacok Blue/Maroon</t>
  </si>
  <si>
    <t>Chithra- peacok blue, Indu Varier - Green, Susmi - Maroon, Jaimy - Purple/Bottle Green</t>
  </si>
  <si>
    <t>Grey-Black/Red</t>
  </si>
  <si>
    <t>Matka (peacock blue/maroon CHR-174), Narayanpett purple/bottle green (CHR-163)</t>
  </si>
  <si>
    <t>Peacok Blue/Maroon - 2
Purple/Green - 1
Navy Blue/Maroon - 2
Lavender/Violet - 1
Grey/Blue - 1</t>
  </si>
  <si>
    <t>Matka (royal blue/rani pink-CHR-179), Soft Silk Saree (Navy Blue-CHR-175)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</si>
  <si>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</si>
  <si>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</si>
  <si>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</si>
  <si>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</si>
  <si>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</si>
  <si>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</si>
  <si>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</si>
  <si>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</si>
  <si>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</si>
  <si>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Unknown</t>
  </si>
  <si>
    <t>Matka Green/Yellow &amp; Bengal Cotton (Adv:1100)</t>
  </si>
  <si>
    <t>Simi Sudhir</t>
  </si>
  <si>
    <t>Chanderi Silk Saree (Navy Blue- CHR-119) &amp; Kerala Saree Temple Design</t>
  </si>
  <si>
    <t>Revathi, Simi Sudhir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</si>
  <si>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Unknown - Navy blue, Simi Sudhir - Navy Blue</t>
  </si>
  <si>
    <t xml:space="preserve">
Blue (2), mustard yellow (1), Green (2), Maroon (1), off white (1), Orange (1), Black(5), White(5)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</si>
</sst>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204</c:v>
                </c:pt>
                <c:pt idx="1">
                  <c:v>86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68</c:v>
                </c:pt>
                <c:pt idx="1">
                  <c:v>59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61609</c:v>
                </c:pt>
                <c:pt idx="1">
                  <c:v>45010.17</c:v>
                </c:pt>
                <c:pt idx="2">
                  <c:v>1357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55936</c:v>
                </c:pt>
                <c:pt idx="4">
                  <c:v>53524</c:v>
                </c:pt>
                <c:pt idx="5">
                  <c:v>7046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-15066</c:v>
                </c:pt>
                <c:pt idx="4">
                  <c:v>49075</c:v>
                </c:pt>
                <c:pt idx="5">
                  <c:v>7046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293</c:v>
                </c:pt>
                <c:pt idx="1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G20" sqref="G20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354742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341464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363318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-13278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18214.326666666671</v>
      </c>
      <c r="C10" s="9"/>
    </row>
    <row r="11" spans="1:6" ht="13.5" customHeight="1">
      <c r="A11" s="11" t="s">
        <v>50</v>
      </c>
      <c r="B11" s="14">
        <f>PartnerShares!H9</f>
        <v>7490.3366666666698</v>
      </c>
      <c r="C11" s="11"/>
    </row>
    <row r="12" spans="1:6" ht="13.5" customHeight="1">
      <c r="A12" s="9" t="s">
        <v>51</v>
      </c>
      <c r="B12" s="13">
        <f>PartnerShares!H10</f>
        <v>-25704.66333333333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154765</v>
      </c>
      <c r="C18" s="10">
        <f>PartnerShares!C8</f>
        <v>118247.33333333333</v>
      </c>
      <c r="D18" s="10">
        <f>PartnerShares!D8</f>
        <v>36517.666666666672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18214.326666666671</v>
      </c>
      <c r="G18" s="16" t="str">
        <f>IF(ROUND(F18,0)&gt;0,"Receive ₹"&amp;TEXT(ABS(F18),"#,##0"),IF(ROUND(F18,0)&lt;0,"Pay ₹"&amp;TEXT(ABS(F18),"#,##0"),"✓ Settled"))</f>
        <v>Receive ₹18,214</v>
      </c>
    </row>
    <row r="19" spans="1:7" ht="13.5" customHeight="1">
      <c r="A19" s="11" t="str">
        <f>PartnerShares!A9</f>
        <v>Anoop</v>
      </c>
      <c r="B19" s="12">
        <f>PartnerShares!B9</f>
        <v>167377</v>
      </c>
      <c r="C19" s="12">
        <f>PartnerShares!C9</f>
        <v>118247.33333333333</v>
      </c>
      <c r="D19" s="12">
        <f>PartnerShares!D9</f>
        <v>49129.666666666672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7490.3366666666698</v>
      </c>
      <c r="G19" s="17" t="str">
        <f>IF(ROUND(F19,0)&gt;0,"Receive ₹"&amp;TEXT(ABS(F19),"#,##0"),IF(ROUND(F19,0)&lt;0,"Pay ₹"&amp;TEXT(ABS(F19),"#,##0"),"✓ Settled"))</f>
        <v>Receive ₹7,490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118247.33333333333</v>
      </c>
      <c r="D20" s="10">
        <f>PartnerShares!D10</f>
        <v>-85647.333333333328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-25704.66333333333</v>
      </c>
      <c r="G20" s="17" t="str">
        <f>IF(ROUND(F20,0)&gt;0,"Receive ₹"&amp;TEXT(ABS(F20),"#,##0"),IF(ROUND(F20,0)&lt;0,"Pay ₹"&amp;TEXT(ABS(F20),"#,##0"),"✓ Settled"))</f>
        <v>Pay ₹25,705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283365</v>
      </c>
      <c r="C26" s="10">
        <f>'Cash Pool'!D4</f>
        <v>113844.09759999999</v>
      </c>
      <c r="D26" s="10">
        <f>'Cash Pool'!E4</f>
        <v>169520.90240000002</v>
      </c>
      <c r="E26" s="10">
        <f>'Cash Pool'!F4</f>
        <v>-137310.02600000001</v>
      </c>
      <c r="F26" s="13">
        <f>'Cash Pool'!G4</f>
        <v>32210.876400000008</v>
      </c>
      <c r="G26" s="17" t="str">
        <f>IF(ROUND(F26,0)&gt;0,"Pay ₹"&amp;TEXT(ABS(F26),"#,##0"),IF(ROUND(F26,0)&lt;0,"Receive ₹"&amp;TEXT(ABS(F26),"#,##0"),"✓ Settled"))</f>
        <v>Pay ₹32,211</v>
      </c>
    </row>
    <row r="27" spans="1:7" ht="13.5" customHeight="1">
      <c r="A27" s="11" t="str">
        <f>'Cash Pool'!A5</f>
        <v>Anoop</v>
      </c>
      <c r="B27" s="12">
        <f>'Cash Pool'!B5</f>
        <v>45569</v>
      </c>
      <c r="C27" s="12">
        <f>'Cash Pool'!D5</f>
        <v>113775.8048</v>
      </c>
      <c r="D27" s="12">
        <f>'Cash Pool'!E5</f>
        <v>-68206.804799999998</v>
      </c>
      <c r="E27" s="12">
        <f>'Cash Pool'!F5</f>
        <v>71587.042000000001</v>
      </c>
      <c r="F27" s="14">
        <f>'Cash Pool'!G5</f>
        <v>3380.2372000000032</v>
      </c>
      <c r="G27" s="18" t="str">
        <f>IF(ROUND(F27,0)&gt;0,"Pay ₹"&amp;TEXT(ABS(F27),"#,##0"),IF(ROUND(F27,0)&lt;0,"Receive ₹"&amp;TEXT(ABS(F27),"#,##0"),"✓ Settled"))</f>
        <v>Pay ₹3,380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113844.09759999999</v>
      </c>
      <c r="D28" s="10">
        <f>'Cash Pool'!E6</f>
        <v>-101314.09759999999</v>
      </c>
      <c r="E28" s="10">
        <f>'Cash Pool'!F6</f>
        <v>65722.984000000011</v>
      </c>
      <c r="F28" s="13">
        <f>'Cash Pool'!G6</f>
        <v>-35591.113599999982</v>
      </c>
      <c r="G28" s="16" t="str">
        <f>IF(ROUND(F28,0)&gt;0,"Pay ₹"&amp;TEXT(ABS(F28),"#,##0"),IF(ROUND(F28,0)&lt;0,"Receive ₹"&amp;TEXT(ABS(F28),"#,##0"),"✓ Settled"))</f>
        <v>Receive ₹35,591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46176</v>
      </c>
    </row>
    <row r="5" spans="1:8" ht="15" customHeight="1">
      <c r="A5" s="19" t="s">
        <v>41</v>
      </c>
      <c r="B5" s="21">
        <f>Summary!B3</f>
        <v>354742</v>
      </c>
      <c r="D5" s="19" t="s">
        <v>69</v>
      </c>
      <c r="E5" s="21">
        <f>Summary!B4</f>
        <v>341464</v>
      </c>
    </row>
    <row r="6" spans="1:8" ht="15" customHeight="1">
      <c r="A6" s="19" t="s">
        <v>70</v>
      </c>
      <c r="B6" s="21">
        <f>Summary!B6</f>
        <v>-13278</v>
      </c>
      <c r="D6" s="19" t="s">
        <v>71</v>
      </c>
      <c r="E6" s="21">
        <f>SUMIFS(INVENTORY!K:K, INVENTORY!N:N, "&lt;&gt;Sold Out")</f>
        <v>98672.37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293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131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55936</v>
      </c>
      <c r="D13" s="27">
        <f t="shared" si="0"/>
        <v>-15066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53524</v>
      </c>
      <c r="D14" s="21">
        <f t="shared" si="0"/>
        <v>49075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7046</v>
      </c>
      <c r="D15" s="27">
        <f t="shared" si="0"/>
        <v>7046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204</v>
      </c>
      <c r="H47" s="30">
        <f>SUMIF(INVENTORY!C:C, F47, INVENTORY!G:G)</f>
        <v>68</v>
      </c>
      <c r="J47" s="30" t="s">
        <v>96</v>
      </c>
      <c r="K47" s="31">
        <f t="array" ref="K47">SUMPRODUCT((INVENTORY!$C$2:$C$477=J47)*(INVENTORY!$D$2:$D$477)*(INVENTORY!$G$2:$G$477))</f>
        <v>61609</v>
      </c>
    </row>
    <row r="48" spans="6:11" ht="15" customHeight="1">
      <c r="F48" s="29" t="s">
        <v>96</v>
      </c>
      <c r="G48" s="30">
        <f>SUMIF(INVENTORY!C:C, F48, INVENTORY!F:F)</f>
        <v>86</v>
      </c>
      <c r="H48" s="30">
        <f>SUMIF(INVENTORY!C:C, F48, INVENTORY!G:G)</f>
        <v>59</v>
      </c>
      <c r="J48" s="30" t="s">
        <v>95</v>
      </c>
      <c r="K48" s="31">
        <f t="array" ref="K48">SUMPRODUCT((INVENTORY!$C$2:$C$477=J48)*(INVENTORY!$D$2:$D$477)*(INVENTORY!$G$2:$G$477))</f>
        <v>45010.17</v>
      </c>
    </row>
    <row r="49" spans="5:12" ht="15" customHeight="1">
      <c r="F49" s="29" t="s">
        <v>97</v>
      </c>
      <c r="G49" s="30">
        <f>SUMIF(INVENTORY!C:C, F49, INVENTORY!F:F)</f>
        <v>3</v>
      </c>
      <c r="H49" s="30">
        <f>SUMIF(INVENTORY!C:C, F49, INVENTORY!G:G)</f>
        <v>4</v>
      </c>
      <c r="J49" s="30" t="s">
        <v>97</v>
      </c>
      <c r="K49" s="31">
        <f t="array" ref="K49">SUMPRODUCT((INVENTORY!$C$2:$C$477=J49)*(INVENTORY!$D$2:$D$477)*(INVENTORY!$G$2:$G$477))</f>
        <v>1357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55" activePane="bottomLeft" state="frozen"/>
      <selection pane="bottomLeft" activeCell="E73" sqref="E73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193" activePane="bottomLeft" state="frozen"/>
      <selection pane="bottomLeft" activeCell="J210" sqref="J210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38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917</v>
      </c>
      <c r="I149" s="49" t="s">
        <v>142</v>
      </c>
    </row>
    <row r="150" spans="1:9" ht="15.75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customHeight="1">
      <c r="A160" s="52">
        <v>46131</v>
      </c>
      <c r="B160" s="53" t="s">
        <v>352</v>
      </c>
      <c r="C160" s="54">
        <v>1380</v>
      </c>
      <c r="D160" s="53" t="s">
        <v>156</v>
      </c>
      <c r="E160" s="53" t="s">
        <v>49</v>
      </c>
      <c r="F160" s="56"/>
      <c r="G160" s="56"/>
      <c r="H160" s="57" t="s">
        <v>916</v>
      </c>
      <c r="I160" s="53" t="s">
        <v>341</v>
      </c>
    </row>
    <row r="161" spans="1:9" ht="13.5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customHeight="1">
      <c r="A164" s="52">
        <v>46133</v>
      </c>
      <c r="B164" s="53" t="s">
        <v>209</v>
      </c>
      <c r="C164" s="54">
        <v>1380</v>
      </c>
      <c r="D164" s="53"/>
      <c r="E164" s="53" t="s">
        <v>49</v>
      </c>
      <c r="F164" s="56"/>
      <c r="G164" s="56"/>
      <c r="H164" s="57" t="s">
        <v>358</v>
      </c>
      <c r="I164" s="53" t="s">
        <v>341</v>
      </c>
    </row>
    <row r="165" spans="1:9" ht="13.5" customHeight="1">
      <c r="A165" s="48">
        <v>46133</v>
      </c>
      <c r="B165" s="49" t="s">
        <v>158</v>
      </c>
      <c r="C165" s="50">
        <v>1380</v>
      </c>
      <c r="D165" s="49"/>
      <c r="E165" s="49" t="s">
        <v>49</v>
      </c>
      <c r="F165" s="49"/>
      <c r="G165" s="49"/>
      <c r="H165" s="51" t="s">
        <v>359</v>
      </c>
      <c r="I165" s="49" t="s">
        <v>341</v>
      </c>
    </row>
    <row r="166" spans="1:9" ht="13.5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customHeight="1">
      <c r="A167" s="48">
        <v>46134</v>
      </c>
      <c r="B167" s="49" t="s">
        <v>185</v>
      </c>
      <c r="C167" s="50">
        <v>1250</v>
      </c>
      <c r="D167" s="49"/>
      <c r="E167" s="49" t="s">
        <v>49</v>
      </c>
      <c r="F167" s="49"/>
      <c r="G167" s="49"/>
      <c r="H167" s="51" t="s">
        <v>362</v>
      </c>
      <c r="I167" s="49" t="s">
        <v>341</v>
      </c>
    </row>
    <row r="168" spans="1:9" ht="13.5" customHeight="1">
      <c r="A168" s="48">
        <v>46134</v>
      </c>
      <c r="B168" s="49" t="s">
        <v>349</v>
      </c>
      <c r="C168" s="50">
        <v>950</v>
      </c>
      <c r="D168" s="49"/>
      <c r="E168" s="49" t="s">
        <v>49</v>
      </c>
      <c r="F168" s="49"/>
      <c r="G168" s="49"/>
      <c r="H168" s="51" t="s">
        <v>918</v>
      </c>
      <c r="I168" s="49" t="s">
        <v>341</v>
      </c>
    </row>
    <row r="169" spans="1:9" ht="13.5" customHeight="1">
      <c r="A169" s="52">
        <v>46134</v>
      </c>
      <c r="B169" s="53" t="s">
        <v>171</v>
      </c>
      <c r="C169" s="54">
        <v>650</v>
      </c>
      <c r="D169" s="53"/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customHeight="1">
      <c r="A171" s="52">
        <v>46136</v>
      </c>
      <c r="B171" s="53" t="s">
        <v>208</v>
      </c>
      <c r="C171" s="54">
        <v>650</v>
      </c>
      <c r="D171" s="53"/>
      <c r="E171" s="53" t="s">
        <v>49</v>
      </c>
      <c r="F171" s="56"/>
      <c r="G171" s="56"/>
      <c r="H171" s="57" t="s">
        <v>363</v>
      </c>
      <c r="I171" s="53" t="s">
        <v>341</v>
      </c>
    </row>
    <row r="172" spans="1:9" ht="13.5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customHeight="1">
      <c r="A180" s="48">
        <v>46140</v>
      </c>
      <c r="B180" s="49" t="s">
        <v>380</v>
      </c>
      <c r="C180" s="50">
        <v>1899</v>
      </c>
      <c r="D180" s="49" t="s">
        <v>156</v>
      </c>
      <c r="E180" s="49" t="s">
        <v>49</v>
      </c>
      <c r="F180" s="49"/>
      <c r="G180" s="49"/>
      <c r="H180" s="51" t="s">
        <v>950</v>
      </c>
      <c r="I180" s="49" t="s">
        <v>341</v>
      </c>
    </row>
    <row r="181" spans="1:9" ht="13.5" customHeight="1">
      <c r="A181" s="52">
        <v>46141</v>
      </c>
      <c r="B181" s="53" t="s">
        <v>381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382</v>
      </c>
      <c r="I181" s="53" t="s">
        <v>142</v>
      </c>
    </row>
    <row r="182" spans="1:9" ht="13.5" customHeight="1">
      <c r="A182" s="48">
        <v>46141</v>
      </c>
      <c r="B182" s="49" t="s">
        <v>383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customHeight="1">
      <c r="A183" s="52">
        <v>46142</v>
      </c>
      <c r="B183" s="53" t="s">
        <v>384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385</v>
      </c>
      <c r="I183" s="53" t="s">
        <v>142</v>
      </c>
    </row>
    <row r="184" spans="1:9" ht="13.5" customHeight="1">
      <c r="A184" s="48">
        <v>46142</v>
      </c>
      <c r="B184" s="49" t="s">
        <v>386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customHeight="1">
      <c r="A185" s="52">
        <v>46142</v>
      </c>
      <c r="B185" s="53" t="s">
        <v>387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388</v>
      </c>
      <c r="I185" s="53" t="s">
        <v>142</v>
      </c>
    </row>
    <row r="186" spans="1:9" ht="13.5" customHeight="1">
      <c r="A186" s="52">
        <v>46144</v>
      </c>
      <c r="B186" s="53" t="s">
        <v>389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390</v>
      </c>
      <c r="I186" s="53" t="s">
        <v>142</v>
      </c>
    </row>
    <row r="187" spans="1:9" ht="13.5" customHeight="1">
      <c r="A187" s="48">
        <v>46144</v>
      </c>
      <c r="B187" s="49" t="s">
        <v>391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392</v>
      </c>
      <c r="I187" s="49" t="s">
        <v>142</v>
      </c>
    </row>
    <row r="188" spans="1:9" ht="13.5" customHeight="1">
      <c r="A188" s="52">
        <v>46145</v>
      </c>
      <c r="B188" s="53" t="s">
        <v>393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394</v>
      </c>
      <c r="I188" s="53" t="s">
        <v>142</v>
      </c>
    </row>
    <row r="189" spans="1:9" ht="13.5" customHeight="1">
      <c r="A189" s="48">
        <v>46145</v>
      </c>
      <c r="B189" s="49" t="s">
        <v>395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396</v>
      </c>
      <c r="I189" s="49" t="s">
        <v>142</v>
      </c>
    </row>
    <row r="190" spans="1:9" ht="13.5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397</v>
      </c>
      <c r="I190" s="53" t="s">
        <v>142</v>
      </c>
    </row>
    <row r="191" spans="1:9" ht="42" customHeight="1">
      <c r="A191" s="48">
        <v>46151</v>
      </c>
      <c r="B191" s="49" t="s">
        <v>398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399</v>
      </c>
      <c r="I191" s="49" t="s">
        <v>142</v>
      </c>
    </row>
    <row r="192" spans="1:9" ht="27.75" customHeight="1">
      <c r="A192" s="52">
        <v>46152</v>
      </c>
      <c r="B192" s="53" t="s">
        <v>400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401</v>
      </c>
      <c r="I192" s="53" t="s">
        <v>142</v>
      </c>
    </row>
    <row r="193" spans="1:9" ht="42" customHeight="1">
      <c r="A193" s="48">
        <v>46152</v>
      </c>
      <c r="B193" s="49" t="s">
        <v>402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403</v>
      </c>
      <c r="I193" s="49" t="s">
        <v>142</v>
      </c>
    </row>
    <row r="194" spans="1:9" ht="27.75" customHeight="1">
      <c r="A194" s="52">
        <v>46151</v>
      </c>
      <c r="B194" s="53" t="s">
        <v>404</v>
      </c>
      <c r="C194" s="54">
        <v>3000</v>
      </c>
      <c r="D194" s="53"/>
      <c r="E194" s="53"/>
      <c r="F194" s="56"/>
      <c r="G194" s="56"/>
      <c r="H194" s="57" t="s">
        <v>405</v>
      </c>
      <c r="I194" s="53" t="s">
        <v>341</v>
      </c>
    </row>
    <row r="195" spans="1:9" ht="42" customHeight="1">
      <c r="A195" s="48">
        <v>46155</v>
      </c>
      <c r="B195" s="49" t="s">
        <v>406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407</v>
      </c>
      <c r="I195" s="49" t="s">
        <v>142</v>
      </c>
    </row>
    <row r="196" spans="1:9" ht="42" customHeight="1">
      <c r="A196" s="52">
        <v>46155</v>
      </c>
      <c r="B196" s="53" t="s">
        <v>408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409</v>
      </c>
      <c r="I196" s="53" t="s">
        <v>142</v>
      </c>
    </row>
    <row r="197" spans="1:9" ht="42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410</v>
      </c>
      <c r="I197" s="49" t="s">
        <v>142</v>
      </c>
    </row>
    <row r="198" spans="1:9" ht="42">
      <c r="A198" s="52">
        <v>46168</v>
      </c>
      <c r="B198" s="53" t="s">
        <v>919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921</v>
      </c>
      <c r="I198" s="53" t="s">
        <v>142</v>
      </c>
    </row>
    <row r="199" spans="1:9" ht="14">
      <c r="A199" s="48">
        <v>46172</v>
      </c>
      <c r="B199" s="49" t="s">
        <v>922</v>
      </c>
      <c r="C199" s="50">
        <v>1425</v>
      </c>
      <c r="D199" s="49" t="s">
        <v>144</v>
      </c>
      <c r="E199" s="49" t="s">
        <v>50</v>
      </c>
      <c r="F199" s="49"/>
      <c r="G199" s="49"/>
      <c r="H199" s="51" t="s">
        <v>925</v>
      </c>
      <c r="I199" s="49" t="s">
        <v>341</v>
      </c>
    </row>
    <row r="200" spans="1:9" ht="28">
      <c r="A200" s="52">
        <v>46173</v>
      </c>
      <c r="B200" s="53" t="s">
        <v>923</v>
      </c>
      <c r="C200" s="54">
        <v>2850</v>
      </c>
      <c r="D200" s="53" t="s">
        <v>144</v>
      </c>
      <c r="E200" s="53" t="s">
        <v>50</v>
      </c>
      <c r="F200" s="56"/>
      <c r="G200" s="56"/>
      <c r="H200" s="57" t="s">
        <v>939</v>
      </c>
      <c r="I200" s="53" t="s">
        <v>341</v>
      </c>
    </row>
    <row r="201" spans="1:9" ht="28">
      <c r="A201" s="48">
        <v>46173</v>
      </c>
      <c r="B201" s="49" t="s">
        <v>933</v>
      </c>
      <c r="C201" s="50">
        <v>2850</v>
      </c>
      <c r="D201" s="49" t="s">
        <v>144</v>
      </c>
      <c r="E201" s="49" t="s">
        <v>50</v>
      </c>
      <c r="F201" s="49"/>
      <c r="G201" s="49"/>
      <c r="H201" s="51" t="s">
        <v>937</v>
      </c>
      <c r="I201" s="49" t="s">
        <v>341</v>
      </c>
    </row>
    <row r="202" spans="1:9" ht="14">
      <c r="A202" s="52">
        <v>46173</v>
      </c>
      <c r="B202" s="53" t="s">
        <v>924</v>
      </c>
      <c r="C202" s="54">
        <v>930</v>
      </c>
      <c r="D202" s="53" t="s">
        <v>144</v>
      </c>
      <c r="E202" s="53" t="s">
        <v>50</v>
      </c>
      <c r="F202" s="56"/>
      <c r="G202" s="56"/>
      <c r="H202" s="57" t="s">
        <v>928</v>
      </c>
      <c r="I202" s="53" t="s">
        <v>341</v>
      </c>
    </row>
    <row r="203" spans="1:9" ht="14">
      <c r="A203" s="48">
        <v>46173</v>
      </c>
      <c r="B203" s="49" t="s">
        <v>929</v>
      </c>
      <c r="C203" s="50">
        <v>930</v>
      </c>
      <c r="D203" s="49" t="s">
        <v>144</v>
      </c>
      <c r="E203" s="49" t="s">
        <v>50</v>
      </c>
      <c r="F203" s="49"/>
      <c r="G203" s="49"/>
      <c r="H203" s="51" t="s">
        <v>930</v>
      </c>
      <c r="I203" s="49" t="s">
        <v>341</v>
      </c>
    </row>
    <row r="204" spans="1:9" ht="14">
      <c r="A204" s="52">
        <v>46175</v>
      </c>
      <c r="B204" s="53" t="s">
        <v>940</v>
      </c>
      <c r="C204" s="54">
        <v>699</v>
      </c>
      <c r="D204" s="53" t="s">
        <v>156</v>
      </c>
      <c r="E204" s="53" t="s">
        <v>49</v>
      </c>
      <c r="F204" s="56"/>
      <c r="G204" s="56"/>
      <c r="H204" s="57" t="s">
        <v>930</v>
      </c>
      <c r="I204" s="53" t="s">
        <v>142</v>
      </c>
    </row>
    <row r="205" spans="1:9" ht="14">
      <c r="A205" s="48">
        <v>46175</v>
      </c>
      <c r="B205" s="49" t="s">
        <v>941</v>
      </c>
      <c r="C205" s="50">
        <v>700</v>
      </c>
      <c r="D205" s="49" t="s">
        <v>156</v>
      </c>
      <c r="E205" s="49" t="s">
        <v>49</v>
      </c>
      <c r="F205" s="49"/>
      <c r="G205" s="49"/>
      <c r="H205" s="51" t="s">
        <v>942</v>
      </c>
      <c r="I205" s="49" t="s">
        <v>142</v>
      </c>
    </row>
    <row r="206" spans="1:9" ht="14">
      <c r="A206" s="52">
        <v>46175</v>
      </c>
      <c r="B206" s="53" t="s">
        <v>943</v>
      </c>
      <c r="C206" s="54">
        <v>1350</v>
      </c>
      <c r="D206" s="53" t="s">
        <v>156</v>
      </c>
      <c r="E206" s="53" t="s">
        <v>49</v>
      </c>
      <c r="F206" s="56"/>
      <c r="G206" s="56"/>
      <c r="H206" s="51" t="s">
        <v>944</v>
      </c>
      <c r="I206" s="53" t="s">
        <v>142</v>
      </c>
    </row>
    <row r="207" spans="1:9" ht="14">
      <c r="A207" s="48">
        <v>46175</v>
      </c>
      <c r="B207" s="49" t="s">
        <v>945</v>
      </c>
      <c r="C207" s="50">
        <v>699</v>
      </c>
      <c r="D207" s="49" t="s">
        <v>156</v>
      </c>
      <c r="E207" s="49" t="s">
        <v>49</v>
      </c>
      <c r="F207" s="49"/>
      <c r="G207" s="49"/>
      <c r="H207" s="51" t="s">
        <v>946</v>
      </c>
      <c r="I207" s="49" t="s">
        <v>142</v>
      </c>
    </row>
    <row r="208" spans="1:9" ht="14">
      <c r="A208" s="52">
        <v>46175</v>
      </c>
      <c r="B208" s="53" t="s">
        <v>947</v>
      </c>
      <c r="C208" s="54">
        <v>699</v>
      </c>
      <c r="D208" s="53" t="s">
        <v>156</v>
      </c>
      <c r="E208" s="53" t="s">
        <v>49</v>
      </c>
      <c r="F208" s="56"/>
      <c r="G208" s="56"/>
      <c r="H208" s="57" t="s">
        <v>948</v>
      </c>
      <c r="I208" s="53" t="s">
        <v>142</v>
      </c>
    </row>
    <row r="209" spans="1:9" ht="14">
      <c r="A209" s="48">
        <v>46176</v>
      </c>
      <c r="B209" s="49" t="s">
        <v>949</v>
      </c>
      <c r="C209" s="50">
        <v>699</v>
      </c>
      <c r="D209" s="49" t="s">
        <v>156</v>
      </c>
      <c r="E209" s="49" t="s">
        <v>49</v>
      </c>
      <c r="F209" s="49"/>
      <c r="G209" s="49"/>
      <c r="H209" s="51" t="s">
        <v>946</v>
      </c>
      <c r="I209" s="49" t="s">
        <v>142</v>
      </c>
    </row>
    <row r="210" spans="1:9" ht="28">
      <c r="A210" s="52">
        <v>46176</v>
      </c>
      <c r="B210" s="53" t="s">
        <v>951</v>
      </c>
      <c r="C210" s="54">
        <v>2200</v>
      </c>
      <c r="D210" s="53" t="s">
        <v>156</v>
      </c>
      <c r="E210" s="53" t="s">
        <v>49</v>
      </c>
      <c r="F210" s="56"/>
      <c r="G210" s="56"/>
      <c r="H210" s="57" t="s">
        <v>952</v>
      </c>
      <c r="I210" s="53" t="s">
        <v>142</v>
      </c>
    </row>
    <row r="211" spans="1:9">
      <c r="A211" s="48"/>
      <c r="B211" s="49"/>
      <c r="C211" s="50"/>
      <c r="D211" s="49"/>
      <c r="E211" s="49"/>
      <c r="F211" s="49"/>
      <c r="G211" s="49"/>
      <c r="H211" s="51"/>
      <c r="I211" s="49"/>
    </row>
    <row r="212" spans="1:9">
      <c r="A212" s="52"/>
      <c r="B212" s="53"/>
      <c r="C212" s="54"/>
      <c r="D212" s="53"/>
      <c r="E212" s="53"/>
      <c r="F212" s="56"/>
      <c r="G212" s="56"/>
      <c r="H212" s="57"/>
      <c r="I212" s="53"/>
    </row>
    <row r="213" spans="1:9">
      <c r="A213" s="48"/>
      <c r="B213" s="49"/>
      <c r="C213" s="50"/>
      <c r="D213" s="49"/>
      <c r="E213" s="49"/>
      <c r="F213" s="49"/>
      <c r="G213" s="49"/>
      <c r="H213" s="51"/>
      <c r="I213" s="49"/>
    </row>
    <row r="214" spans="1:9">
      <c r="A214" s="52"/>
      <c r="B214" s="53"/>
      <c r="C214" s="54"/>
      <c r="D214" s="53"/>
      <c r="E214" s="53"/>
      <c r="F214" s="56"/>
      <c r="G214" s="56"/>
      <c r="H214" s="57"/>
      <c r="I214" s="53"/>
    </row>
    <row r="215" spans="1:9">
      <c r="A215" s="48"/>
      <c r="B215" s="49"/>
      <c r="C215" s="50"/>
      <c r="D215" s="49"/>
      <c r="E215" s="49"/>
      <c r="F215" s="49"/>
      <c r="G215" s="49"/>
      <c r="H215" s="51"/>
      <c r="I215" s="49"/>
    </row>
    <row r="216" spans="1:9">
      <c r="A216" s="52"/>
      <c r="B216" s="53"/>
      <c r="C216" s="54"/>
      <c r="D216" s="53"/>
      <c r="E216" s="53"/>
      <c r="F216" s="56"/>
      <c r="G216" s="56"/>
      <c r="H216" s="57"/>
      <c r="I216" s="53"/>
    </row>
    <row r="217" spans="1:9">
      <c r="A217" s="48"/>
      <c r="B217" s="49"/>
      <c r="C217" s="50"/>
      <c r="D217" s="49"/>
      <c r="E217" s="49"/>
      <c r="F217" s="49"/>
      <c r="G217" s="49"/>
      <c r="H217" s="51"/>
      <c r="I217" s="49"/>
    </row>
    <row r="218" spans="1:9">
      <c r="A218" s="52"/>
      <c r="B218" s="53"/>
      <c r="C218" s="54"/>
      <c r="D218" s="53"/>
      <c r="E218" s="53"/>
      <c r="F218" s="56"/>
      <c r="G218" s="56"/>
      <c r="H218" s="57"/>
      <c r="I218" s="53"/>
    </row>
    <row r="219" spans="1:9">
      <c r="A219" s="48"/>
      <c r="B219" s="49"/>
      <c r="C219" s="50"/>
      <c r="D219" s="49"/>
      <c r="E219" s="49"/>
      <c r="F219" s="49"/>
      <c r="G219" s="49"/>
      <c r="H219" s="51"/>
      <c r="I219" s="49"/>
    </row>
    <row r="220" spans="1:9">
      <c r="A220" s="52"/>
      <c r="B220" s="53"/>
      <c r="C220" s="54"/>
      <c r="D220" s="53"/>
      <c r="E220" s="53"/>
      <c r="F220" s="56"/>
      <c r="G220" s="56"/>
      <c r="H220" s="57"/>
      <c r="I220" s="53"/>
    </row>
    <row r="221" spans="1:9">
      <c r="A221" s="48"/>
      <c r="B221" s="49"/>
      <c r="C221" s="50"/>
      <c r="D221" s="49"/>
      <c r="E221" s="49"/>
      <c r="F221" s="49"/>
      <c r="G221" s="49"/>
      <c r="H221" s="51"/>
      <c r="I221" s="49"/>
    </row>
    <row r="222" spans="1:9">
      <c r="A222" s="52"/>
      <c r="B222" s="53"/>
      <c r="C222" s="54"/>
      <c r="D222" s="53"/>
      <c r="E222" s="53"/>
      <c r="F222" s="56"/>
      <c r="G222" s="56"/>
      <c r="H222" s="57"/>
      <c r="I222" s="53"/>
    </row>
    <row r="223" spans="1:9">
      <c r="A223" s="48"/>
      <c r="B223" s="49"/>
      <c r="C223" s="50"/>
      <c r="D223" s="49"/>
      <c r="E223" s="49"/>
      <c r="F223" s="49"/>
      <c r="G223" s="49"/>
      <c r="H223" s="51"/>
      <c r="I223" s="49"/>
    </row>
    <row r="224" spans="1:9">
      <c r="A224" s="52"/>
      <c r="B224" s="53"/>
      <c r="C224" s="54"/>
      <c r="D224" s="53"/>
      <c r="E224" s="53"/>
      <c r="F224" s="56"/>
      <c r="G224" s="56"/>
      <c r="H224" s="57"/>
      <c r="I224" s="53"/>
    </row>
    <row r="225" spans="1:9">
      <c r="A225" s="48"/>
      <c r="B225" s="49"/>
      <c r="C225" s="50"/>
      <c r="D225" s="49"/>
      <c r="E225" s="49"/>
      <c r="F225" s="49"/>
      <c r="G225" s="49"/>
      <c r="H225" s="51"/>
      <c r="I225" s="49"/>
    </row>
    <row r="226" spans="1:9">
      <c r="A226" s="52"/>
      <c r="B226" s="53"/>
      <c r="C226" s="54"/>
      <c r="D226" s="53"/>
      <c r="E226" s="53"/>
      <c r="F226" s="56"/>
      <c r="G226" s="56"/>
      <c r="H226" s="57"/>
      <c r="I226" s="53"/>
    </row>
    <row r="227" spans="1:9">
      <c r="A227" s="48"/>
      <c r="B227" s="49"/>
      <c r="C227" s="50"/>
      <c r="D227" s="49"/>
      <c r="E227" s="49"/>
      <c r="F227" s="49"/>
      <c r="G227" s="49"/>
      <c r="H227" s="51"/>
      <c r="I227" s="49"/>
    </row>
    <row r="228" spans="1:9">
      <c r="A228" s="52"/>
      <c r="B228" s="53"/>
      <c r="C228" s="54"/>
      <c r="D228" s="53"/>
      <c r="E228" s="53"/>
      <c r="F228" s="56"/>
      <c r="G228" s="56"/>
      <c r="H228" s="57"/>
      <c r="I228" s="53"/>
    </row>
    <row r="229" spans="1:9">
      <c r="A229" s="48"/>
      <c r="B229" s="49"/>
      <c r="C229" s="50"/>
      <c r="D229" s="49"/>
      <c r="E229" s="49"/>
      <c r="F229" s="49"/>
      <c r="G229" s="49"/>
      <c r="H229" s="51"/>
      <c r="I229" s="49"/>
    </row>
    <row r="230" spans="1:9">
      <c r="A230" s="52"/>
      <c r="B230" s="53"/>
      <c r="C230" s="54"/>
      <c r="D230" s="53"/>
      <c r="E230" s="53"/>
      <c r="F230" s="56"/>
      <c r="G230" s="56"/>
      <c r="H230" s="57"/>
      <c r="I230" s="53"/>
    </row>
    <row r="231" spans="1:9">
      <c r="A231" s="48"/>
      <c r="B231" s="49"/>
      <c r="C231" s="50"/>
      <c r="D231" s="49"/>
      <c r="E231" s="49"/>
      <c r="F231" s="49"/>
      <c r="G231" s="49"/>
      <c r="H231" s="51"/>
      <c r="I231" s="49"/>
    </row>
    <row r="232" spans="1:9">
      <c r="A232" s="52"/>
      <c r="B232" s="53"/>
      <c r="C232" s="54"/>
      <c r="D232" s="53"/>
      <c r="E232" s="53"/>
      <c r="F232" s="56"/>
      <c r="G232" s="56"/>
      <c r="H232" s="57"/>
      <c r="I232" s="53"/>
    </row>
    <row r="233" spans="1:9">
      <c r="A233" s="48"/>
      <c r="B233" s="49"/>
      <c r="C233" s="50"/>
      <c r="D233" s="49"/>
      <c r="E233" s="49"/>
      <c r="F233" s="49"/>
      <c r="G233" s="49"/>
      <c r="H233" s="51"/>
      <c r="I233" s="49"/>
    </row>
    <row r="234" spans="1:9">
      <c r="A234" s="52"/>
      <c r="B234" s="53"/>
      <c r="C234" s="54"/>
      <c r="D234" s="53"/>
      <c r="E234" s="53"/>
      <c r="F234" s="56"/>
      <c r="G234" s="56"/>
      <c r="H234" s="57"/>
      <c r="I234" s="53"/>
    </row>
    <row r="235" spans="1:9">
      <c r="A235" s="48"/>
      <c r="B235" s="49"/>
      <c r="C235" s="50"/>
      <c r="D235" s="49"/>
      <c r="E235" s="49"/>
      <c r="F235" s="49"/>
      <c r="G235" s="49"/>
      <c r="H235" s="51"/>
      <c r="I235" s="49"/>
    </row>
    <row r="236" spans="1:9">
      <c r="A236" s="52"/>
      <c r="B236" s="53"/>
      <c r="C236" s="54"/>
      <c r="D236" s="53"/>
      <c r="E236" s="53"/>
      <c r="F236" s="56"/>
      <c r="G236" s="56"/>
      <c r="H236" s="57"/>
      <c r="I236" s="53"/>
    </row>
    <row r="237" spans="1:9">
      <c r="A237" s="48"/>
      <c r="B237" s="49"/>
      <c r="C237" s="50"/>
      <c r="D237" s="49"/>
      <c r="E237" s="49"/>
      <c r="F237" s="49"/>
      <c r="G237" s="49"/>
      <c r="H237" s="51"/>
      <c r="I237" s="49"/>
    </row>
    <row r="238" spans="1:9">
      <c r="A238" s="52"/>
      <c r="B238" s="53"/>
      <c r="C238" s="54"/>
      <c r="D238" s="53"/>
      <c r="E238" s="53"/>
      <c r="F238" s="56"/>
      <c r="G238" s="56"/>
      <c r="H238" s="57"/>
      <c r="I238" s="53"/>
    </row>
    <row r="239" spans="1:9">
      <c r="A239" s="48"/>
      <c r="B239" s="49"/>
      <c r="C239" s="50"/>
      <c r="D239" s="49"/>
      <c r="E239" s="49"/>
      <c r="F239" s="49"/>
      <c r="G239" s="49"/>
      <c r="H239" s="51"/>
      <c r="I239" s="49"/>
    </row>
    <row r="240" spans="1:9">
      <c r="A240" s="52"/>
      <c r="B240" s="53"/>
      <c r="C240" s="54"/>
      <c r="D240" s="53"/>
      <c r="E240" s="53"/>
      <c r="F240" s="56"/>
      <c r="G240" s="56"/>
      <c r="H240" s="57"/>
      <c r="I240" s="53"/>
    </row>
    <row r="241" spans="1:9">
      <c r="A241" s="48"/>
      <c r="B241" s="49"/>
      <c r="C241" s="50"/>
      <c r="D241" s="49"/>
      <c r="E241" s="49"/>
      <c r="F241" s="49"/>
      <c r="G241" s="49"/>
      <c r="H241" s="51"/>
      <c r="I241" s="49"/>
    </row>
    <row r="242" spans="1:9">
      <c r="A242" s="52"/>
      <c r="B242" s="53"/>
      <c r="C242" s="54"/>
      <c r="D242" s="53"/>
      <c r="E242" s="53"/>
      <c r="F242" s="56"/>
      <c r="G242" s="56"/>
      <c r="H242" s="57"/>
      <c r="I242" s="53"/>
    </row>
    <row r="243" spans="1:9">
      <c r="A243" s="48"/>
      <c r="B243" s="49"/>
      <c r="C243" s="50"/>
      <c r="D243" s="49"/>
      <c r="E243" s="49"/>
      <c r="F243" s="49"/>
      <c r="G243" s="49"/>
      <c r="H243" s="51"/>
      <c r="I243" s="49"/>
    </row>
    <row r="244" spans="1:9">
      <c r="A244" s="52"/>
      <c r="B244" s="53"/>
      <c r="C244" s="54"/>
      <c r="D244" s="53"/>
      <c r="E244" s="53"/>
      <c r="F244" s="56"/>
      <c r="G244" s="56"/>
      <c r="H244" s="57"/>
      <c r="I244" s="53"/>
    </row>
    <row r="245" spans="1:9">
      <c r="A245" s="48"/>
      <c r="B245" s="49"/>
      <c r="C245" s="50"/>
      <c r="D245" s="49"/>
      <c r="E245" s="49"/>
      <c r="F245" s="49"/>
      <c r="G245" s="49"/>
      <c r="H245" s="51"/>
      <c r="I245" s="49"/>
    </row>
    <row r="246" spans="1:9">
      <c r="A246" s="52"/>
      <c r="B246" s="53"/>
      <c r="C246" s="54"/>
      <c r="D246" s="53"/>
      <c r="E246" s="53"/>
      <c r="F246" s="56"/>
      <c r="G246" s="56"/>
      <c r="H246" s="57"/>
      <c r="I246" s="53"/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209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abSelected="1" topLeftCell="E1" zoomScaleNormal="100" workbookViewId="0">
      <pane ySplit="1" topLeftCell="A111" activePane="bottomLeft" state="frozen"/>
      <selection pane="bottomLeft" activeCell="G120" sqref="G120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59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411</v>
      </c>
      <c r="B1" s="63" t="s">
        <v>412</v>
      </c>
      <c r="C1" s="63" t="s">
        <v>93</v>
      </c>
      <c r="D1" s="63" t="s">
        <v>413</v>
      </c>
      <c r="E1" s="63" t="s">
        <v>414</v>
      </c>
      <c r="F1" s="63" t="s">
        <v>80</v>
      </c>
      <c r="G1" s="63" t="s">
        <v>82</v>
      </c>
      <c r="H1" s="63" t="s">
        <v>415</v>
      </c>
      <c r="I1" s="63" t="s">
        <v>416</v>
      </c>
      <c r="J1" s="63" t="s">
        <v>417</v>
      </c>
      <c r="K1" s="63" t="s">
        <v>418</v>
      </c>
      <c r="L1" s="63" t="s">
        <v>419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420</v>
      </c>
      <c r="S1" s="63" t="s">
        <v>421</v>
      </c>
      <c r="T1" s="63" t="s">
        <v>422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423</v>
      </c>
      <c r="B2" s="66" t="s">
        <v>424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425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426</v>
      </c>
      <c r="B3" s="69" t="s">
        <v>427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425</v>
      </c>
      <c r="O3" s="69"/>
      <c r="P3" s="69"/>
      <c r="Q3" s="69"/>
      <c r="R3" s="69"/>
      <c r="S3" s="69"/>
      <c r="T3" s="69"/>
    </row>
    <row r="4" spans="1:246" ht="15" customHeight="1">
      <c r="A4" s="66" t="s">
        <v>428</v>
      </c>
      <c r="B4" s="66" t="s">
        <v>429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425</v>
      </c>
      <c r="O4" s="66"/>
      <c r="P4" s="66"/>
      <c r="Q4" s="66"/>
      <c r="R4" s="66"/>
      <c r="S4" s="66"/>
      <c r="T4" s="66"/>
    </row>
    <row r="5" spans="1:246" ht="15" customHeight="1">
      <c r="A5" s="69" t="s">
        <v>430</v>
      </c>
      <c r="B5" s="69" t="s">
        <v>431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425</v>
      </c>
      <c r="O5" s="69"/>
      <c r="P5" s="69"/>
      <c r="Q5" s="69"/>
      <c r="R5" s="69"/>
      <c r="S5" s="69"/>
      <c r="T5" s="69"/>
    </row>
    <row r="6" spans="1:246" ht="15" customHeight="1">
      <c r="A6" s="66" t="s">
        <v>432</v>
      </c>
      <c r="B6" s="66" t="s">
        <v>433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434</v>
      </c>
      <c r="M6" s="66" t="s">
        <v>49</v>
      </c>
      <c r="N6" s="66" t="s">
        <v>425</v>
      </c>
      <c r="O6" s="66"/>
      <c r="P6" s="66"/>
      <c r="Q6" s="66"/>
      <c r="R6" s="66"/>
      <c r="S6" s="66"/>
      <c r="T6" s="66"/>
    </row>
    <row r="7" spans="1:246" ht="15" customHeight="1">
      <c r="A7" s="69" t="s">
        <v>435</v>
      </c>
      <c r="B7" s="69" t="s">
        <v>436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425</v>
      </c>
      <c r="O7" s="69"/>
      <c r="P7" s="69"/>
      <c r="Q7" s="69"/>
      <c r="R7" s="69"/>
      <c r="S7" s="69"/>
      <c r="T7" s="69"/>
    </row>
    <row r="8" spans="1:246" ht="15" customHeight="1">
      <c r="A8" s="66" t="s">
        <v>437</v>
      </c>
      <c r="B8" s="66" t="s">
        <v>438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425</v>
      </c>
      <c r="O8" s="66"/>
      <c r="P8" s="66"/>
      <c r="Q8" s="66"/>
      <c r="R8" s="66"/>
      <c r="S8" s="66"/>
      <c r="T8" s="66"/>
    </row>
    <row r="9" spans="1:246" ht="15" customHeight="1">
      <c r="A9" s="69" t="s">
        <v>439</v>
      </c>
      <c r="B9" s="69" t="s">
        <v>440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425</v>
      </c>
      <c r="O9" s="69"/>
      <c r="P9" s="69"/>
      <c r="Q9" s="69"/>
      <c r="R9" s="69"/>
      <c r="S9" s="69"/>
      <c r="T9" s="69"/>
    </row>
    <row r="10" spans="1:246" ht="15" customHeight="1">
      <c r="A10" s="66" t="s">
        <v>441</v>
      </c>
      <c r="B10" s="66" t="s">
        <v>429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425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442</v>
      </c>
      <c r="B11" s="69" t="s">
        <v>443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444</v>
      </c>
      <c r="M11" s="69" t="s">
        <v>49</v>
      </c>
      <c r="N11" s="69" t="s">
        <v>425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445</v>
      </c>
      <c r="B12" s="66" t="s">
        <v>446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425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447</v>
      </c>
      <c r="B13" s="69" t="s">
        <v>448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425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449</v>
      </c>
      <c r="B14" s="66" t="s">
        <v>450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425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451</v>
      </c>
      <c r="B15" s="69" t="s">
        <v>452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425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453</v>
      </c>
      <c r="B16" s="66" t="s">
        <v>454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425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455</v>
      </c>
      <c r="B17" s="69" t="s">
        <v>456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425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457</v>
      </c>
      <c r="B18" s="66" t="s">
        <v>438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425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458</v>
      </c>
      <c r="B19" s="69" t="s">
        <v>459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425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460</v>
      </c>
      <c r="B20" s="66" t="s">
        <v>454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425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461</v>
      </c>
      <c r="B21" s="69" t="s">
        <v>440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425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462</v>
      </c>
      <c r="B22" s="66" t="s">
        <v>463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425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464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465</v>
      </c>
      <c r="M23" s="69" t="s">
        <v>49</v>
      </c>
      <c r="N23" s="69" t="s">
        <v>425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466</v>
      </c>
      <c r="B24" s="66" t="s">
        <v>433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425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467</v>
      </c>
      <c r="B25" s="69" t="s">
        <v>433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425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468</v>
      </c>
      <c r="B26" s="66" t="s">
        <v>469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425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470</v>
      </c>
      <c r="B27" s="69" t="s">
        <v>433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425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471</v>
      </c>
      <c r="B28" s="66" t="s">
        <v>472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425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473</v>
      </c>
      <c r="B29" s="69" t="s">
        <v>474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425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475</v>
      </c>
      <c r="B30" s="66" t="s">
        <v>476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425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477</v>
      </c>
      <c r="B31" s="69" t="s">
        <v>478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425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479</v>
      </c>
      <c r="B32" s="66" t="s">
        <v>480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425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481</v>
      </c>
      <c r="B33" s="69" t="s">
        <v>478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425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482</v>
      </c>
      <c r="B34" s="66" t="s">
        <v>443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425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483</v>
      </c>
      <c r="B35" s="69" t="s">
        <v>484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425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485</v>
      </c>
      <c r="B36" s="66" t="s">
        <v>486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425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487</v>
      </c>
      <c r="B37" s="69" t="s">
        <v>488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425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489</v>
      </c>
      <c r="B38" s="66" t="s">
        <v>490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425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491</v>
      </c>
      <c r="B39" s="69" t="s">
        <v>478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425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492</v>
      </c>
      <c r="B40" s="66" t="s">
        <v>493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425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494</v>
      </c>
      <c r="B41" s="69" t="s">
        <v>454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425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495</v>
      </c>
      <c r="B42" s="66" t="s">
        <v>496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425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497</v>
      </c>
      <c r="B43" s="69" t="s">
        <v>498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425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499</v>
      </c>
      <c r="B44" s="66" t="s">
        <v>484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500</v>
      </c>
      <c r="M44" s="66" t="s">
        <v>49</v>
      </c>
      <c r="N44" s="66" t="s">
        <v>425</v>
      </c>
      <c r="O44" s="66" t="s">
        <v>210</v>
      </c>
      <c r="P44" s="66"/>
      <c r="Q44" s="66" t="s">
        <v>501</v>
      </c>
      <c r="R44" s="66"/>
      <c r="S44" s="66"/>
      <c r="T44" s="66"/>
    </row>
    <row r="45" spans="1:246" s="72" customFormat="1" ht="15" customHeight="1">
      <c r="A45" s="69" t="s">
        <v>502</v>
      </c>
      <c r="B45" s="69" t="s">
        <v>503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425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504</v>
      </c>
      <c r="B46" s="66" t="s">
        <v>505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425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506</v>
      </c>
      <c r="B47" s="69" t="s">
        <v>507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508</v>
      </c>
      <c r="M47" s="69" t="s">
        <v>509</v>
      </c>
      <c r="N47" s="69" t="s">
        <v>510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511</v>
      </c>
      <c r="B48" s="66" t="s">
        <v>512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425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513</v>
      </c>
      <c r="B49" s="69" t="s">
        <v>514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425</v>
      </c>
      <c r="O49" s="69"/>
      <c r="P49" s="69" t="s">
        <v>515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516</v>
      </c>
      <c r="B50" s="66" t="s">
        <v>517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425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518</v>
      </c>
      <c r="B51" s="69" t="s">
        <v>484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425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519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520</v>
      </c>
      <c r="M52" s="66"/>
      <c r="N52" s="66" t="s">
        <v>510</v>
      </c>
      <c r="O52" s="66" t="s">
        <v>521</v>
      </c>
      <c r="P52" s="66" t="s">
        <v>522</v>
      </c>
      <c r="Q52" s="66"/>
      <c r="R52" s="66"/>
      <c r="S52" s="66"/>
      <c r="T52" s="66"/>
    </row>
    <row r="53" spans="1:246" ht="15" customHeight="1">
      <c r="A53" s="69" t="s">
        <v>523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524</v>
      </c>
      <c r="M53" s="69"/>
      <c r="N53" s="69" t="s">
        <v>341</v>
      </c>
      <c r="O53" s="69" t="s">
        <v>223</v>
      </c>
      <c r="P53" s="69" t="s">
        <v>525</v>
      </c>
      <c r="Q53" s="69"/>
      <c r="R53" s="69"/>
      <c r="S53" s="69"/>
      <c r="T53" s="69"/>
    </row>
    <row r="54" spans="1:246" s="76" customFormat="1" ht="15" customHeight="1">
      <c r="A54" s="66" t="s">
        <v>526</v>
      </c>
      <c r="B54" s="73" t="s">
        <v>527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528</v>
      </c>
      <c r="Q54" s="66" t="s">
        <v>529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530</v>
      </c>
      <c r="B55" s="69" t="s">
        <v>531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532</v>
      </c>
      <c r="M55" s="69" t="s">
        <v>49</v>
      </c>
      <c r="N55" s="69" t="s">
        <v>510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533</v>
      </c>
      <c r="B56" s="66" t="s">
        <v>440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425</v>
      </c>
      <c r="O56" s="66" t="s">
        <v>534</v>
      </c>
      <c r="P56" s="66"/>
      <c r="Q56" s="66"/>
      <c r="R56" s="66"/>
      <c r="S56" s="66"/>
      <c r="T56" s="66"/>
    </row>
    <row r="57" spans="1:246" ht="15" customHeight="1">
      <c r="A57" s="69" t="s">
        <v>535</v>
      </c>
      <c r="B57" s="69" t="s">
        <v>536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537</v>
      </c>
      <c r="P57" s="69"/>
      <c r="Q57" s="69"/>
      <c r="R57" s="69"/>
      <c r="S57" s="69"/>
      <c r="T57" s="69"/>
    </row>
    <row r="58" spans="1:246" ht="15" customHeight="1">
      <c r="A58" s="66" t="s">
        <v>538</v>
      </c>
      <c r="B58" s="66" t="s">
        <v>539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540</v>
      </c>
      <c r="P58" s="66"/>
      <c r="Q58" s="66"/>
      <c r="R58" s="66"/>
      <c r="S58" s="66"/>
      <c r="T58" s="66"/>
    </row>
    <row r="59" spans="1:246" ht="15" customHeight="1">
      <c r="A59" s="69" t="s">
        <v>541</v>
      </c>
      <c r="B59" s="69" t="s">
        <v>517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542</v>
      </c>
      <c r="M59" s="69"/>
      <c r="N59" s="69" t="s">
        <v>510</v>
      </c>
      <c r="O59" s="69" t="s">
        <v>543</v>
      </c>
      <c r="P59" s="69" t="s">
        <v>544</v>
      </c>
      <c r="Q59" s="69"/>
      <c r="R59" s="69"/>
      <c r="S59" s="69"/>
      <c r="T59" s="69"/>
    </row>
    <row r="60" spans="1:246" ht="15" customHeight="1">
      <c r="A60" s="66" t="s">
        <v>545</v>
      </c>
      <c r="B60" s="66" t="s">
        <v>546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547</v>
      </c>
      <c r="M60" s="66" t="s">
        <v>49</v>
      </c>
      <c r="N60" s="66" t="s">
        <v>425</v>
      </c>
      <c r="O60" s="66"/>
      <c r="P60" s="66" t="s">
        <v>548</v>
      </c>
      <c r="Q60" s="66"/>
      <c r="R60" s="66"/>
      <c r="S60" s="66"/>
      <c r="T60" s="66"/>
    </row>
    <row r="61" spans="1:246" ht="45" customHeight="1">
      <c r="A61" s="69" t="s">
        <v>549</v>
      </c>
      <c r="B61" s="69" t="s">
        <v>496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550</v>
      </c>
      <c r="M61" s="69"/>
      <c r="N61" s="69" t="s">
        <v>510</v>
      </c>
      <c r="O61" s="69" t="s">
        <v>551</v>
      </c>
      <c r="P61" s="69" t="s">
        <v>552</v>
      </c>
      <c r="Q61" s="69" t="s">
        <v>553</v>
      </c>
      <c r="R61" s="69"/>
      <c r="S61" s="69"/>
      <c r="T61" s="69"/>
    </row>
    <row r="62" spans="1:246" ht="15" customHeight="1">
      <c r="A62" s="66" t="s">
        <v>554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920</v>
      </c>
      <c r="M62" s="66"/>
      <c r="N62" s="66" t="s">
        <v>425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555</v>
      </c>
      <c r="B63" s="69" t="s">
        <v>431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425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556</v>
      </c>
      <c r="B64" s="66" t="s">
        <v>431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425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557</v>
      </c>
      <c r="B65" s="69" t="s">
        <v>558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559</v>
      </c>
      <c r="M65" s="69"/>
      <c r="N65" s="69" t="s">
        <v>425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560</v>
      </c>
      <c r="B66" s="66" t="s">
        <v>561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562</v>
      </c>
      <c r="M66" s="66"/>
      <c r="N66" s="66" t="s">
        <v>510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563</v>
      </c>
      <c r="B67" s="69" t="s">
        <v>564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425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565</v>
      </c>
      <c r="B68" s="66" t="s">
        <v>566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567</v>
      </c>
      <c r="M68" s="66"/>
      <c r="N68" s="66" t="s">
        <v>510</v>
      </c>
      <c r="O68" s="66"/>
      <c r="P68" s="66" t="s">
        <v>568</v>
      </c>
      <c r="Q68" s="66"/>
      <c r="R68" s="66"/>
      <c r="S68" s="66"/>
      <c r="T68" s="66"/>
    </row>
    <row r="69" spans="1:20" ht="15" customHeight="1">
      <c r="A69" s="69" t="s">
        <v>569</v>
      </c>
      <c r="B69" s="69" t="s">
        <v>570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571</v>
      </c>
      <c r="P69" s="69"/>
      <c r="Q69" s="69"/>
      <c r="R69" s="69"/>
      <c r="S69" s="69"/>
      <c r="T69" s="69"/>
    </row>
    <row r="70" spans="1:20" ht="15" customHeight="1">
      <c r="A70" s="66" t="s">
        <v>572</v>
      </c>
      <c r="B70" s="66" t="s">
        <v>573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574</v>
      </c>
      <c r="M70" s="66"/>
      <c r="N70" s="66" t="s">
        <v>425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575</v>
      </c>
      <c r="B71" s="69" t="s">
        <v>576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577</v>
      </c>
      <c r="M71" s="69" t="s">
        <v>49</v>
      </c>
      <c r="N71" s="69" t="s">
        <v>425</v>
      </c>
      <c r="O71" s="69"/>
      <c r="P71" s="69" t="s">
        <v>578</v>
      </c>
      <c r="Q71" s="69"/>
      <c r="R71" s="69"/>
      <c r="S71" s="69"/>
      <c r="T71" s="69"/>
    </row>
    <row r="72" spans="1:20" ht="15" customHeight="1">
      <c r="A72" s="66" t="s">
        <v>579</v>
      </c>
      <c r="B72" s="66" t="s">
        <v>580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425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581</v>
      </c>
      <c r="B73" s="69" t="s">
        <v>582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425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583</v>
      </c>
      <c r="B74" s="66" t="s">
        <v>584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425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585</v>
      </c>
      <c r="B75" s="69" t="s">
        <v>474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425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586</v>
      </c>
      <c r="B76" s="66" t="s">
        <v>587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425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588</v>
      </c>
      <c r="B77" s="69" t="s">
        <v>589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590</v>
      </c>
      <c r="M77" s="69"/>
      <c r="N77" s="69" t="s">
        <v>510</v>
      </c>
      <c r="O77" s="69" t="s">
        <v>591</v>
      </c>
      <c r="P77" s="69"/>
      <c r="Q77" s="69"/>
      <c r="R77" s="69"/>
      <c r="S77" s="69"/>
      <c r="T77" s="69"/>
    </row>
    <row r="78" spans="1:20" ht="15" customHeight="1">
      <c r="A78" s="66" t="s">
        <v>592</v>
      </c>
      <c r="B78" s="66" t="s">
        <v>593</v>
      </c>
      <c r="C78" s="66" t="s">
        <v>96</v>
      </c>
      <c r="D78" s="67">
        <v>1075</v>
      </c>
      <c r="E78" s="67">
        <v>1560</v>
      </c>
      <c r="F78" s="67">
        <v>2</v>
      </c>
      <c r="G78" s="67">
        <v>2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2150</v>
      </c>
      <c r="K78" s="66">
        <f t="shared" si="8"/>
        <v>2150</v>
      </c>
      <c r="L78" s="66" t="s">
        <v>594</v>
      </c>
      <c r="M78" s="66"/>
      <c r="N78" s="66" t="s">
        <v>510</v>
      </c>
      <c r="O78" s="66" t="s">
        <v>595</v>
      </c>
      <c r="P78" s="66"/>
      <c r="Q78" s="66"/>
      <c r="R78" s="66"/>
      <c r="S78" s="66"/>
      <c r="T78" s="66"/>
    </row>
    <row r="79" spans="1:20" ht="15" customHeight="1">
      <c r="A79" s="69" t="s">
        <v>596</v>
      </c>
      <c r="B79" s="69" t="s">
        <v>597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598</v>
      </c>
      <c r="M79" s="69"/>
      <c r="N79" s="69" t="s">
        <v>599</v>
      </c>
      <c r="O79" s="69" t="s">
        <v>600</v>
      </c>
      <c r="P79" s="69"/>
      <c r="Q79" s="69"/>
      <c r="R79" s="69"/>
      <c r="S79" s="69"/>
      <c r="T79" s="69"/>
    </row>
    <row r="80" spans="1:20" ht="15" customHeight="1">
      <c r="A80" s="66" t="s">
        <v>601</v>
      </c>
      <c r="B80" s="66" t="s">
        <v>602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603</v>
      </c>
      <c r="M80" s="66"/>
      <c r="N80" s="66" t="s">
        <v>510</v>
      </c>
      <c r="O80" s="66" t="s">
        <v>604</v>
      </c>
      <c r="P80" s="66"/>
      <c r="Q80" s="66"/>
      <c r="R80" s="66"/>
      <c r="S80" s="66"/>
      <c r="T80" s="66"/>
    </row>
    <row r="81" spans="1:20" ht="30" customHeight="1">
      <c r="A81" s="69" t="s">
        <v>605</v>
      </c>
      <c r="B81" s="69" t="s">
        <v>606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607</v>
      </c>
      <c r="M81" s="69"/>
      <c r="N81" s="69" t="s">
        <v>425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608</v>
      </c>
      <c r="B82" s="66" t="s">
        <v>609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610</v>
      </c>
      <c r="M82" s="66"/>
      <c r="N82" s="66" t="s">
        <v>425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611</v>
      </c>
      <c r="B83" s="69" t="s">
        <v>612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613</v>
      </c>
      <c r="M83" s="69"/>
      <c r="N83" s="69" t="s">
        <v>425</v>
      </c>
      <c r="O83" s="69" t="s">
        <v>614</v>
      </c>
      <c r="P83" s="69"/>
      <c r="Q83" s="69"/>
      <c r="R83" s="69"/>
      <c r="S83" s="69"/>
      <c r="T83" s="69"/>
    </row>
    <row r="84" spans="1:20" ht="15" customHeight="1">
      <c r="A84" s="66" t="s">
        <v>615</v>
      </c>
      <c r="B84" s="66" t="s">
        <v>616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617</v>
      </c>
      <c r="M84" s="66"/>
      <c r="N84" s="66" t="s">
        <v>510</v>
      </c>
      <c r="O84" s="66" t="s">
        <v>618</v>
      </c>
      <c r="P84" s="66"/>
      <c r="Q84" s="66"/>
      <c r="R84" s="66"/>
      <c r="S84" s="66"/>
      <c r="T84" s="66"/>
    </row>
    <row r="85" spans="1:20" ht="15" customHeight="1">
      <c r="A85" s="69" t="s">
        <v>619</v>
      </c>
      <c r="B85" s="69" t="s">
        <v>620</v>
      </c>
      <c r="C85" s="69" t="s">
        <v>96</v>
      </c>
      <c r="D85" s="70">
        <v>895</v>
      </c>
      <c r="E85" s="70">
        <v>1350</v>
      </c>
      <c r="F85" s="70">
        <v>3</v>
      </c>
      <c r="G85" s="70">
        <v>1</v>
      </c>
      <c r="H85" s="69">
        <f t="shared" si="6"/>
        <v>4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895</v>
      </c>
      <c r="L85" s="69" t="s">
        <v>621</v>
      </c>
      <c r="M85" s="69"/>
      <c r="N85" s="69" t="s">
        <v>425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622</v>
      </c>
      <c r="B86" s="66" t="s">
        <v>623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624</v>
      </c>
      <c r="M86" s="66"/>
      <c r="N86" s="66" t="s">
        <v>510</v>
      </c>
      <c r="O86" s="66" t="s">
        <v>595</v>
      </c>
      <c r="P86" s="66"/>
      <c r="Q86" s="66"/>
      <c r="R86" s="66"/>
      <c r="S86" s="66"/>
      <c r="T86" s="66"/>
    </row>
    <row r="87" spans="1:20" ht="15" customHeight="1">
      <c r="A87" s="69" t="s">
        <v>625</v>
      </c>
      <c r="B87" s="69" t="s">
        <v>626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599</v>
      </c>
      <c r="O87" s="69" t="s">
        <v>627</v>
      </c>
      <c r="P87" s="69"/>
      <c r="Q87" s="69"/>
      <c r="R87" s="69"/>
      <c r="S87" s="69"/>
      <c r="T87" s="69"/>
    </row>
    <row r="88" spans="1:20" ht="30" customHeight="1">
      <c r="A88" s="66" t="s">
        <v>628</v>
      </c>
      <c r="B88" s="66" t="s">
        <v>629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630</v>
      </c>
      <c r="M88" s="66"/>
      <c r="N88" s="66" t="s">
        <v>510</v>
      </c>
      <c r="O88" s="66" t="s">
        <v>631</v>
      </c>
      <c r="P88" s="66"/>
      <c r="Q88" s="66"/>
      <c r="R88" s="66"/>
      <c r="S88" s="66"/>
      <c r="T88" s="66"/>
    </row>
    <row r="89" spans="1:20" ht="15" customHeight="1">
      <c r="A89" s="69" t="s">
        <v>632</v>
      </c>
      <c r="B89" s="69" t="s">
        <v>633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634</v>
      </c>
      <c r="M89" s="69"/>
      <c r="N89" s="69" t="s">
        <v>425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635</v>
      </c>
      <c r="B90" s="66" t="s">
        <v>636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425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637</v>
      </c>
      <c r="B91" s="69" t="s">
        <v>638</v>
      </c>
      <c r="C91" s="69" t="s">
        <v>639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640</v>
      </c>
      <c r="M91" s="69"/>
      <c r="N91" s="69" t="s">
        <v>425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641</v>
      </c>
      <c r="B92" s="66" t="s">
        <v>642</v>
      </c>
      <c r="C92" s="66" t="s">
        <v>639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643</v>
      </c>
      <c r="M92" s="66"/>
      <c r="N92" s="66" t="s">
        <v>425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644</v>
      </c>
      <c r="B93" s="69" t="s">
        <v>645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646</v>
      </c>
      <c r="M93" s="69"/>
      <c r="N93" s="66" t="s">
        <v>510</v>
      </c>
      <c r="O93" s="69" t="s">
        <v>647</v>
      </c>
      <c r="P93" s="69"/>
      <c r="Q93" s="69"/>
      <c r="R93" s="69"/>
      <c r="S93" s="69"/>
      <c r="T93" s="69"/>
    </row>
    <row r="94" spans="1:20" ht="15" customHeight="1">
      <c r="A94" s="66" t="s">
        <v>648</v>
      </c>
      <c r="B94" s="66" t="s">
        <v>649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425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650</v>
      </c>
      <c r="B95" s="69" t="s">
        <v>651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652</v>
      </c>
      <c r="M95" s="69"/>
      <c r="N95" s="69" t="s">
        <v>425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653</v>
      </c>
      <c r="B96" s="66" t="s">
        <v>654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599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655</v>
      </c>
      <c r="B97" s="69" t="s">
        <v>656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425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657</v>
      </c>
      <c r="B98" s="66" t="s">
        <v>658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425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659</v>
      </c>
      <c r="B99" s="69" t="s">
        <v>660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425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661</v>
      </c>
      <c r="B100" s="66" t="s">
        <v>662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425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663</v>
      </c>
      <c r="B101" s="69" t="s">
        <v>664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425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665</v>
      </c>
      <c r="B102" s="66" t="s">
        <v>666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425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667</v>
      </c>
      <c r="B103" s="69" t="s">
        <v>668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425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669</v>
      </c>
      <c r="B104" s="66" t="s">
        <v>670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425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671</v>
      </c>
      <c r="B105" s="69" t="s">
        <v>672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425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673</v>
      </c>
      <c r="B106" s="66" t="s">
        <v>674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408</v>
      </c>
      <c r="M106" s="66"/>
      <c r="N106" s="66" t="s">
        <v>425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675</v>
      </c>
      <c r="B107" s="69" t="s">
        <v>676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425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677</v>
      </c>
      <c r="B108" s="66" t="s">
        <v>678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425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679</v>
      </c>
      <c r="B109" s="69" t="s">
        <v>680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425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681</v>
      </c>
      <c r="B110" s="66" t="s">
        <v>682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425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683</v>
      </c>
      <c r="B111" s="69" t="s">
        <v>684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425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685</v>
      </c>
      <c r="B112" s="66" t="s">
        <v>686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599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687</v>
      </c>
      <c r="B113" s="69" t="s">
        <v>688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425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689</v>
      </c>
      <c r="B114" s="66" t="s">
        <v>690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425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691</v>
      </c>
      <c r="B115" s="69" t="s">
        <v>692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693</v>
      </c>
      <c r="M115" s="69"/>
      <c r="N115" s="69" t="s">
        <v>425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694</v>
      </c>
      <c r="B116" s="66" t="s">
        <v>695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696</v>
      </c>
      <c r="M116" s="66"/>
      <c r="N116" s="66" t="s">
        <v>425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697</v>
      </c>
      <c r="B117" s="69" t="s">
        <v>698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425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699</v>
      </c>
      <c r="B118" s="66" t="s">
        <v>700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701</v>
      </c>
      <c r="M118" s="66"/>
      <c r="N118" s="66" t="s">
        <v>425</v>
      </c>
      <c r="O118" s="66"/>
      <c r="P118" s="66" t="s">
        <v>702</v>
      </c>
      <c r="Q118" s="66"/>
      <c r="R118" s="66"/>
      <c r="S118" s="66"/>
      <c r="T118" s="66"/>
    </row>
    <row r="119" spans="1:246" ht="15" customHeight="1">
      <c r="A119" s="69" t="s">
        <v>703</v>
      </c>
      <c r="B119" s="69" t="s">
        <v>704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425</v>
      </c>
      <c r="O119" s="69"/>
      <c r="P119" s="69"/>
      <c r="Q119" s="69"/>
      <c r="R119" s="69"/>
      <c r="S119" s="69"/>
      <c r="T119" s="69"/>
    </row>
    <row r="120" spans="1:246" ht="158" customHeight="1">
      <c r="A120" s="66" t="s">
        <v>705</v>
      </c>
      <c r="B120" s="66" t="s">
        <v>706</v>
      </c>
      <c r="C120" s="66" t="s">
        <v>95</v>
      </c>
      <c r="D120" s="67">
        <v>418.95333333333298</v>
      </c>
      <c r="E120" s="67">
        <v>699</v>
      </c>
      <c r="F120" s="67">
        <v>31</v>
      </c>
      <c r="G120" s="67">
        <v>18</v>
      </c>
      <c r="H120" s="66">
        <f t="shared" si="9"/>
        <v>49</v>
      </c>
      <c r="I120" s="66">
        <f>IF(D120&lt;&gt;"",D120,IFERROR(E120/(IFERROR(SUM(Sales!C:C),0))*(IFERROR(SUM(Purchases!C:C),0)),0))</f>
        <v>418.95333333333298</v>
      </c>
      <c r="J120" s="66">
        <f t="shared" si="10"/>
        <v>12987.553333333322</v>
      </c>
      <c r="K120" s="66">
        <f t="shared" si="11"/>
        <v>7541.1599999999935</v>
      </c>
      <c r="L120" s="66" t="s">
        <v>954</v>
      </c>
      <c r="M120" s="66" t="s">
        <v>49</v>
      </c>
      <c r="N120" s="66" t="s">
        <v>510</v>
      </c>
      <c r="O120" s="66"/>
      <c r="P120" s="66" t="s">
        <v>955</v>
      </c>
      <c r="Q120" s="66"/>
      <c r="R120" s="66"/>
      <c r="S120" s="66"/>
      <c r="T120" s="66"/>
    </row>
    <row r="121" spans="1:246" ht="15" customHeight="1">
      <c r="A121" s="69" t="s">
        <v>707</v>
      </c>
      <c r="B121" s="69" t="s">
        <v>708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709</v>
      </c>
      <c r="M121" s="69"/>
      <c r="N121" s="69" t="s">
        <v>425</v>
      </c>
      <c r="O121" s="69"/>
      <c r="P121" s="69" t="s">
        <v>710</v>
      </c>
      <c r="Q121" s="69"/>
      <c r="R121" s="69"/>
      <c r="S121" s="69"/>
      <c r="T121" s="69"/>
    </row>
    <row r="122" spans="1:246" ht="15" customHeight="1">
      <c r="A122" s="66" t="s">
        <v>711</v>
      </c>
      <c r="B122" s="66" t="s">
        <v>712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713</v>
      </c>
      <c r="M122" s="66"/>
      <c r="N122" s="66" t="s">
        <v>425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714</v>
      </c>
      <c r="B123" s="78" t="s">
        <v>715</v>
      </c>
      <c r="C123" s="78" t="s">
        <v>95</v>
      </c>
      <c r="D123" s="79">
        <v>891.44</v>
      </c>
      <c r="E123" s="79">
        <v>1380</v>
      </c>
      <c r="F123" s="79">
        <v>5</v>
      </c>
      <c r="G123" s="79">
        <v>1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4457.2000000000007</v>
      </c>
      <c r="K123" s="78">
        <f t="shared" si="11"/>
        <v>891.44</v>
      </c>
      <c r="L123" s="78" t="s">
        <v>716</v>
      </c>
      <c r="M123" s="78"/>
      <c r="N123" s="78" t="s">
        <v>510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717</v>
      </c>
      <c r="B124" s="80" t="s">
        <v>718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719</v>
      </c>
      <c r="M124" s="80"/>
      <c r="N124" s="80" t="s">
        <v>425</v>
      </c>
      <c r="O124" s="80"/>
      <c r="P124" s="80" t="s">
        <v>522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720</v>
      </c>
      <c r="B125" s="78" t="s">
        <v>721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722</v>
      </c>
      <c r="M125" s="78"/>
      <c r="N125" s="78" t="s">
        <v>425</v>
      </c>
      <c r="O125" s="78"/>
      <c r="P125" s="78" t="s">
        <v>723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724</v>
      </c>
      <c r="B126" s="66" t="s">
        <v>725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726</v>
      </c>
      <c r="M126" s="66"/>
      <c r="N126" s="66" t="s">
        <v>425</v>
      </c>
      <c r="O126" s="66" t="s">
        <v>727</v>
      </c>
      <c r="P126" s="66"/>
      <c r="Q126" s="66"/>
      <c r="R126" s="66"/>
      <c r="S126" s="66"/>
      <c r="T126" s="66"/>
    </row>
    <row r="127" spans="1:246" ht="15" customHeight="1">
      <c r="A127" s="78" t="s">
        <v>728</v>
      </c>
      <c r="B127" s="69" t="s">
        <v>729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425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730</v>
      </c>
      <c r="B128" s="66" t="s">
        <v>731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599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732</v>
      </c>
      <c r="B129" s="69" t="s">
        <v>733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734</v>
      </c>
      <c r="M129" s="69"/>
      <c r="N129" s="69" t="s">
        <v>425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735</v>
      </c>
      <c r="B130" s="66" t="s">
        <v>736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737</v>
      </c>
      <c r="M130" s="66"/>
      <c r="N130" s="66" t="s">
        <v>425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738</v>
      </c>
      <c r="B131" s="69" t="s">
        <v>739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599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740</v>
      </c>
      <c r="B132" s="66" t="s">
        <v>741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742</v>
      </c>
      <c r="M132" s="66"/>
      <c r="N132" s="66" t="s">
        <v>425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743</v>
      </c>
      <c r="B133" s="69" t="s">
        <v>744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599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745</v>
      </c>
      <c r="B134" s="66" t="s">
        <v>746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599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747</v>
      </c>
      <c r="B135" s="69" t="s">
        <v>748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749</v>
      </c>
      <c r="M135" s="69"/>
      <c r="N135" s="69" t="s">
        <v>425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750</v>
      </c>
      <c r="B136" s="66" t="s">
        <v>751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752</v>
      </c>
      <c r="M136" s="66"/>
      <c r="N136" s="66" t="s">
        <v>425</v>
      </c>
      <c r="O136" s="66"/>
      <c r="P136" s="66" t="s">
        <v>753</v>
      </c>
      <c r="Q136" s="66"/>
      <c r="R136" s="66"/>
      <c r="S136" s="66"/>
      <c r="T136" s="66"/>
    </row>
    <row r="137" spans="1:20" ht="15" customHeight="1">
      <c r="A137" s="78" t="s">
        <v>754</v>
      </c>
      <c r="B137" s="69" t="s">
        <v>755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425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756</v>
      </c>
      <c r="B138" s="66" t="s">
        <v>757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758</v>
      </c>
      <c r="M138" s="66"/>
      <c r="N138" s="66" t="s">
        <v>425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759</v>
      </c>
      <c r="B139" s="69" t="s">
        <v>760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425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761</v>
      </c>
      <c r="B140" s="66" t="s">
        <v>762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763</v>
      </c>
      <c r="M140" s="66"/>
      <c r="N140" s="66" t="s">
        <v>510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764</v>
      </c>
      <c r="B141" s="69" t="s">
        <v>765</v>
      </c>
      <c r="C141" s="69" t="s">
        <v>95</v>
      </c>
      <c r="D141" s="70">
        <v>838</v>
      </c>
      <c r="E141" s="70">
        <v>1100</v>
      </c>
      <c r="F141" s="79">
        <v>0</v>
      </c>
      <c r="G141" s="79">
        <v>1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0</v>
      </c>
      <c r="K141" s="78">
        <f t="shared" si="14"/>
        <v>838</v>
      </c>
      <c r="L141" s="69"/>
      <c r="M141" s="69"/>
      <c r="N141" s="69" t="s">
        <v>599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766</v>
      </c>
      <c r="B142" s="66" t="s">
        <v>767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768</v>
      </c>
      <c r="M142" s="66"/>
      <c r="N142" s="66" t="s">
        <v>510</v>
      </c>
      <c r="O142" s="66"/>
      <c r="P142" s="66" t="s">
        <v>515</v>
      </c>
      <c r="Q142" s="66"/>
      <c r="R142" s="66"/>
      <c r="S142" s="66"/>
      <c r="T142" s="66"/>
    </row>
    <row r="143" spans="1:20" ht="15" customHeight="1">
      <c r="A143" s="69" t="s">
        <v>769</v>
      </c>
      <c r="B143" s="69" t="s">
        <v>770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599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771</v>
      </c>
      <c r="B144" s="66" t="s">
        <v>772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599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773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425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774</v>
      </c>
      <c r="B146" s="66" t="s">
        <v>775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776</v>
      </c>
      <c r="M146" s="66"/>
      <c r="N146" s="66" t="s">
        <v>510</v>
      </c>
      <c r="O146" s="66"/>
      <c r="P146" s="66" t="s">
        <v>777</v>
      </c>
      <c r="Q146" s="66"/>
      <c r="R146" s="66"/>
      <c r="S146" s="66"/>
      <c r="T146" s="66"/>
    </row>
    <row r="147" spans="1:20" ht="63.75" customHeight="1">
      <c r="A147" s="69" t="s">
        <v>778</v>
      </c>
      <c r="B147" s="69" t="s">
        <v>779</v>
      </c>
      <c r="C147" s="69" t="s">
        <v>95</v>
      </c>
      <c r="D147" s="70">
        <v>719</v>
      </c>
      <c r="E147" s="70">
        <v>1200</v>
      </c>
      <c r="F147" s="79">
        <v>6</v>
      </c>
      <c r="G147" s="79">
        <v>4</v>
      </c>
      <c r="H147" s="78">
        <f t="shared" si="12"/>
        <v>10</v>
      </c>
      <c r="I147" s="78">
        <f>IF(D147&lt;&gt;"",D147,IFERROR(E147/(IFERROR(SUM(Sales!C:C),0))*(IFERROR(SUM(Purchases!C:C),0)),0))</f>
        <v>719</v>
      </c>
      <c r="J147" s="78">
        <f t="shared" si="13"/>
        <v>4314</v>
      </c>
      <c r="K147" s="78">
        <f t="shared" si="14"/>
        <v>2876</v>
      </c>
      <c r="L147" s="69" t="s">
        <v>780</v>
      </c>
      <c r="M147" s="69"/>
      <c r="N147" s="69" t="s">
        <v>510</v>
      </c>
      <c r="O147" s="69"/>
      <c r="P147" s="69" t="s">
        <v>781</v>
      </c>
      <c r="Q147" s="69"/>
      <c r="R147" s="69"/>
      <c r="S147" s="69"/>
      <c r="T147" s="69"/>
    </row>
    <row r="148" spans="1:20" ht="15" customHeight="1">
      <c r="A148" s="66" t="s">
        <v>782</v>
      </c>
      <c r="B148" s="66" t="s">
        <v>783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784</v>
      </c>
      <c r="M148" s="66"/>
      <c r="N148" s="66" t="s">
        <v>510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785</v>
      </c>
      <c r="B149" s="69" t="s">
        <v>786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787</v>
      </c>
      <c r="M149" s="69"/>
      <c r="N149" s="69" t="s">
        <v>510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788</v>
      </c>
      <c r="B150" s="66" t="s">
        <v>789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599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790</v>
      </c>
      <c r="B151" s="69" t="s">
        <v>791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792</v>
      </c>
      <c r="M151" s="69"/>
      <c r="N151" s="69" t="s">
        <v>510</v>
      </c>
      <c r="O151" s="69" t="s">
        <v>210</v>
      </c>
      <c r="P151" s="69" t="s">
        <v>793</v>
      </c>
      <c r="Q151" s="69"/>
      <c r="R151" s="69"/>
      <c r="S151" s="69"/>
      <c r="T151" s="69"/>
    </row>
    <row r="152" spans="1:20" ht="15" customHeight="1">
      <c r="A152" s="66" t="s">
        <v>794</v>
      </c>
      <c r="B152" s="66" t="s">
        <v>795</v>
      </c>
      <c r="C152" s="66" t="s">
        <v>97</v>
      </c>
      <c r="D152" s="67">
        <v>295</v>
      </c>
      <c r="E152" s="67">
        <v>580</v>
      </c>
      <c r="F152" s="81">
        <v>1</v>
      </c>
      <c r="G152" s="81">
        <v>3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295</v>
      </c>
      <c r="K152" s="80">
        <f t="shared" si="14"/>
        <v>885</v>
      </c>
      <c r="L152" s="66" t="s">
        <v>796</v>
      </c>
      <c r="M152" s="66"/>
      <c r="N152" s="66" t="s">
        <v>510</v>
      </c>
      <c r="O152" s="66" t="s">
        <v>797</v>
      </c>
      <c r="P152" s="66" t="s">
        <v>798</v>
      </c>
      <c r="Q152" s="66"/>
      <c r="R152" s="66"/>
      <c r="S152" s="66"/>
      <c r="T152" s="66"/>
    </row>
    <row r="153" spans="1:20" ht="15" customHeight="1">
      <c r="A153" s="69" t="s">
        <v>799</v>
      </c>
      <c r="B153" s="69" t="s">
        <v>800</v>
      </c>
      <c r="C153" s="6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69" t="s">
        <v>801</v>
      </c>
      <c r="M153" s="69"/>
      <c r="N153" s="69" t="s">
        <v>510</v>
      </c>
      <c r="O153" s="69"/>
      <c r="P153" s="69" t="s">
        <v>802</v>
      </c>
      <c r="Q153" s="69"/>
      <c r="R153" s="69"/>
      <c r="S153" s="69"/>
      <c r="T153" s="69"/>
    </row>
    <row r="154" spans="1:20" ht="15" customHeight="1">
      <c r="A154" s="66" t="s">
        <v>803</v>
      </c>
      <c r="B154" s="66" t="s">
        <v>804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805</v>
      </c>
      <c r="M154" s="66"/>
      <c r="N154" s="66" t="s">
        <v>510</v>
      </c>
      <c r="O154" s="66" t="s">
        <v>806</v>
      </c>
      <c r="P154" s="66"/>
      <c r="Q154" s="66"/>
      <c r="R154" s="66"/>
      <c r="S154" s="66"/>
      <c r="T154" s="66"/>
    </row>
    <row r="155" spans="1:20" ht="15" customHeight="1">
      <c r="A155" s="69" t="s">
        <v>807</v>
      </c>
      <c r="B155" s="69" t="s">
        <v>808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599</v>
      </c>
      <c r="O155" s="69" t="s">
        <v>809</v>
      </c>
      <c r="P155" s="69"/>
      <c r="Q155" s="69"/>
      <c r="R155" s="69"/>
      <c r="S155" s="69"/>
      <c r="T155" s="69"/>
    </row>
    <row r="156" spans="1:20" ht="15" customHeight="1">
      <c r="A156" s="66" t="s">
        <v>810</v>
      </c>
      <c r="B156" s="66" t="s">
        <v>811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812</v>
      </c>
      <c r="M156" s="66"/>
      <c r="N156" s="66" t="s">
        <v>510</v>
      </c>
      <c r="O156" s="66" t="s">
        <v>809</v>
      </c>
      <c r="P156" s="66"/>
      <c r="Q156" s="66"/>
      <c r="R156" s="66"/>
      <c r="S156" s="66"/>
      <c r="T156" s="66"/>
    </row>
    <row r="157" spans="1:20" ht="15" customHeight="1">
      <c r="A157" s="69" t="s">
        <v>813</v>
      </c>
      <c r="B157" s="69" t="s">
        <v>814</v>
      </c>
      <c r="C157" s="69" t="s">
        <v>96</v>
      </c>
      <c r="D157" s="70">
        <v>525</v>
      </c>
      <c r="E157" s="70">
        <v>850</v>
      </c>
      <c r="F157" s="79">
        <v>1</v>
      </c>
      <c r="G157" s="79">
        <v>3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525</v>
      </c>
      <c r="K157" s="78">
        <f t="shared" si="14"/>
        <v>1575</v>
      </c>
      <c r="L157" s="69" t="s">
        <v>815</v>
      </c>
      <c r="M157" s="69"/>
      <c r="N157" s="69" t="s">
        <v>510</v>
      </c>
      <c r="O157" s="69" t="s">
        <v>816</v>
      </c>
      <c r="P157" s="69"/>
      <c r="Q157" s="69"/>
      <c r="R157" s="69"/>
      <c r="S157" s="69"/>
      <c r="T157" s="69"/>
    </row>
    <row r="158" spans="1:20" ht="15" customHeight="1">
      <c r="A158" s="66" t="s">
        <v>817</v>
      </c>
      <c r="B158" s="66" t="s">
        <v>818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819</v>
      </c>
      <c r="M158" s="66"/>
      <c r="N158" s="66" t="s">
        <v>599</v>
      </c>
      <c r="O158" s="66" t="s">
        <v>820</v>
      </c>
      <c r="P158" s="66"/>
      <c r="Q158" s="66"/>
      <c r="R158" s="66"/>
      <c r="S158" s="66"/>
      <c r="T158" s="66"/>
    </row>
    <row r="159" spans="1:20" ht="15" customHeight="1">
      <c r="A159" s="69" t="s">
        <v>821</v>
      </c>
      <c r="B159" s="69" t="s">
        <v>822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823</v>
      </c>
      <c r="M159" s="69"/>
      <c r="N159" s="69" t="s">
        <v>510</v>
      </c>
      <c r="O159" s="69" t="s">
        <v>824</v>
      </c>
      <c r="P159" s="69"/>
      <c r="Q159" s="69"/>
      <c r="R159" s="69"/>
      <c r="S159" s="69"/>
      <c r="T159" s="69"/>
    </row>
    <row r="160" spans="1:20" ht="15" customHeight="1">
      <c r="A160" s="66" t="s">
        <v>825</v>
      </c>
      <c r="B160" s="66" t="s">
        <v>826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425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827</v>
      </c>
      <c r="B161" s="69" t="s">
        <v>828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425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829</v>
      </c>
      <c r="B162" s="66" t="s">
        <v>830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425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831</v>
      </c>
      <c r="B163" s="69" t="s">
        <v>832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599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833</v>
      </c>
      <c r="B164" s="66" t="s">
        <v>834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4052</v>
      </c>
      <c r="K164" s="80">
        <f t="shared" si="17"/>
        <v>1013</v>
      </c>
      <c r="L164" s="66" t="s">
        <v>935</v>
      </c>
      <c r="M164" s="66"/>
      <c r="N164" s="66" t="s">
        <v>510</v>
      </c>
      <c r="O164" s="66"/>
      <c r="P164" s="66" t="s">
        <v>936</v>
      </c>
      <c r="Q164" s="66"/>
      <c r="R164" s="66"/>
      <c r="S164" s="66"/>
      <c r="T164" s="66"/>
    </row>
    <row r="165" spans="1:20" ht="15" customHeight="1">
      <c r="A165" s="69" t="s">
        <v>835</v>
      </c>
      <c r="B165" s="69" t="s">
        <v>836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425</v>
      </c>
      <c r="O165" s="69"/>
      <c r="P165" s="69" t="s">
        <v>837</v>
      </c>
      <c r="Q165" s="69"/>
      <c r="R165" s="69"/>
      <c r="S165" s="69"/>
      <c r="T165" s="69"/>
    </row>
    <row r="166" spans="1:20" ht="15" customHeight="1">
      <c r="A166" s="66" t="s">
        <v>838</v>
      </c>
      <c r="B166" s="66" t="s">
        <v>839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599</v>
      </c>
      <c r="O166" s="66"/>
      <c r="P166" s="66" t="s">
        <v>840</v>
      </c>
      <c r="Q166" s="66"/>
      <c r="R166" s="66"/>
      <c r="S166" s="66"/>
      <c r="T166" s="66"/>
    </row>
    <row r="167" spans="1:20" ht="15" customHeight="1">
      <c r="A167" s="69" t="s">
        <v>841</v>
      </c>
      <c r="B167" s="69" t="s">
        <v>842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843</v>
      </c>
      <c r="M167" s="69"/>
      <c r="N167" s="69" t="s">
        <v>510</v>
      </c>
      <c r="O167" s="69"/>
      <c r="P167" s="69" t="s">
        <v>844</v>
      </c>
      <c r="Q167" s="69"/>
      <c r="R167" s="69"/>
      <c r="S167" s="69"/>
      <c r="T167" s="69"/>
    </row>
    <row r="168" spans="1:20" ht="15" customHeight="1">
      <c r="A168" s="66" t="s">
        <v>845</v>
      </c>
      <c r="B168" s="66" t="s">
        <v>846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847</v>
      </c>
      <c r="M168" s="66"/>
      <c r="N168" s="66" t="s">
        <v>510</v>
      </c>
      <c r="O168" s="66"/>
      <c r="P168" s="66" t="s">
        <v>848</v>
      </c>
      <c r="Q168" s="66"/>
      <c r="R168" s="66"/>
      <c r="S168" s="66"/>
      <c r="T168" s="66"/>
    </row>
    <row r="169" spans="1:20" ht="15" customHeight="1">
      <c r="A169" s="69" t="s">
        <v>849</v>
      </c>
      <c r="B169" s="69" t="s">
        <v>850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599</v>
      </c>
      <c r="O169" s="69"/>
      <c r="P169" s="69" t="s">
        <v>851</v>
      </c>
      <c r="Q169" s="69"/>
      <c r="R169" s="69"/>
      <c r="S169" s="69"/>
      <c r="T169" s="69"/>
    </row>
    <row r="170" spans="1:20" ht="30" customHeight="1">
      <c r="A170" s="66" t="s">
        <v>852</v>
      </c>
      <c r="B170" s="66" t="s">
        <v>853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854</v>
      </c>
      <c r="M170" s="66"/>
      <c r="N170" s="66" t="s">
        <v>425</v>
      </c>
      <c r="O170" s="66"/>
      <c r="P170" s="66" t="s">
        <v>855</v>
      </c>
      <c r="Q170" s="66"/>
      <c r="R170" s="66"/>
      <c r="S170" s="66"/>
      <c r="T170" s="66"/>
    </row>
    <row r="171" spans="1:20" ht="31.5" customHeight="1">
      <c r="A171" s="69" t="s">
        <v>856</v>
      </c>
      <c r="B171" s="66" t="s">
        <v>857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858</v>
      </c>
      <c r="M171" s="69"/>
      <c r="N171" s="69" t="s">
        <v>425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859</v>
      </c>
      <c r="B172" s="66" t="s">
        <v>860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2</v>
      </c>
      <c r="H172" s="80">
        <f t="shared" si="15"/>
        <v>4</v>
      </c>
      <c r="I172" s="80">
        <f>IF(D172&lt;&gt;"",D172,IFERROR(E172/(IFERROR(SUM(Sales!C:C),0))*(IFERROR(SUM(Purchases!C:C),0)),0))</f>
        <v>1047</v>
      </c>
      <c r="J172" s="80">
        <f t="shared" si="16"/>
        <v>2094</v>
      </c>
      <c r="K172" s="80">
        <f t="shared" si="17"/>
        <v>2094</v>
      </c>
      <c r="L172" s="66" t="s">
        <v>953</v>
      </c>
      <c r="M172" s="66"/>
      <c r="N172" s="66" t="s">
        <v>510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861</v>
      </c>
      <c r="B173" s="69" t="s">
        <v>862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406</v>
      </c>
      <c r="M173" s="69"/>
      <c r="N173" s="69" t="s">
        <v>510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863</v>
      </c>
      <c r="B174" s="66" t="s">
        <v>864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865</v>
      </c>
      <c r="M174" s="66"/>
      <c r="N174" s="66" t="s">
        <v>425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866</v>
      </c>
      <c r="B175" s="69" t="s">
        <v>867</v>
      </c>
      <c r="C175" s="69" t="s">
        <v>95</v>
      </c>
      <c r="D175" s="70">
        <v>698.25</v>
      </c>
      <c r="E175" s="70">
        <v>1250</v>
      </c>
      <c r="F175" s="79">
        <v>3</v>
      </c>
      <c r="G175" s="79">
        <v>7</v>
      </c>
      <c r="H175" s="78">
        <f t="shared" si="15"/>
        <v>10</v>
      </c>
      <c r="I175" s="78">
        <f>IF(D175&lt;&gt;"",D175,IFERROR(E175/(IFERROR(SUM(Sales!C:C),0))*(IFERROR(SUM(Purchases!C:C),0)),0))</f>
        <v>698.25</v>
      </c>
      <c r="J175" s="78">
        <f t="shared" si="16"/>
        <v>2094.75</v>
      </c>
      <c r="K175" s="78">
        <f t="shared" si="17"/>
        <v>4887.75</v>
      </c>
      <c r="L175" s="69" t="s">
        <v>934</v>
      </c>
      <c r="M175" s="69"/>
      <c r="N175" s="69" t="s">
        <v>510</v>
      </c>
      <c r="O175" s="69"/>
      <c r="P175" s="69" t="s">
        <v>938</v>
      </c>
      <c r="Q175" s="69"/>
      <c r="R175" s="69"/>
      <c r="S175" s="69"/>
      <c r="T175" s="69"/>
    </row>
    <row r="176" spans="1:20" ht="24" customHeight="1">
      <c r="A176" s="66" t="s">
        <v>868</v>
      </c>
      <c r="B176" s="66" t="s">
        <v>869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5"/>
        <v>3</v>
      </c>
      <c r="I176" s="80">
        <f>IF(D176&lt;&gt;"",D176,IFERROR(E176/(IFERROR(SUM(Sales!C:C),0))*(IFERROR(SUM(Purchases!C:C),0)),0))</f>
        <v>908</v>
      </c>
      <c r="J176" s="80">
        <f t="shared" si="16"/>
        <v>2724</v>
      </c>
      <c r="K176" s="80">
        <f t="shared" si="17"/>
        <v>0</v>
      </c>
      <c r="L176" s="66" t="s">
        <v>932</v>
      </c>
      <c r="M176" s="66"/>
      <c r="N176" s="66" t="s">
        <v>425</v>
      </c>
      <c r="O176" s="66"/>
      <c r="P176" s="66"/>
      <c r="Q176" s="66"/>
      <c r="R176" s="66"/>
      <c r="S176" s="66"/>
      <c r="T176" s="66"/>
    </row>
    <row r="177" spans="1:20" ht="34" customHeight="1">
      <c r="A177" s="69" t="s">
        <v>870</v>
      </c>
      <c r="B177" s="69" t="s">
        <v>871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5"/>
        <v>3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0</v>
      </c>
      <c r="L177" s="69" t="s">
        <v>927</v>
      </c>
      <c r="M177" s="69"/>
      <c r="N177" s="69" t="s">
        <v>425</v>
      </c>
      <c r="O177" s="69"/>
      <c r="P177" s="69" t="s">
        <v>872</v>
      </c>
      <c r="Q177" s="69"/>
      <c r="R177" s="69"/>
      <c r="S177" s="69"/>
      <c r="T177" s="69"/>
    </row>
    <row r="178" spans="1:20" ht="15" customHeight="1">
      <c r="A178" s="66" t="s">
        <v>873</v>
      </c>
      <c r="B178" s="66" t="s">
        <v>874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1876</v>
      </c>
      <c r="K178" s="80">
        <f t="shared" si="17"/>
        <v>0</v>
      </c>
      <c r="L178" s="66" t="s">
        <v>926</v>
      </c>
      <c r="M178" s="66"/>
      <c r="N178" s="66" t="s">
        <v>425</v>
      </c>
      <c r="O178" s="66"/>
      <c r="P178" s="66" t="s">
        <v>875</v>
      </c>
      <c r="Q178" s="66"/>
      <c r="R178" s="66"/>
      <c r="S178" s="66"/>
      <c r="T178" s="66"/>
    </row>
    <row r="179" spans="1:20" ht="30" customHeight="1">
      <c r="A179" s="69" t="s">
        <v>876</v>
      </c>
      <c r="B179" s="69" t="s">
        <v>877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878</v>
      </c>
      <c r="M179" s="69"/>
      <c r="N179" s="69" t="s">
        <v>425</v>
      </c>
      <c r="O179" s="69"/>
      <c r="P179" s="69" t="s">
        <v>879</v>
      </c>
      <c r="Q179" s="69"/>
      <c r="R179" s="69"/>
      <c r="S179" s="69"/>
      <c r="T179" s="69"/>
    </row>
    <row r="180" spans="1:20" ht="34" customHeight="1">
      <c r="A180" s="66" t="s">
        <v>880</v>
      </c>
      <c r="B180" s="66" t="s">
        <v>881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2757</v>
      </c>
      <c r="K180" s="80">
        <f t="shared" si="17"/>
        <v>0</v>
      </c>
      <c r="L180" s="66" t="s">
        <v>931</v>
      </c>
      <c r="M180" s="66"/>
      <c r="N180" s="66" t="s">
        <v>425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882</v>
      </c>
      <c r="B181" s="69"/>
      <c r="C181" s="69"/>
      <c r="D181" s="70"/>
      <c r="E181" s="70"/>
      <c r="F181" s="79"/>
      <c r="G181" s="79"/>
      <c r="H181" s="78"/>
      <c r="I181" s="78"/>
      <c r="J181" s="78"/>
      <c r="K181" s="78"/>
      <c r="L181" s="69"/>
      <c r="M181" s="69"/>
      <c r="N181" s="69"/>
      <c r="O181" s="69"/>
      <c r="P181" s="69"/>
      <c r="Q181" s="69"/>
      <c r="R181" s="69"/>
      <c r="S181" s="69"/>
      <c r="T181" s="69"/>
    </row>
    <row r="182" spans="1:20" ht="15" customHeight="1">
      <c r="A182" s="66" t="s">
        <v>883</v>
      </c>
      <c r="B182" s="66"/>
      <c r="C182" s="66"/>
      <c r="D182" s="67"/>
      <c r="E182" s="67"/>
      <c r="F182" s="81"/>
      <c r="G182" s="81"/>
      <c r="H182" s="80"/>
      <c r="I182" s="80"/>
      <c r="J182" s="80"/>
      <c r="K182" s="80"/>
      <c r="L182" s="66"/>
      <c r="M182" s="66"/>
      <c r="N182" s="66"/>
      <c r="O182" s="66"/>
      <c r="P182" s="66"/>
      <c r="Q182" s="66"/>
      <c r="R182" s="66"/>
      <c r="S182" s="66"/>
      <c r="T182" s="66"/>
    </row>
    <row r="183" spans="1:20" ht="15" customHeight="1">
      <c r="A183" s="69" t="s">
        <v>884</v>
      </c>
      <c r="B183" s="69"/>
      <c r="C183" s="69"/>
      <c r="D183" s="70"/>
      <c r="E183" s="70"/>
      <c r="F183" s="79"/>
      <c r="G183" s="79"/>
      <c r="H183" s="78"/>
      <c r="I183" s="78"/>
      <c r="J183" s="78"/>
      <c r="K183" s="78"/>
      <c r="L183" s="69"/>
      <c r="M183" s="69"/>
      <c r="N183" s="69"/>
      <c r="O183" s="69"/>
      <c r="P183" s="69"/>
      <c r="Q183" s="69"/>
      <c r="R183" s="69"/>
      <c r="S183" s="69"/>
      <c r="T183" s="69"/>
    </row>
    <row r="184" spans="1:20" ht="15" customHeight="1">
      <c r="A184" s="66" t="s">
        <v>885</v>
      </c>
      <c r="B184" s="66"/>
      <c r="C184" s="66"/>
      <c r="D184" s="67"/>
      <c r="E184" s="67"/>
      <c r="F184" s="81"/>
      <c r="G184" s="81"/>
      <c r="H184" s="80"/>
      <c r="I184" s="80"/>
      <c r="J184" s="80"/>
      <c r="K184" s="80"/>
      <c r="L184" s="66"/>
      <c r="M184" s="66"/>
      <c r="N184" s="66"/>
      <c r="O184" s="66"/>
      <c r="P184" s="66"/>
      <c r="Q184" s="66"/>
      <c r="R184" s="66"/>
      <c r="S184" s="66"/>
      <c r="T184" s="66"/>
    </row>
    <row r="185" spans="1:20" ht="15" customHeight="1">
      <c r="A185" s="69" t="s">
        <v>886</v>
      </c>
      <c r="B185" s="69"/>
      <c r="C185" s="69"/>
      <c r="D185" s="70"/>
      <c r="E185" s="70"/>
      <c r="F185" s="79"/>
      <c r="G185" s="79"/>
      <c r="H185" s="78"/>
      <c r="I185" s="78"/>
      <c r="J185" s="78"/>
      <c r="K185" s="78"/>
      <c r="L185" s="69"/>
      <c r="M185" s="69"/>
      <c r="N185" s="69"/>
      <c r="O185" s="69"/>
      <c r="P185" s="69"/>
      <c r="Q185" s="69"/>
      <c r="R185" s="69"/>
      <c r="S185" s="69"/>
      <c r="T185" s="69"/>
    </row>
    <row r="186" spans="1:20" ht="15" customHeight="1">
      <c r="A186" s="66" t="s">
        <v>887</v>
      </c>
      <c r="B186" s="66"/>
      <c r="C186" s="66"/>
      <c r="D186" s="67"/>
      <c r="E186" s="67"/>
      <c r="F186" s="81"/>
      <c r="G186" s="81"/>
      <c r="H186" s="80"/>
      <c r="I186" s="80"/>
      <c r="J186" s="80"/>
      <c r="K186" s="80"/>
      <c r="L186" s="66"/>
      <c r="M186" s="66"/>
      <c r="N186" s="66"/>
      <c r="O186" s="66"/>
      <c r="P186" s="66"/>
      <c r="Q186" s="66"/>
      <c r="R186" s="66"/>
      <c r="S186" s="66"/>
      <c r="T186" s="66"/>
    </row>
    <row r="187" spans="1:20" ht="15" customHeight="1">
      <c r="A187" s="69" t="s">
        <v>888</v>
      </c>
      <c r="B187" s="69"/>
      <c r="C187" s="69"/>
      <c r="D187" s="70"/>
      <c r="E187" s="70"/>
      <c r="F187" s="79"/>
      <c r="G187" s="79"/>
      <c r="H187" s="78"/>
      <c r="I187" s="78"/>
      <c r="J187" s="78"/>
      <c r="K187" s="78"/>
      <c r="L187" s="69"/>
      <c r="M187" s="69"/>
      <c r="N187" s="69"/>
      <c r="O187" s="69"/>
      <c r="P187" s="69"/>
      <c r="Q187" s="69"/>
      <c r="R187" s="69"/>
      <c r="S187" s="69"/>
      <c r="T187" s="69"/>
    </row>
    <row r="188" spans="1:20" ht="15" customHeight="1">
      <c r="A188" s="66" t="s">
        <v>889</v>
      </c>
      <c r="B188" s="66"/>
      <c r="C188" s="66"/>
      <c r="D188" s="67"/>
      <c r="E188" s="67"/>
      <c r="F188" s="81"/>
      <c r="G188" s="81"/>
      <c r="H188" s="80"/>
      <c r="I188" s="80"/>
      <c r="J188" s="80"/>
      <c r="K188" s="80"/>
      <c r="L188" s="66"/>
      <c r="M188" s="66"/>
      <c r="N188" s="66"/>
      <c r="O188" s="66"/>
      <c r="P188" s="66"/>
      <c r="Q188" s="66"/>
      <c r="R188" s="66"/>
      <c r="S188" s="66"/>
      <c r="T188" s="66"/>
    </row>
    <row r="189" spans="1:20">
      <c r="A189" s="69"/>
      <c r="B189" s="69"/>
      <c r="C189" s="69"/>
      <c r="D189" s="70"/>
      <c r="E189" s="70"/>
      <c r="F189" s="79"/>
      <c r="G189" s="79"/>
      <c r="H189" s="78"/>
      <c r="I189" s="78"/>
      <c r="J189" s="78"/>
      <c r="K189" s="78"/>
      <c r="L189" s="69"/>
      <c r="M189" s="69"/>
      <c r="N189" s="69"/>
      <c r="O189" s="69"/>
      <c r="P189" s="69"/>
      <c r="Q189" s="69"/>
      <c r="R189" s="69"/>
      <c r="S189" s="69"/>
      <c r="T189" s="69"/>
    </row>
    <row r="190" spans="1:20">
      <c r="S190" s="61"/>
      <c r="T190" s="61"/>
    </row>
    <row r="191" spans="1:20">
      <c r="S191" s="61"/>
      <c r="T191" s="61"/>
    </row>
    <row r="192" spans="1:20">
      <c r="S192" s="61"/>
      <c r="T192" s="61"/>
    </row>
    <row r="193" spans="19:20">
      <c r="S193" s="61"/>
      <c r="T193" s="61"/>
    </row>
    <row r="194" spans="19:20">
      <c r="S194" s="61"/>
      <c r="T194" s="61"/>
    </row>
    <row r="195" spans="19:20">
      <c r="S195" s="61"/>
      <c r="T195" s="61"/>
    </row>
    <row r="196" spans="19:20">
      <c r="S196" s="61"/>
      <c r="T196" s="61"/>
    </row>
    <row r="197" spans="19:20">
      <c r="S197" s="61"/>
      <c r="T197" s="61"/>
    </row>
    <row r="198" spans="19:20">
      <c r="S198" s="61"/>
      <c r="T198" s="61"/>
    </row>
    <row r="199" spans="19:20">
      <c r="S199" s="61"/>
      <c r="T199" s="61"/>
    </row>
    <row r="200" spans="19:20">
      <c r="S200" s="61"/>
      <c r="T200" s="61"/>
    </row>
    <row r="201" spans="19:20">
      <c r="S201" s="61"/>
      <c r="T201" s="61"/>
    </row>
    <row r="202" spans="19:20">
      <c r="S202" s="61"/>
      <c r="T202" s="61"/>
    </row>
    <row r="203" spans="19:20">
      <c r="S203" s="61"/>
      <c r="T203" s="61"/>
    </row>
    <row r="204" spans="19:20">
      <c r="S204" s="61"/>
      <c r="T204" s="61"/>
    </row>
    <row r="205" spans="19:20">
      <c r="S205" s="61"/>
      <c r="T205" s="61"/>
    </row>
    <row r="206" spans="19:20">
      <c r="S206" s="61"/>
      <c r="T206" s="61"/>
    </row>
    <row r="207" spans="19:20">
      <c r="S207" s="61"/>
      <c r="T207" s="61"/>
    </row>
    <row r="208" spans="19:20">
      <c r="S208" s="61"/>
      <c r="T208" s="61"/>
    </row>
    <row r="209" spans="19:20">
      <c r="S209" s="61"/>
      <c r="T209" s="61"/>
    </row>
    <row r="210" spans="19:20">
      <c r="S210" s="61"/>
      <c r="T210" s="61"/>
    </row>
    <row r="211" spans="19:20">
      <c r="S211" s="61"/>
      <c r="T211" s="61"/>
    </row>
    <row r="212" spans="19:20">
      <c r="S212" s="61"/>
      <c r="T212" s="61"/>
    </row>
    <row r="213" spans="19:20">
      <c r="S213" s="61"/>
      <c r="T213" s="61"/>
    </row>
    <row r="214" spans="19:20">
      <c r="S214" s="61"/>
      <c r="T214" s="61"/>
    </row>
    <row r="215" spans="19:20">
      <c r="S215" s="61"/>
      <c r="T215" s="61"/>
    </row>
    <row r="216" spans="19:20">
      <c r="S216" s="61"/>
      <c r="T216" s="61"/>
    </row>
    <row r="217" spans="19:20">
      <c r="S217" s="61"/>
      <c r="T217" s="61"/>
    </row>
    <row r="218" spans="19:20">
      <c r="S218" s="61"/>
      <c r="T218" s="61"/>
    </row>
    <row r="219" spans="19:20">
      <c r="S219" s="61"/>
      <c r="T219" s="61"/>
    </row>
    <row r="220" spans="19:20">
      <c r="S220" s="61"/>
      <c r="T220" s="61"/>
    </row>
    <row r="221" spans="19:20">
      <c r="S221" s="61"/>
      <c r="T221" s="61"/>
    </row>
    <row r="222" spans="19:20">
      <c r="S222" s="61"/>
      <c r="T222" s="61"/>
    </row>
    <row r="223" spans="19:20">
      <c r="S223" s="61"/>
      <c r="T223" s="61"/>
    </row>
    <row r="224" spans="19:20">
      <c r="S224" s="61"/>
      <c r="T224" s="61"/>
    </row>
    <row r="225" spans="19:20">
      <c r="S225" s="61"/>
      <c r="T225" s="61"/>
    </row>
    <row r="226" spans="19:20">
      <c r="S226" s="61"/>
      <c r="T226" s="61"/>
    </row>
    <row r="227" spans="19:20">
      <c r="S227" s="61"/>
      <c r="T227" s="61"/>
    </row>
    <row r="228" spans="19:20">
      <c r="S228" s="61"/>
      <c r="T228" s="61"/>
    </row>
    <row r="229" spans="19:20">
      <c r="S229" s="61"/>
      <c r="T229" s="61"/>
    </row>
    <row r="230" spans="19:20">
      <c r="S230" s="61"/>
      <c r="T230" s="61"/>
    </row>
    <row r="231" spans="19:20">
      <c r="S231" s="61"/>
      <c r="T231" s="61"/>
    </row>
    <row r="232" spans="19:20">
      <c r="S232" s="61"/>
      <c r="T232" s="61"/>
    </row>
    <row r="233" spans="19:20">
      <c r="S233" s="61"/>
      <c r="T233" s="61"/>
    </row>
    <row r="234" spans="19:20">
      <c r="S234" s="61"/>
      <c r="T234" s="61"/>
    </row>
    <row r="235" spans="19:20">
      <c r="S235" s="61"/>
      <c r="T235" s="61"/>
    </row>
    <row r="236" spans="19:20">
      <c r="S236" s="61"/>
      <c r="T236" s="61"/>
    </row>
    <row r="237" spans="19:20">
      <c r="S237" s="61"/>
      <c r="T237" s="61"/>
    </row>
    <row r="238" spans="19:20">
      <c r="S238" s="61"/>
      <c r="T238" s="61"/>
    </row>
    <row r="239" spans="19:20">
      <c r="S239" s="61"/>
      <c r="T239" s="61"/>
    </row>
    <row r="240" spans="19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1-0000-0500-000000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890</v>
      </c>
      <c r="B1" s="95"/>
    </row>
    <row r="2" spans="1:8" ht="13.5" customHeight="1">
      <c r="A2" s="8" t="s">
        <v>42</v>
      </c>
      <c r="B2" s="8" t="s">
        <v>891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892</v>
      </c>
      <c r="C7" s="86" t="s">
        <v>893</v>
      </c>
      <c r="D7" s="86" t="s">
        <v>894</v>
      </c>
      <c r="E7" s="86" t="s">
        <v>895</v>
      </c>
      <c r="F7" s="86" t="s">
        <v>896</v>
      </c>
      <c r="G7" s="86" t="s">
        <v>897</v>
      </c>
      <c r="H7" s="86" t="s">
        <v>898</v>
      </c>
    </row>
    <row r="8" spans="1:8" ht="13.5" customHeight="1">
      <c r="A8" s="9" t="s">
        <v>49</v>
      </c>
      <c r="B8" s="9">
        <f>IFERROR(SUMIF(Purchases!$B:$B,$A8,Purchases!$C:$C),0)</f>
        <v>154765</v>
      </c>
      <c r="C8" s="9">
        <f>SUM($B$8:$B$10)/3</f>
        <v>118247.33333333333</v>
      </c>
      <c r="D8" s="9">
        <f>B8-C8</f>
        <v>36517.666666666672</v>
      </c>
      <c r="E8" s="9">
        <f>IF(Summary!$B$6&gt;0, Summary!$B$6*VLOOKUP($A8,$A$3:$B$5,2,FALSE()),0)</f>
        <v>0</v>
      </c>
      <c r="F8" s="9">
        <f>D8+E8</f>
        <v>36517.666666666672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18214.326666666671</v>
      </c>
    </row>
    <row r="9" spans="1:8" ht="13.5" customHeight="1">
      <c r="A9" s="11" t="s">
        <v>50</v>
      </c>
      <c r="B9" s="11">
        <f>IFERROR(SUMIF(Purchases!$B:$B,$A9,Purchases!$C:$C),0)</f>
        <v>167377</v>
      </c>
      <c r="C9" s="11">
        <f>SUM($B$8:$B$10)/3</f>
        <v>118247.33333333333</v>
      </c>
      <c r="D9" s="11">
        <f>B9-C9</f>
        <v>49129.666666666672</v>
      </c>
      <c r="E9" s="11">
        <f>IF(Summary!$B$6&gt;0, Summary!$B$6*VLOOKUP($A9,$A$3:$B$5,2,FALSE()),0)</f>
        <v>0</v>
      </c>
      <c r="F9" s="11">
        <f>D9+E9</f>
        <v>49129.666666666672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7490.3366666666698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118247.33333333333</v>
      </c>
      <c r="D10" s="9">
        <f>B10-C10</f>
        <v>-85647.333333333328</v>
      </c>
      <c r="E10" s="9">
        <f>IF(Summary!$B$6&gt;0, Summary!$B$6*VLOOKUP($A10,$A$3:$B$5,2,FALSE()),0)</f>
        <v>0</v>
      </c>
      <c r="F10" s="9">
        <f>D10+E10</f>
        <v>-85647.333333333328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-25704.66333333333</v>
      </c>
    </row>
    <row r="12" spans="1:8" s="90" customFormat="1" ht="15.75" customHeight="1">
      <c r="A12" s="96" t="s">
        <v>899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900</v>
      </c>
      <c r="C13" s="86" t="s">
        <v>901</v>
      </c>
      <c r="D13" s="86" t="s">
        <v>902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903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903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903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903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903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903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903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903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903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903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904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905</v>
      </c>
    </row>
    <row r="3" spans="1:7" s="87" customFormat="1" ht="13.5" customHeight="1">
      <c r="A3" s="86" t="s">
        <v>42</v>
      </c>
      <c r="B3" s="86" t="s">
        <v>906</v>
      </c>
      <c r="C3" s="86" t="s">
        <v>891</v>
      </c>
      <c r="D3" s="86" t="s">
        <v>907</v>
      </c>
      <c r="E3" s="86" t="s">
        <v>908</v>
      </c>
      <c r="F3" s="86" t="s">
        <v>909</v>
      </c>
      <c r="G3" s="86" t="s">
        <v>910</v>
      </c>
    </row>
    <row r="4" spans="1:7" ht="13.5" customHeight="1">
      <c r="A4" s="9" t="s">
        <v>49</v>
      </c>
      <c r="B4" s="9">
        <f>IFERROR(SUMIFS(Sales!$C:$C,Sales!$E:$E,$A4,Sales!$I:$I,"Completed"),0)</f>
        <v>283365</v>
      </c>
      <c r="C4" s="9">
        <f>VLOOKUP($A4,PartnerShares!$A$3:$B$5,2,FALSE())</f>
        <v>0.33339999999999997</v>
      </c>
      <c r="D4" s="9">
        <f>Summary!$B$4*C4</f>
        <v>113844.09759999999</v>
      </c>
      <c r="E4" s="9">
        <f>B4-D4</f>
        <v>169520.90240000002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32210.876400000008</v>
      </c>
    </row>
    <row r="5" spans="1:7" ht="13.5" customHeight="1">
      <c r="A5" s="11" t="s">
        <v>50</v>
      </c>
      <c r="B5" s="11">
        <f>IFERROR(SUMIFS(Sales!$C:$C,Sales!$E:$E,$A5,Sales!$I:$I,"Completed"),0)</f>
        <v>45569</v>
      </c>
      <c r="C5" s="11">
        <f>VLOOKUP($A5,PartnerShares!$A$3:$B$5,2,FALSE())</f>
        <v>0.3332</v>
      </c>
      <c r="D5" s="11">
        <f>Summary!$B$4*C5</f>
        <v>113775.8048</v>
      </c>
      <c r="E5" s="11">
        <f>B5-D5</f>
        <v>-68206.804799999998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3380.2372000000032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113844.09759999999</v>
      </c>
      <c r="E6" s="9">
        <f>B6-D6</f>
        <v>-101314.09759999999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-35591.113599999982</v>
      </c>
    </row>
    <row r="9" spans="1:7" ht="13.5" customHeight="1">
      <c r="A9" s="6" t="s">
        <v>0</v>
      </c>
    </row>
    <row r="10" spans="1:7" ht="13.5" customHeight="1">
      <c r="A10" s="6" t="s">
        <v>911</v>
      </c>
    </row>
    <row r="11" spans="1:7" ht="13.5" customHeight="1">
      <c r="A11" s="6" t="s">
        <v>912</v>
      </c>
    </row>
    <row r="12" spans="1:7" ht="13.5" customHeight="1">
      <c r="A12" s="6" t="s">
        <v>913</v>
      </c>
    </row>
    <row r="13" spans="1:7" ht="13.5" customHeight="1">
      <c r="A13" s="6" t="s">
        <v>914</v>
      </c>
    </row>
    <row r="14" spans="1:7" ht="13.5" customHeight="1">
      <c r="A14" s="6" t="s">
        <v>915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2026-06-03T12:21:36Z</dcterms:modified>
  <dc:language>en-US</dc:language>
</cp:coreProperties>
</file>