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A3EA5CD3-095A-FD41-813C-21E310EFA09B}" xr6:coauthVersionLast="47" xr6:coauthVersionMax="47" xr10:uidLastSave="{00000000-0000-0000-0000-000000000000}"/>
  <bookViews>
    <workbookView xWindow="0" yWindow="0" windowWidth="28800" windowHeight="18000" tabRatio="500" activeTab="5"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INVENTORY!$A$1:$T$272</definedName>
    <definedName name="_xlnm._FilterDatabase" localSheetId="3" hidden="1">Purchases!$A$1:$D$32</definedName>
    <definedName name="_xlnm._FilterDatabase" localSheetId="4" hidden="1">Sales!$A$1:$I$329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1" i="6" l="1"/>
  <c r="I261" i="6"/>
  <c r="J261" i="6"/>
  <c r="K261" i="6"/>
  <c r="H262" i="6"/>
  <c r="I262" i="6"/>
  <c r="H263" i="6"/>
  <c r="I263" i="6"/>
  <c r="J263" i="6" s="1"/>
  <c r="K263" i="6"/>
  <c r="H264" i="6"/>
  <c r="I264" i="6"/>
  <c r="J264" i="6"/>
  <c r="K264" i="6"/>
  <c r="H265" i="6"/>
  <c r="I265" i="6"/>
  <c r="J265" i="6"/>
  <c r="K265" i="6"/>
  <c r="H266" i="6"/>
  <c r="I266" i="6"/>
  <c r="J266" i="6"/>
  <c r="K266" i="6"/>
  <c r="H267" i="6"/>
  <c r="I267" i="6"/>
  <c r="J267" i="6"/>
  <c r="K267" i="6"/>
  <c r="H268" i="6"/>
  <c r="I268" i="6"/>
  <c r="J268" i="6"/>
  <c r="K268" i="6"/>
  <c r="H269" i="6"/>
  <c r="I269" i="6"/>
  <c r="J269" i="6"/>
  <c r="K269" i="6"/>
  <c r="H270" i="6"/>
  <c r="I270" i="6"/>
  <c r="J270" i="6"/>
  <c r="K270" i="6"/>
  <c r="H271" i="6"/>
  <c r="I271" i="6"/>
  <c r="J271" i="6"/>
  <c r="K271" i="6"/>
  <c r="H272" i="6"/>
  <c r="I272" i="6"/>
  <c r="J272" i="6"/>
  <c r="K272" i="6"/>
  <c r="H259" i="6"/>
  <c r="I259" i="6"/>
  <c r="J259" i="6" s="1"/>
  <c r="K259" i="6"/>
  <c r="H260" i="6"/>
  <c r="I260" i="6"/>
  <c r="J260" i="6" s="1"/>
  <c r="K260" i="6"/>
  <c r="H232" i="6"/>
  <c r="H237" i="6"/>
  <c r="I237" i="6"/>
  <c r="J237" i="6" s="1"/>
  <c r="K237" i="6"/>
  <c r="H238" i="6"/>
  <c r="I238" i="6"/>
  <c r="J238" i="6" s="1"/>
  <c r="K238" i="6"/>
  <c r="H239" i="6"/>
  <c r="I239" i="6"/>
  <c r="J239" i="6"/>
  <c r="K239" i="6"/>
  <c r="H240" i="6"/>
  <c r="I240" i="6"/>
  <c r="J240" i="6"/>
  <c r="K240" i="6"/>
  <c r="H241" i="6"/>
  <c r="I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25" i="6"/>
  <c r="I225" i="6"/>
  <c r="J225" i="6"/>
  <c r="K225" i="6"/>
  <c r="H226" i="6"/>
  <c r="I226" i="6"/>
  <c r="H227" i="6"/>
  <c r="I227" i="6"/>
  <c r="J227" i="6"/>
  <c r="K227" i="6"/>
  <c r="H228" i="6"/>
  <c r="I228" i="6"/>
  <c r="J228" i="6"/>
  <c r="K228" i="6"/>
  <c r="H229" i="6"/>
  <c r="I229" i="6"/>
  <c r="J229" i="6"/>
  <c r="K229" i="6"/>
  <c r="H230" i="6"/>
  <c r="I230" i="6"/>
  <c r="J230" i="6"/>
  <c r="K230" i="6"/>
  <c r="H231" i="6"/>
  <c r="I231" i="6"/>
  <c r="J231" i="6"/>
  <c r="K231" i="6"/>
  <c r="I232" i="6"/>
  <c r="J232" i="6"/>
  <c r="K232" i="6"/>
  <c r="H233" i="6"/>
  <c r="I233" i="6"/>
  <c r="J233" i="6"/>
  <c r="K233" i="6"/>
  <c r="H234" i="6"/>
  <c r="I234" i="6"/>
  <c r="H235" i="6"/>
  <c r="I235" i="6"/>
  <c r="J235" i="6"/>
  <c r="K235" i="6"/>
  <c r="H236" i="6"/>
  <c r="I236" i="6"/>
  <c r="H222" i="6"/>
  <c r="I222" i="6"/>
  <c r="J222" i="6" s="1"/>
  <c r="K222" i="6"/>
  <c r="H223" i="6"/>
  <c r="I223" i="6"/>
  <c r="H224" i="6"/>
  <c r="I224" i="6"/>
  <c r="J224" i="6"/>
  <c r="K224"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J226" i="6" l="1"/>
  <c r="K226" i="6"/>
  <c r="J262" i="6"/>
  <c r="K262" i="6"/>
  <c r="K223" i="6"/>
  <c r="J223" i="6"/>
  <c r="K241" i="6"/>
  <c r="J241" i="6"/>
  <c r="J242" i="6"/>
  <c r="K242" i="6"/>
  <c r="J243" i="6"/>
  <c r="K243" i="6"/>
  <c r="K244" i="6"/>
  <c r="J244" i="6"/>
  <c r="K245" i="6"/>
  <c r="J245" i="6"/>
  <c r="J246" i="6"/>
  <c r="K246" i="6"/>
  <c r="K247" i="6"/>
  <c r="J247" i="6"/>
  <c r="K248" i="6"/>
  <c r="J248" i="6"/>
  <c r="J249" i="6"/>
  <c r="K249" i="6"/>
  <c r="K250" i="6"/>
  <c r="J250" i="6"/>
  <c r="K251" i="6"/>
  <c r="J251" i="6"/>
  <c r="J252" i="6"/>
  <c r="K252" i="6"/>
  <c r="K253" i="6"/>
  <c r="J253" i="6"/>
  <c r="K254" i="6"/>
  <c r="J254" i="6"/>
  <c r="K255" i="6"/>
  <c r="J255" i="6"/>
  <c r="K256" i="6"/>
  <c r="J256" i="6"/>
  <c r="J257" i="6"/>
  <c r="K257" i="6"/>
  <c r="K258" i="6"/>
  <c r="J258" i="6"/>
  <c r="J234" i="6"/>
  <c r="K234" i="6"/>
  <c r="K236" i="6"/>
  <c r="J236"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<sst xmlns="http://schemas.openxmlformats.org/spreadsheetml/2006/main" count="3535" uniqueCount="1396">
  <si>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</si>
  <si>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</si>
  <si>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</si>
  <si>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</si>
  <si>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</si>
  <si>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</si>
  <si>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</si>
  <si>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</si>
  <si>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</si>
  <si>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</si>
  <si>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</si>
  <si>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</si>
  <si>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</si>
  <si>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</si>
  <si>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</si>
  <si>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</si>
  <si>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</si>
  <si>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</si>
  <si>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</si>
  <si>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</si>
  <si>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</si>
  <si>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</si>
  <si>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</si>
  <si>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</si>
  <si>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</si>
  <si>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</si>
  <si>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</si>
  <si>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</si>
  <si>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</si>
  <si>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</si>
  <si>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</si>
  <si>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</si>
  <si>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</si>
  <si>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</si>
  <si>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</si>
  <si>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</si>
  <si>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</si>
  <si>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</si>
  <si>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</si>
  <si>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</si>
  <si>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</si>
  <si>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</si>
  <si>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</si>
  <si>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</si>
  <si>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</si>
  <si>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</si>
  <si>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</si>
  <si>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</si>
  <si>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</si>
  <si>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</si>
  <si>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</si>
  <si>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</si>
  <si>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</si>
  <si>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</si>
  <si>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</si>
  <si>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</si>
  <si>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</si>
  <si>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</si>
  <si>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</si>
  <si>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</si>
  <si>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</si>
  <si>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</si>
  <si>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</si>
  <si>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</si>
  <si>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</si>
  <si>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</si>
  <si>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</si>
  <si>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</si>
  <si>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</si>
  <si>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</si>
  <si>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</si>
  <si>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</si>
  <si>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</si>
  <si>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</si>
  <si>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</si>
  <si>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</si>
  <si>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</si>
  <si>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</si>
  <si>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</si>
  <si>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</si>
  <si>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</si>
  <si>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</si>
  <si>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</si>
  <si>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</si>
  <si>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</si>
  <si>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</si>
  <si>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</si>
  <si>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</si>
  <si>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</si>
  <si>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</si>
  <si>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</si>
  <si>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</si>
  <si>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</si>
  <si>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</si>
  <si>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</si>
  <si>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</si>
  <si>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</si>
  <si>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</si>
  <si>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</si>
  <si>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</si>
  <si>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</si>
  <si>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</si>
  <si>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</si>
  <si>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</si>
  <si>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</si>
  <si>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</si>
  <si>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</si>
  <si>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</si>
  <si>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</si>
  <si>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</si>
  <si>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</si>
  <si>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</si>
  <si>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</si>
  <si>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</si>
  <si>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</si>
  <si>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</si>
  <si>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</si>
  <si>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</si>
  <si>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</si>
  <si>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</si>
  <si>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</si>
  <si>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</si>
  <si>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</si>
  <si>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</si>
  <si>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</si>
  <si>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</si>
  <si>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</si>
  <si>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</si>
  <si>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</si>
  <si>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</si>
  <si>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</si>
  <si>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</si>
  <si>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</si>
  <si>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</si>
  <si>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</si>
  <si>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</si>
  <si>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</si>
  <si>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</si>
  <si>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</si>
  <si>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</si>
  <si>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</si>
  <si>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</si>
  <si>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</si>
  <si>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</si>
  <si>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</si>
  <si>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</si>
  <si>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</si>
  <si>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</si>
  <si>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</si>
  <si>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</si>
  <si>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</si>
  <si>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</si>
  <si>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</si>
  <si>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</si>
  <si>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</si>
  <si>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</si>
  <si>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</si>
  <si>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</si>
  <si>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</si>
  <si>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</si>
  <si>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</si>
  <si>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</si>
  <si>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</si>
  <si>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</si>
  <si>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</si>
  <si>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</si>
  <si>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</si>
  <si>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</si>
  <si>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</si>
  <si>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</si>
  <si>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</si>
  <si>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</si>
  <si>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</si>
  <si>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</si>
  <si>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</si>
  <si>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</si>
  <si>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</si>
  <si>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</si>
  <si>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</si>
  <si>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</si>
  <si>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</si>
  <si>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</si>
  <si>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</si>
  <si>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</si>
  <si>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</si>
  <si>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</si>
  <si>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</si>
  <si>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</si>
  <si>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</si>
  <si>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</si>
  <si>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</si>
  <si>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</si>
  <si>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</si>
  <si>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</si>
  <si>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</si>
  <si>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</si>
  <si>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</si>
  <si>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</si>
  <si>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</si>
  <si>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</si>
  <si>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</si>
  <si>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</si>
  <si>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</si>
  <si>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</si>
  <si>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</si>
  <si>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</si>
  <si>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</si>
  <si>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</si>
  <si>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</si>
  <si>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</si>
  <si>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</si>
  <si>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</si>
  <si>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</si>
  <si>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</si>
  <si>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</si>
  <si>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</si>
  <si>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</si>
  <si>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</si>
  <si>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</si>
  <si>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</si>
  <si>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</si>
  <si>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</si>
  <si>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</si>
  <si>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</si>
  <si>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</si>
  <si>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</si>
  <si>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</si>
  <si>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</si>
  <si>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</si>
  <si>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</si>
  <si>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</si>
  <si>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</si>
  <si>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</si>
  <si>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</si>
  <si>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</si>
  <si>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</si>
  <si>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</si>
  <si>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</si>
  <si>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</si>
  <si>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</si>
  <si>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</si>
  <si>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</si>
  <si>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</si>
  <si>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</si>
  <si>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</si>
  <si>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</si>
  <si>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</si>
  <si>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</si>
  <si>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</si>
  <si>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</si>
  <si>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</si>
  <si>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</si>
  <si>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</si>
  <si>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</si>
  <si>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</si>
  <si>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</si>
  <si>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</si>
  <si>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</si>
  <si>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</si>
  <si>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</si>
  <si>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</si>
  <si>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</si>
  <si>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</si>
  <si>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</si>
  <si>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</si>
  <si>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</si>
  <si>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</si>
  <si>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</si>
  <si>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</si>
  <si>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</si>
  <si>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</si>
  <si>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</si>
  <si>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</si>
  <si>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</si>
  <si>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</si>
  <si>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</si>
  <si>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</si>
  <si>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</si>
  <si>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</si>
  <si>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</si>
  <si>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</si>
  <si>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</si>
  <si>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</si>
  <si>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</si>
  <si>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</si>
  <si>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</si>
  <si>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</si>
  <si>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</si>
  <si>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</si>
  <si>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</si>
  <si>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</si>
  <si>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</si>
  <si>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</si>
  <si>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</si>
  <si>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</si>
  <si>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</si>
  <si>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</si>
  <si>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</si>
  <si>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</si>
  <si>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</si>
  <si>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</si>
  <si>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</si>
  <si>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</si>
  <si>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</si>
  <si>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</si>
  <si>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</si>
  <si>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</si>
  <si>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</si>
  <si>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</si>
  <si>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</si>
  <si>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</si>
  <si>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</si>
  <si>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</si>
  <si>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</si>
  <si>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</si>
  <si>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</si>
  <si>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</si>
  <si>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</si>
  <si>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</si>
  <si>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</si>
  <si>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</si>
  <si>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</si>
  <si>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</si>
  <si>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</si>
  <si>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</si>
  <si>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</si>
  <si>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</si>
  <si>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</si>
  <si>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</si>
  <si>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</si>
  <si>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</si>
  <si>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</si>
  <si>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</si>
  <si>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</si>
  <si>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</si>
  <si>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</si>
  <si>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</si>
  <si>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</si>
  <si>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</si>
  <si>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</si>
  <si>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</si>
  <si>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</si>
  <si>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</si>
  <si>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</si>
  <si>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</si>
  <si>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</si>
  <si>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</si>
  <si>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</si>
  <si>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</si>
  <si>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</si>
  <si>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</si>
  <si>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</si>
  <si>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</si>
  <si>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</si>
  <si>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</si>
  <si>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</si>
  <si>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</si>
  <si>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</si>
  <si>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</si>
  <si>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</si>
  <si>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</si>
  <si>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</si>
  <si>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</si>
  <si>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</si>
  <si>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</si>
  <si>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</si>
  <si>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</si>
  <si>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</si>
  <si>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</si>
  <si>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</si>
  <si>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</si>
  <si>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</si>
  <si>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</si>
  <si>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</si>
  <si>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</si>
  <si>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</si>
  <si>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</si>
  <si>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</si>
  <si>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</si>
  <si>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</si>
  <si>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</si>
  <si>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</si>
  <si>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</si>
  <si>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</si>
  <si>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</si>
  <si>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</si>
  <si>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</si>
  <si>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</si>
  <si>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</si>
  <si>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</si>
  <si>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</si>
  <si>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</si>
  <si>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</si>
  <si>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</si>
  <si>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</si>
  <si>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</si>
  <si>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</si>
  <si>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</si>
  <si>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</si>
  <si>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</si>
  <si>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</si>
  <si>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</si>
  <si>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</si>
  <si>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</si>
  <si>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</si>
  <si>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</si>
  <si>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</si>
  <si>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</si>
  <si>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</si>
  <si>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</si>
  <si>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</si>
  <si>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</si>
  <si>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</si>
  <si>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</si>
  <si>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</si>
  <si>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</si>
  <si>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</si>
  <si>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</si>
  <si>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</si>
  <si>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</si>
  <si>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</si>
  <si>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</si>
  <si>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</si>
  <si>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</si>
  <si>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</si>
  <si>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</si>
  <si>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</si>
  <si>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</si>
  <si>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</si>
  <si>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</si>
  <si>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</si>
  <si>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</si>
  <si>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</si>
  <si>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</si>
  <si>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</si>
  <si>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</si>
  <si>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</si>
  <si>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</si>
  <si>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</si>
  <si>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</si>
  <si>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</si>
  <si>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</si>
  <si>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</si>
  <si>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</si>
  <si>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</si>
  <si>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</si>
  <si>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</si>
  <si>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</si>
  <si>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</si>
  <si>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</si>
  <si>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</si>
  <si>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</si>
  <si>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</si>
  <si>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</si>
  <si>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</si>
  <si>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</si>
  <si>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</si>
  <si>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</si>
  <si>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</si>
  <si>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</si>
  <si>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</si>
  <si>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</si>
  <si>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</si>
  <si>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</si>
  <si>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</si>
  <si>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</si>
  <si>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</si>
  <si>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</si>
  <si>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</si>
  <si>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</si>
  <si>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</si>
  <si>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</si>
  <si>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</si>
  <si>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</si>
  <si>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</si>
  <si>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</si>
  <si>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</si>
  <si>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</si>
  <si>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</si>
  <si>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</si>
  <si>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</si>
  <si>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</si>
  <si>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</si>
  <si>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</si>
  <si>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</si>
  <si>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</si>
  <si>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</si>
  <si>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</si>
  <si>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</si>
  <si>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</si>
  <si>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</si>
  <si>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</si>
  <si>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</si>
  <si>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</si>
  <si>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</si>
  <si>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</si>
  <si>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</si>
  <si>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</si>
  <si>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</si>
  <si>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</si>
  <si>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</si>
  <si>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</si>
  <si>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</si>
  <si>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</si>
  <si>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</si>
  <si>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</si>
  <si>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</si>
  <si>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</si>
  <si>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</si>
  <si>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</si>
  <si>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</si>
  <si>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</si>
  <si>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</si>
  <si>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</si>
  <si>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</si>
  <si>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</si>
  <si>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</si>
  <si>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</si>
  <si>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</si>
  <si>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</si>
  <si>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</si>
  <si>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</si>
  <si>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</si>
  <si>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</si>
  <si>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</si>
  <si>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</si>
  <si>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</si>
  <si>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</si>
  <si>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</si>
  <si>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</si>
  <si>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</si>
  <si>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</si>
  <si>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</si>
  <si>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</si>
  <si>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</si>
  <si>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</si>
  <si>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</si>
  <si>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</si>
  <si>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</si>
  <si>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</si>
  <si>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</si>
  <si>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</si>
  <si>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</si>
  <si>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</si>
  <si>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</si>
  <si>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</si>
  <si>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</si>
  <si>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</si>
  <si>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</si>
  <si>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</si>
  <si>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</si>
  <si>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</si>
  <si>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</si>
  <si>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</si>
  <si>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</si>
  <si>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</si>
  <si>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</si>
  <si>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</si>
  <si>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</si>
  <si>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</si>
  <si>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</si>
  <si>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</si>
  <si>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</si>
  <si>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</si>
  <si>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</si>
  <si>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</si>
  <si>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</si>
  <si>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</si>
  <si>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</si>
  <si>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</si>
  <si>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</si>
  <si>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</si>
  <si>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</si>
  <si>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</si>
  <si>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</si>
  <si>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</si>
  <si>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</si>
  <si>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</si>
  <si>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</si>
  <si>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</si>
  <si>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</si>
  <si>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</si>
  <si>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</si>
  <si>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</si>
  <si>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</si>
  <si>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</si>
  <si>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</si>
  <si>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</si>
  <si>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</si>
  <si>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</si>
  <si>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</si>
  <si>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</si>
  <si>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</si>
  <si>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</si>
  <si>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</si>
  <si>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</si>
  <si>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</si>
  <si>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</si>
  <si>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</si>
  <si>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</si>
  <si>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</si>
  <si>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</si>
  <si>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</si>
  <si>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</si>
  <si>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</si>
  <si>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</si>
  <si>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</si>
  <si>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</si>
  <si>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</si>
  <si>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</si>
  <si>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</si>
  <si>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</si>
  <si>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</si>
  <si>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</si>
  <si>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</si>
  <si>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</si>
  <si>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</si>
  <si>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</si>
  <si>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</si>
  <si>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</si>
  <si>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</si>
  <si>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</si>
  <si>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</si>
  <si>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</si>
  <si>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</si>
  <si>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</si>
  <si>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</si>
  <si>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</si>
  <si>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</si>
  <si>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</si>
  <si>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</si>
  <si>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</si>
  <si>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</si>
  <si>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</si>
  <si>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</si>
  <si>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</si>
  <si>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</si>
  <si>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</si>
  <si>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</si>
  <si>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</si>
  <si>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</si>
  <si>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</si>
  <si>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</si>
  <si>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</si>
  <si>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</si>
  <si>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</si>
  <si>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</si>
  <si>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</si>
  <si>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</si>
  <si>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</si>
  <si>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</si>
  <si>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</si>
  <si>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</si>
  <si>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</si>
  <si>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</si>
  <si>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</si>
  <si>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</si>
  <si>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</si>
  <si>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</si>
  <si>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</si>
  <si>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</si>
  <si>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</si>
  <si>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</si>
  <si>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</si>
  <si>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</si>
  <si>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</si>
  <si>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</si>
  <si>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</si>
  <si>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</si>
  <si>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</si>
  <si>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</si>
  <si>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</si>
  <si>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</si>
  <si>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</si>
  <si>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</si>
  <si>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</si>
  <si>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</si>
  <si>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</si>
  <si>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</si>
  <si>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</si>
  <si>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</si>
  <si>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</si>
  <si>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</si>
  <si>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</si>
  <si>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</si>
  <si>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</si>
  <si>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</si>
  <si>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</si>
  <si>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</si>
  <si>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</si>
  <si>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</si>
  <si>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</si>
  <si>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</si>
  <si>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</si>
  <si>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CHR-84</t>
  </si>
  <si>
    <t>Soft cotton salwar 3 piece set (Indigo/royal blue) Ajrakh print</t>
  </si>
  <si>
    <t>Susmi (M), Susheela(Kannur)XL-950, Indu(XXL)-650</t>
  </si>
  <si>
    <t>CHR-85</t>
  </si>
  <si>
    <t>Linen Blend cotton Salwar Set- 3 piece (lavender with ajrakh print)</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</si>
  <si>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</si>
  <si>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</si>
  <si>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</si>
  <si>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</si>
  <si>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</si>
  <si>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</si>
  <si>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</si>
  <si>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</si>
  <si>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</si>
  <si>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</si>
  <si>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</si>
  <si>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</si>
  <si>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</si>
  <si>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</si>
  <si>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</si>
  <si>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</si>
  <si>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</si>
  <si>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</si>
  <si>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</si>
  <si>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</si>
  <si>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</si>
  <si>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</si>
  <si>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</si>
  <si>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</si>
  <si>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</si>
  <si>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</si>
  <si>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</si>
  <si>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</si>
  <si>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</si>
  <si>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</si>
  <si>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</si>
  <si>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</si>
  <si>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</si>
  <si>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</si>
  <si>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</si>
  <si>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</si>
  <si>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</si>
  <si>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</si>
  <si>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</si>
  <si>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</si>
  <si>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</si>
  <si>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</si>
  <si>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</si>
  <si>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</si>
  <si>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</si>
  <si>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</si>
  <si>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</si>
  <si>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</si>
  <si>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</si>
  <si>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</si>
  <si>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</si>
  <si>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</si>
  <si>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</si>
  <si>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</si>
  <si>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</si>
  <si>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</si>
  <si>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</si>
  <si>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</si>
  <si>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</si>
  <si>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</si>
  <si>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</si>
  <si>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</si>
  <si>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</si>
  <si>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</si>
  <si>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</si>
  <si>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</si>
  <si>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</si>
  <si>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</si>
  <si>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</si>
  <si>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</si>
  <si>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</si>
  <si>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</si>
  <si>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</si>
  <si>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</si>
  <si>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</si>
  <si>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</si>
  <si>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</si>
  <si>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</si>
  <si>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</si>
  <si>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</si>
  <si>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</si>
  <si>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</si>
  <si>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</si>
  <si>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</si>
  <si>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</si>
  <si>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</si>
  <si>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</si>
  <si>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</si>
  <si>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</si>
  <si>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</si>
  <si>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</si>
  <si>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</si>
  <si>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</si>
  <si>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</si>
  <si>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</si>
  <si>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</si>
  <si>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</si>
  <si>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</si>
  <si>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</si>
  <si>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</si>
  <si>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</si>
  <si>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</si>
  <si>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</si>
  <si>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</si>
  <si>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</si>
  <si>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</si>
  <si>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</si>
  <si>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</si>
  <si>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</si>
  <si>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</si>
  <si>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</si>
  <si>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</si>
  <si>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</si>
  <si>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</si>
  <si>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</si>
  <si>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</si>
  <si>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</si>
  <si>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</si>
  <si>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</si>
  <si>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</si>
  <si>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</si>
  <si>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</si>
  <si>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</si>
  <si>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</si>
  <si>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</si>
  <si>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</si>
  <si>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</si>
  <si>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</si>
  <si>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</si>
  <si>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</si>
  <si>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</si>
  <si>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</si>
  <si>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</si>
  <si>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</si>
  <si>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</si>
  <si>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</si>
  <si>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</si>
  <si>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</si>
  <si>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</si>
  <si>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</si>
  <si>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</si>
  <si>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</si>
  <si>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</si>
  <si>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</si>
  <si>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</si>
  <si>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</si>
  <si>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</si>
  <si>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</si>
  <si>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</si>
  <si>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</si>
  <si>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</si>
  <si>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</si>
  <si>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</si>
  <si>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</si>
  <si>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</si>
  <si>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</si>
  <si>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</si>
  <si>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</si>
  <si>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</si>
  <si>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</si>
  <si>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</si>
  <si>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</si>
  <si>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</si>
  <si>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</si>
  <si>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</si>
  <si>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</si>
  <si>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</si>
  <si>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</si>
  <si>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</si>
  <si>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</si>
  <si>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</si>
  <si>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</si>
  <si>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</si>
  <si>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</si>
  <si>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</si>
  <si>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</si>
  <si>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</si>
  <si>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</si>
  <si>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</si>
  <si>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</si>
  <si>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</si>
  <si>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</si>
  <si>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</si>
  <si>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</si>
  <si>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</si>
  <si>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</si>
  <si>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</si>
  <si>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</si>
  <si>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</si>
  <si>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</si>
  <si>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</si>
  <si>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</si>
  <si>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</si>
  <si>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</si>
  <si>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</si>
  <si>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</si>
  <si>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</si>
  <si>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</si>
  <si>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</si>
  <si>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</si>
  <si>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</si>
  <si>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</si>
  <si>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</si>
  <si>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</si>
  <si>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</si>
  <si>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</si>
  <si>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</si>
  <si>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</si>
  <si>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</si>
  <si>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</si>
  <si>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</si>
  <si>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</si>
  <si>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</si>
  <si>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</si>
  <si>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</si>
  <si>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</si>
  <si>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</si>
  <si>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</si>
  <si>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</si>
  <si>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</si>
  <si>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</si>
  <si>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</si>
  <si>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</si>
  <si>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</si>
  <si>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</si>
  <si>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</si>
  <si>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</si>
  <si>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</si>
  <si>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</si>
  <si>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</si>
  <si>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</si>
  <si>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</si>
  <si>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</si>
  <si>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</si>
  <si>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</si>
  <si>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</si>
  <si>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</si>
  <si>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</si>
  <si>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</si>
  <si>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</si>
  <si>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</si>
  <si>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</si>
  <si>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</si>
  <si>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</si>
  <si>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</si>
  <si>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</si>
  <si>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</si>
  <si>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</si>
  <si>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</si>
  <si>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</si>
  <si>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</si>
  <si>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</si>
  <si>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</si>
  <si>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</si>
  <si>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</si>
  <si>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</si>
  <si>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</si>
  <si>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</si>
  <si>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</si>
  <si>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</si>
  <si>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</si>
  <si>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</si>
  <si>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</si>
  <si>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</si>
  <si>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</si>
  <si>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</si>
  <si>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</si>
  <si>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</si>
  <si>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</si>
  <si>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</si>
  <si>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</si>
  <si>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</si>
  <si>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</si>
  <si>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</si>
  <si>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</si>
  <si>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</si>
  <si>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</si>
  <si>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</si>
  <si>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</si>
  <si>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</si>
  <si>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</si>
  <si>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</si>
  <si>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</si>
  <si>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</si>
  <si>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</si>
  <si>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</si>
  <si>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</si>
  <si>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</si>
  <si>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</si>
  <si>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</si>
  <si>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</si>
  <si>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</si>
  <si>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</si>
  <si>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</si>
  <si>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</si>
  <si>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</si>
  <si>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</si>
  <si>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</si>
  <si>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</si>
  <si>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</si>
  <si>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</si>
  <si>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</si>
  <si>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</si>
  <si>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</si>
  <si>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</si>
  <si>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</si>
  <si>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</si>
  <si>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</si>
  <si>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</si>
  <si>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</si>
  <si>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</si>
  <si>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</si>
  <si>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</si>
  <si>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</si>
  <si>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</si>
  <si>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</si>
  <si>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</si>
  <si>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</si>
  <si>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</si>
  <si>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</si>
  <si>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</si>
  <si>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</si>
  <si>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</si>
  <si>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</si>
  <si>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</si>
  <si>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</si>
  <si>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</si>
  <si>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</si>
  <si>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</si>
  <si>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</si>
  <si>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</si>
  <si>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</si>
  <si>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</si>
  <si>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</si>
  <si>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</si>
  <si>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</si>
  <si>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</si>
  <si>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</si>
  <si>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</si>
  <si>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</si>
  <si>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</si>
  <si>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</si>
  <si>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</si>
  <si>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</si>
  <si>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</si>
  <si>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</si>
  <si>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</si>
  <si>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</si>
  <si>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</si>
  <si>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</si>
  <si>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</si>
  <si>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</si>
  <si>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</si>
  <si>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</si>
  <si>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</si>
  <si>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</si>
  <si>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</si>
  <si>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</si>
  <si>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</si>
  <si>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</si>
  <si>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</si>
  <si>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</si>
  <si>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</si>
  <si>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</si>
  <si>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</si>
  <si>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</si>
  <si>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</si>
  <si>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</si>
  <si>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</si>
  <si>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</si>
  <si>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</si>
  <si>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</si>
  <si>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</si>
  <si>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</si>
  <si>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</si>
  <si>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</si>
  <si>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</si>
  <si>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</si>
  <si>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</si>
  <si>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</si>
  <si>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</si>
  <si>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</si>
  <si>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</si>
  <si>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</si>
  <si>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</si>
  <si>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</si>
  <si>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</si>
  <si>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</si>
  <si>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</si>
  <si>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</si>
  <si>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</si>
  <si>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</si>
  <si>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</si>
  <si>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</si>
  <si>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</si>
  <si>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</si>
  <si>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</si>
  <si>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</si>
  <si>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</si>
  <si>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</si>
  <si>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</si>
  <si>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</si>
  <si>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</si>
  <si>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</si>
  <si>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</si>
  <si>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</si>
  <si>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</si>
  <si>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</si>
  <si>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</si>
  <si>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</si>
  <si>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</si>
  <si>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</si>
  <si>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</si>
  <si>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</si>
  <si>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</si>
  <si>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</si>
  <si>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</si>
  <si>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</si>
  <si>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</si>
  <si>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</si>
  <si>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</si>
  <si>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</si>
  <si>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</si>
  <si>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</si>
  <si>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</si>
  <si>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</si>
  <si>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</si>
  <si>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</si>
  <si>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</si>
  <si>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</si>
  <si>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</si>
  <si>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</si>
  <si>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</si>
  <si>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</si>
  <si>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</si>
  <si>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</si>
  <si>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</si>
  <si>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</si>
  <si>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</si>
  <si>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</si>
  <si>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</si>
  <si>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</si>
  <si>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</si>
  <si>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</si>
  <si>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</si>
  <si>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</si>
  <si>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</si>
  <si>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</si>
  <si>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</si>
  <si>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</si>
  <si>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</si>
  <si>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</si>
  <si>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</si>
  <si>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</si>
  <si>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</si>
  <si>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</si>
  <si>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</si>
  <si>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</si>
  <si>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</si>
  <si>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</si>
  <si>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</si>
  <si>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</si>
  <si>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</si>
  <si>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</si>
  <si>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</si>
  <si>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</si>
  <si>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</si>
  <si>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Churi material with pant &amp; shawl</t>
  </si>
  <si>
    <t>Matka Silk Saree</t>
  </si>
  <si>
    <t>Matka Printed Saree</t>
  </si>
  <si>
    <t>Coffee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</si>
  <si>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</si>
  <si>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</si>
  <si>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</si>
  <si>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</si>
  <si>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</si>
  <si>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</si>
  <si>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</si>
  <si>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</si>
  <si>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</si>
  <si>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</si>
  <si>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</si>
  <si>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</si>
  <si>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</si>
  <si>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</si>
  <si>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</si>
  <si>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</si>
  <si>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</si>
  <si>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</si>
  <si>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</si>
  <si>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</si>
  <si>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</si>
  <si>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</si>
  <si>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</si>
  <si>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</si>
  <si>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</si>
  <si>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</si>
  <si>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</si>
  <si>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</si>
  <si>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</si>
  <si>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</si>
  <si>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</si>
  <si>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</si>
  <si>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</si>
  <si>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</si>
  <si>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</si>
  <si>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</si>
  <si>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</si>
  <si>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</si>
  <si>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</si>
  <si>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</si>
  <si>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</si>
  <si>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</si>
  <si>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</si>
  <si>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</si>
  <si>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</si>
  <si>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</si>
  <si>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</si>
  <si>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</si>
  <si>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</si>
  <si>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</si>
  <si>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</si>
  <si>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</si>
  <si>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</si>
  <si>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</si>
  <si>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</si>
  <si>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</si>
  <si>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</si>
  <si>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</si>
  <si>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</si>
  <si>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</si>
  <si>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</si>
  <si>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</si>
  <si>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</si>
  <si>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</si>
  <si>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</si>
  <si>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</si>
  <si>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</si>
  <si>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</si>
  <si>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</si>
  <si>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</si>
  <si>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</si>
  <si>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</si>
  <si>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</si>
  <si>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</si>
  <si>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</si>
  <si>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Blue - returned</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</si>
  <si>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</si>
  <si>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</si>
  <si>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</si>
  <si>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</si>
  <si>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</si>
  <si>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</si>
  <si>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</si>
  <si>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</si>
  <si>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</si>
  <si>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</si>
  <si>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</si>
  <si>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</si>
  <si>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</si>
  <si>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</si>
  <si>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</si>
  <si>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</si>
  <si>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</si>
  <si>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</si>
  <si>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</si>
  <si>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</si>
  <si>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</si>
  <si>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</si>
  <si>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</si>
  <si>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</si>
  <si>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</si>
  <si>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</si>
  <si>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</si>
  <si>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</si>
  <si>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</si>
  <si>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</si>
  <si>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</si>
  <si>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</si>
  <si>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</si>
  <si>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</si>
  <si>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</si>
  <si>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</si>
  <si>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</si>
  <si>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</si>
  <si>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</si>
  <si>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</si>
  <si>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</si>
  <si>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</si>
  <si>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</si>
  <si>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</si>
  <si>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</si>
  <si>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</si>
  <si>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</si>
  <si>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</si>
  <si>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</si>
  <si>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</si>
  <si>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</si>
  <si>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</si>
  <si>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</si>
  <si>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</si>
  <si>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CHR-212 - Purple, CHR-235 - Black Red - 1000 advance, 750 pending</t>
  </si>
  <si>
    <t>Dr.Reshna - Yellow/Black, Shylaja - Black/Red</t>
  </si>
  <si>
    <t>Pink with Silver Butas,  Wine/Green</t>
  </si>
  <si>
    <t>Tennish</t>
  </si>
  <si>
    <t>CHR-225 Black Tusshar</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</si>
  <si>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</si>
  <si>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</si>
  <si>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</si>
  <si>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</si>
  <si>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</si>
  <si>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</si>
  <si>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</si>
  <si>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</si>
  <si>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</si>
  <si>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</si>
  <si>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</si>
  <si>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</si>
  <si>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</si>
  <si>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</si>
  <si>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</si>
  <si>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</si>
  <si>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</si>
  <si>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</si>
  <si>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</si>
  <si>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</si>
  <si>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</si>
  <si>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</si>
  <si>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</si>
  <si>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</si>
  <si>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</si>
  <si>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</si>
  <si>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</si>
  <si>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</si>
  <si>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</si>
  <si>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Latha Ammayi</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</si>
  <si>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</si>
  <si>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</si>
  <si>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</si>
  <si>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</si>
  <si>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</si>
  <si>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</si>
  <si>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</si>
  <si>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</si>
  <si>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</si>
  <si>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</si>
  <si>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</si>
  <si>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</si>
  <si>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</si>
  <si>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</si>
  <si>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</si>
  <si>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</si>
  <si>
    <t xml:space="preserve">
White(3), maroon(3), Jet Black (5)</t>
  </si>
  <si>
    <t>CHR-259</t>
  </si>
  <si>
    <t>CHR-260</t>
  </si>
  <si>
    <t>CHR-261</t>
  </si>
  <si>
    <t>CHR-262</t>
  </si>
  <si>
    <t>CHR-263</t>
  </si>
  <si>
    <t>CHR-264</t>
  </si>
  <si>
    <t>418043 sarees kamana - Tissue silk saree with Woven Zari Bird Motifs</t>
  </si>
  <si>
    <t>Teal Green, Mauve Purple, Deep Red / Maroon</t>
  </si>
  <si>
    <t>421299 Sarees Vigyan Silk - Printed Semi Silk Saree with Lotus Motifs</t>
  </si>
  <si>
    <t>Chocolate Brown, Plum Purple, Forest Green, Maroon, Navy Blue</t>
  </si>
  <si>
    <t>418159 sarees rang Maya - Printed Silk Saree with Floral Vine Motifs</t>
  </si>
  <si>
    <t>Beige and Peach</t>
  </si>
  <si>
    <t>426376 Sarees Batik Silk Saree collection - Wax Batik Silk Saree with Traditional Motifs</t>
  </si>
  <si>
    <t>Crimson Red, Deep Wine, Black, Navy Blue, Rust Orange</t>
  </si>
  <si>
    <t>419135 sarees mul mun line - Khadi Saree</t>
  </si>
  <si>
    <t>424755 sarees satin - Silk Saree with Zari Border and Separate Brocade Blouse</t>
  </si>
  <si>
    <t>Beige and Dark Green, Beige and Maroon, Mustard Yellow and Dark Green, Magenta Pink and Royal Blue</t>
  </si>
  <si>
    <t>Teal Blue and Silver, Royal Blue and Silver, Teal Green and Magenta Pink</t>
  </si>
  <si>
    <t>Prabha Chidambaram - Green, Wine red returned, Blue - Lakshmi</t>
  </si>
  <si>
    <t>Red - retruned, Olive green returned</t>
  </si>
  <si>
    <t>CHR-79 Indigo Blue Salwar</t>
  </si>
  <si>
    <t>CHR-76 (XXL Plus white salwar)</t>
  </si>
  <si>
    <t>CHR-182 (Yellow Linen Saree with Lotus, CHR-217 cream/gold with stars and paisley &amp; cream/gold with flowers, CHR-212 Green elephant print, CHR-245 - Kerala Kasavu Tissue Set Mundu - 2250 advance, 1350 - pending</t>
  </si>
  <si>
    <t>Shobhana (Bank cleaning staff)</t>
  </si>
  <si>
    <t>Green, Pink, Wine</t>
  </si>
  <si>
    <t>Tussar Silk Saree Collection</t>
  </si>
  <si>
    <t xml:space="preserve">Temple Design, CHR-240 New Kerala Golden Saree with flowers, CHR-242-Kerala Saree, CHR-230 - Jute Silk </t>
  </si>
  <si>
    <t>Anu Mathew (Canada)</t>
  </si>
  <si>
    <t>Reetha Peethambaran, Anu Mathew (Canada)</t>
  </si>
  <si>
    <t>CHR-255 new chikku green</t>
  </si>
  <si>
    <t>CHR-218 Soft mul purple, CHR-299 Modal blue</t>
  </si>
  <si>
    <t>Dark Grey - returned, Purple - Lakshmi</t>
  </si>
  <si>
    <t>Aparna</t>
  </si>
  <si>
    <t>Size: XL</t>
  </si>
  <si>
    <t>Silpa (600) - L, Aparna (500) - M</t>
  </si>
  <si>
    <t>CHR-83 Coord set-M, CHR-77 Rose Salwar M</t>
  </si>
  <si>
    <t>Saida (1400), Binija (1560), Shinoob Cousin(1000), Aparna (950)</t>
  </si>
  <si>
    <t>Baby Khadeeja - 1400, Rameez Relative(XXL): 900, Aneesha(M)-950</t>
  </si>
  <si>
    <t>Size: L</t>
  </si>
  <si>
    <t>Aneesha</t>
  </si>
  <si>
    <t>CHR-85 Linen Lavender Salwar M</t>
  </si>
  <si>
    <t>Light blue/onion peel, rani pink, olive green(2)</t>
  </si>
  <si>
    <t>Shylaja - Purple, Jisha - Blue, Bank staff - Green, Rajna - Yellow/Orange, 4 returned</t>
  </si>
  <si>
    <t>Returns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</si>
</sst>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7">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xf numFmtId="0" fontId="26" fillId="8" borderId="2" xfId="0" applyFont="1" applyFill="1" applyBorder="1" applyAlignment="1">
      <alignment horizontal="right" vertical="center" wrapText="1"/>
    </xf>
    <xf numFmtId="0" fontId="26" fillId="8" borderId="2" xfId="0" applyFont="1" applyFill="1" applyBorder="1" applyAlignment="1">
      <alignment horizontal="left" vertical="center" wrapText="1"/>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366</c:v>
                </c:pt>
                <c:pt idx="1">
                  <c:v>102</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85</c:v>
                </c:pt>
                <c:pt idx="1">
                  <c:v>62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67003</c:v>
                </c:pt>
                <c:pt idx="1">
                  <c:v>-191178.99333333335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-5678</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72915</c:v>
                </c:pt>
                <c:pt idx="6">
                  <c:v>65156</c:v>
                </c:pt>
                <c:pt idx="7">
                  <c:v>79098</c:v>
                </c:pt>
                <c:pt idx="8">
                  <c:v>6180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-26128</c:v>
                </c:pt>
                <c:pt idx="6">
                  <c:v>-37044</c:v>
                </c:pt>
                <c:pt idx="7">
                  <c:v>33250</c:v>
                </c:pt>
                <c:pt idx="8">
                  <c:v>11858</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473</c:v>
                </c:pt>
                <c:pt idx="1">
                  <c:v>150</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C15" sqref="C15"/>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596517</v>
      </c>
      <c r="E3" s="8" t="s">
        <v>42</v>
      </c>
      <c r="F3" s="8" t="s">
        <v>43</v>
      </c>
    </row>
    <row r="4" spans="1:6" ht="13.5" customHeight="1">
      <c r="A4" s="9" t="s">
        <v>44</v>
      </c>
      <c r="B4" s="10">
        <f>SUMIFS(Sales!C:C, Sales!I:I, "Completed")</f>
        <v>565651</v>
      </c>
      <c r="E4" s="9" t="str">
        <f>PartnerShares!A3</f>
        <v>Rajna</v>
      </c>
      <c r="F4" s="10">
        <f>PartnerShares!B3</f>
        <v>0.33339999999999997</v>
      </c>
    </row>
    <row r="5" spans="1:6" ht="13.5" customHeight="1">
      <c r="A5" s="11" t="s">
        <v>45</v>
      </c>
      <c r="B5" s="12">
        <f>SUM(Sales!C:C)</f>
        <v>578731</v>
      </c>
      <c r="E5" s="11" t="str">
        <f>PartnerShares!A4</f>
        <v>Anoop</v>
      </c>
      <c r="F5" s="12">
        <f>PartnerShares!B4</f>
        <v>0.3332</v>
      </c>
    </row>
    <row r="6" spans="1:6" ht="13.5" customHeight="1">
      <c r="A6" s="9" t="s">
        <v>46</v>
      </c>
      <c r="B6" s="10">
        <f>B4-B3</f>
        <v>-30866</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44178.66</v>
      </c>
      <c r="C10" s="9"/>
    </row>
    <row r="11" spans="1:6" ht="13.5" customHeight="1">
      <c r="A11" s="11" t="s">
        <v>50</v>
      </c>
      <c r="B11" s="14">
        <f>PartnerShares!H9</f>
        <v>62117.67</v>
      </c>
      <c r="C11" s="11"/>
    </row>
    <row r="12" spans="1:6" ht="13.5" customHeight="1">
      <c r="A12" s="9" t="s">
        <v>51</v>
      </c>
      <c r="B12" s="13">
        <f>PartnerShares!H10</f>
        <v>-106296.33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261321</v>
      </c>
      <c r="C18" s="10">
        <f>PartnerShares!C8</f>
        <v>198839</v>
      </c>
      <c r="D18" s="10">
        <f>PartnerShares!D8</f>
        <v>62482</v>
      </c>
      <c r="E18" s="10">
        <f>IFERROR(SUMIFS(PartnerShares!$E$14:$E$500,PartnerShares!$D$14:$D$500,$A18,PartnerShares!$B$14:$B$500,"Contribution"),0)-IFERROR(SUMIFS(PartnerShares!$E$14:$E$500,PartnerShares!$C$14:$C$500,$A18,PartnerShares!$B$14:$B$500,"Contribution"),0)</f>
        <v>18303.34</v>
      </c>
      <c r="F18" s="13">
        <f>D18-E18</f>
        <v>44178.66</v>
      </c>
      <c r="G18" s="16" t="str">
        <f>IF(ROUND(F18,0)&gt;0,"Receive ₹"&amp;TEXT(ABS(F18),"#,##0"),IF(ROUND(F18,0)&lt;0,"Pay ₹"&amp;TEXT(ABS(F18),"#,##0"),"✓ Settled"))</f>
        <v>Receive ₹44,179</v>
      </c>
    </row>
    <row r="19" spans="1:7" ht="13.5" customHeight="1">
      <c r="A19" s="11" t="str">
        <f>PartnerShares!A9</f>
        <v>Anoop</v>
      </c>
      <c r="B19" s="12">
        <f>PartnerShares!B9</f>
        <v>302596</v>
      </c>
      <c r="C19" s="12">
        <f>PartnerShares!C9</f>
        <v>198839</v>
      </c>
      <c r="D19" s="12">
        <f>PartnerShares!D9</f>
        <v>103757</v>
      </c>
      <c r="E19" s="12">
        <f>IFERROR(SUMIFS(PartnerShares!$E$14:$E$500,PartnerShares!$D$14:$D$500,$A19,PartnerShares!$B$14:$B$500,"Contribution"),0)-IFERROR(SUMIFS(PartnerShares!$E$14:$E$500,PartnerShares!$C$14:$C$500,$A19,PartnerShares!$B$14:$B$500,"Contribution"),0)</f>
        <v>41639.33</v>
      </c>
      <c r="F19" s="14">
        <f>D19-E19</f>
        <v>62117.67</v>
      </c>
      <c r="G19" s="17" t="str">
        <f>IF(ROUND(F19,0)&gt;0,"Receive ₹"&amp;TEXT(ABS(F19),"#,##0"),IF(ROUND(F19,0)&lt;0,"Pay ₹"&amp;TEXT(ABS(F19),"#,##0"),"✓ Settled"))</f>
        <v>Receive ₹62,118</v>
      </c>
    </row>
    <row r="20" spans="1:7" ht="13.5" customHeight="1">
      <c r="A20" s="9" t="str">
        <f>PartnerShares!A10</f>
        <v>Rameez</v>
      </c>
      <c r="B20" s="10">
        <f>PartnerShares!B10</f>
        <v>32600</v>
      </c>
      <c r="C20" s="10">
        <f>PartnerShares!C10</f>
        <v>198839</v>
      </c>
      <c r="D20" s="10">
        <f>PartnerShares!D10</f>
        <v>-166239</v>
      </c>
      <c r="E20" s="10">
        <f>IFERROR(SUMIFS(PartnerShares!$E$14:$E$500,PartnerShares!$D$14:$D$500,$A20,PartnerShares!$B$14:$B$500,"Contribution"),0)-IFERROR(SUMIFS(PartnerShares!$E$14:$E$500,PartnerShares!$C$14:$C$500,$A20,PartnerShares!$B$14:$B$500,"Contribution"),0)</f>
        <v>-59942.67</v>
      </c>
      <c r="F20" s="13">
        <f>D20-E20</f>
        <v>-106296.33</v>
      </c>
      <c r="G20" s="17" t="str">
        <f>IF(ROUND(F20,0)&gt;0,"Receive ₹"&amp;TEXT(ABS(F20),"#,##0"),IF(ROUND(F20,0)&lt;0,"Pay ₹"&amp;TEXT(ABS(F20),"#,##0"),"✓ Settled"))</f>
        <v>Pay ₹106,296</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493648</v>
      </c>
      <c r="C26" s="10">
        <f>'Cash Pool'!D4</f>
        <v>188588.0434</v>
      </c>
      <c r="D26" s="10">
        <f>'Cash Pool'!E4</f>
        <v>305059.95660000003</v>
      </c>
      <c r="E26" s="10">
        <f>'Cash Pool'!F4</f>
        <v>-137310.02600000001</v>
      </c>
      <c r="F26" s="13">
        <f>'Cash Pool'!G4</f>
        <v>167749.93060000002</v>
      </c>
      <c r="G26" s="17" t="str">
        <f>IF(ROUND(F26,0)&gt;0,"Pay ₹"&amp;TEXT(ABS(F26),"#,##0"),IF(ROUND(F26,0)&lt;0,"Receive ₹"&amp;TEXT(ABS(F26),"#,##0"),"✓ Settled"))</f>
        <v>Pay ₹167,750</v>
      </c>
    </row>
    <row r="27" spans="1:7" ht="13.5" customHeight="1">
      <c r="A27" s="11" t="str">
        <f>'Cash Pool'!A5</f>
        <v>Anoop</v>
      </c>
      <c r="B27" s="12">
        <f>'Cash Pool'!B5</f>
        <v>58473</v>
      </c>
      <c r="C27" s="12">
        <f>'Cash Pool'!D5</f>
        <v>188474.91320000001</v>
      </c>
      <c r="D27" s="12">
        <f>'Cash Pool'!E5</f>
        <v>-130001.91320000001</v>
      </c>
      <c r="E27" s="12">
        <f>'Cash Pool'!F5</f>
        <v>71587.042000000001</v>
      </c>
      <c r="F27" s="14">
        <f>'Cash Pool'!G5</f>
        <v>-58414.871200000009</v>
      </c>
      <c r="G27" s="18" t="str">
        <f>IF(ROUND(F27,0)&gt;0,"Pay ₹"&amp;TEXT(ABS(F27),"#,##0"),IF(ROUND(F27,0)&lt;0,"Receive ₹"&amp;TEXT(ABS(F27),"#,##0"),"✓ Settled"))</f>
        <v>Receive ₹58,415</v>
      </c>
    </row>
    <row r="28" spans="1:7" ht="13.5" customHeight="1">
      <c r="A28" s="9" t="str">
        <f>'Cash Pool'!A6</f>
        <v>Rameez</v>
      </c>
      <c r="B28" s="10">
        <f>'Cash Pool'!B6</f>
        <v>12530</v>
      </c>
      <c r="C28" s="10">
        <f>'Cash Pool'!D6</f>
        <v>188588.0434</v>
      </c>
      <c r="D28" s="10">
        <f>'Cash Pool'!E6</f>
        <v>-176058.0434</v>
      </c>
      <c r="E28" s="10">
        <f>'Cash Pool'!F6</f>
        <v>65722.984000000011</v>
      </c>
      <c r="F28" s="13">
        <f>'Cash Pool'!G6</f>
        <v>-110335.05939999998</v>
      </c>
      <c r="G28" s="16" t="str">
        <f>IF(ROUND(F28,0)&gt;0,"Pay ₹"&amp;TEXT(ABS(F28),"#,##0"),IF(ROUND(F28,0)&lt;0,"Receive ₹"&amp;TEXT(ABS(F28),"#,##0"),"✓ Settled"))</f>
        <v>Receive ₹110,335</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2" t="s">
        <v>67</v>
      </c>
      <c r="B1" s="92"/>
      <c r="C1" s="92"/>
      <c r="D1" s="92"/>
      <c r="E1" s="92"/>
      <c r="F1" s="92"/>
      <c r="G1" s="92"/>
      <c r="H1" s="92"/>
    </row>
    <row r="3" spans="1:8" ht="15" customHeight="1">
      <c r="A3" s="19" t="s">
        <v>68</v>
      </c>
      <c r="B3" s="20">
        <f ca="1">TODAY()</f>
        <v>46276</v>
      </c>
    </row>
    <row r="5" spans="1:8" ht="15" customHeight="1">
      <c r="A5" s="19" t="s">
        <v>41</v>
      </c>
      <c r="B5" s="21">
        <f>Summary!B3</f>
        <v>596517</v>
      </c>
      <c r="D5" s="19" t="s">
        <v>69</v>
      </c>
      <c r="E5" s="21">
        <f>Summary!B4</f>
        <v>565651</v>
      </c>
    </row>
    <row r="6" spans="1:8" ht="15" customHeight="1">
      <c r="A6" s="19" t="s">
        <v>70</v>
      </c>
      <c r="B6" s="21">
        <f>Summary!B6</f>
        <v>-30866</v>
      </c>
      <c r="D6" s="19" t="s">
        <v>71</v>
      </c>
      <c r="E6" s="21">
        <f>SUMIFS(INVENTORY!K:K, INVENTORY!N:N, "&lt;&gt;Sold Out")</f>
        <v>-135547.79333333333</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473</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150</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72915</v>
      </c>
      <c r="D15" s="27">
        <f t="shared" si="0"/>
        <v>-26128</v>
      </c>
    </row>
    <row r="16" spans="1:8" ht="15" customHeight="1">
      <c r="A16" s="25" t="s">
        <v>87</v>
      </c>
      <c r="B16" s="21">
        <f>IFERROR(SUMPRODUCT((TEXT(Purchases!$A$2:$A$998,"MMM")=$A16)*(YEAR(Purchases!$A$2:$A$998)=$B$7)*Purchases!$C$2:$C$998),0)</f>
        <v>102200</v>
      </c>
      <c r="C16" s="21">
        <f>IFERROR(SUMPRODUCT((TEXT(Sales!$A$2:$A$993,"MMM")=$A16)*(YEAR(Sales!$A$2:$A$993)=$B$7)*Sales!$C$2:$C$993),0)</f>
        <v>65156</v>
      </c>
      <c r="D16" s="21">
        <f t="shared" si="0"/>
        <v>-37044</v>
      </c>
    </row>
    <row r="17" spans="1:4" ht="15" customHeight="1">
      <c r="A17" s="26" t="s">
        <v>88</v>
      </c>
      <c r="B17" s="27">
        <f>IFERROR(SUMPRODUCT((TEXT(Purchases!$A$2:$A$998,"MMM")=$A17)*(YEAR(Purchases!$A$2:$A$998)=$B$7)*Purchases!$C$2:$C$998),0)</f>
        <v>45848</v>
      </c>
      <c r="C17" s="27">
        <f>IFERROR(SUMPRODUCT((TEXT(Sales!$A$2:$A$993,"MMM")=$A17)*(YEAR(Sales!$A$2:$A$993)=$B$7)*Sales!$C$2:$C$993),0)</f>
        <v>79098</v>
      </c>
      <c r="D17" s="27">
        <f t="shared" si="0"/>
        <v>33250</v>
      </c>
    </row>
    <row r="18" spans="1:4" ht="15" customHeight="1">
      <c r="A18" s="25" t="s">
        <v>89</v>
      </c>
      <c r="B18" s="21">
        <f>IFERROR(SUMPRODUCT((TEXT(Purchases!$A$2:$A$998,"MMM")=$A18)*(YEAR(Purchases!$A$2:$A$998)=$B$7)*Purchases!$C$2:$C$998),0)</f>
        <v>-5678</v>
      </c>
      <c r="C18" s="21">
        <f>IFERROR(SUMPRODUCT((TEXT(Sales!$A$2:$A$993,"MMM")=$A18)*(YEAR(Sales!$A$2:$A$993)=$B$7)*Sales!$C$2:$C$993),0)</f>
        <v>6180</v>
      </c>
      <c r="D18" s="21">
        <f t="shared" si="0"/>
        <v>11858</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366</v>
      </c>
      <c r="H47" s="30">
        <f>SUMIF(INVENTORY!C:C, F47, INVENTORY!G:G)</f>
        <v>85</v>
      </c>
      <c r="J47" s="30" t="s">
        <v>96</v>
      </c>
      <c r="K47" s="31">
        <f t="array" ref="K47">SUMPRODUCT((INVENTORY!$C$2:$C$475=J47)*(INVENTORY!$D$2:$D$475)*(INVENTORY!$G$2:$G$475))</f>
        <v>67003</v>
      </c>
    </row>
    <row r="48" spans="6:11" ht="15" customHeight="1">
      <c r="F48" s="29" t="s">
        <v>96</v>
      </c>
      <c r="G48" s="30">
        <f>SUMIF(INVENTORY!C:C, F48, INVENTORY!F:F)</f>
        <v>102</v>
      </c>
      <c r="H48" s="30">
        <f>SUMIF(INVENTORY!C:C, F48, INVENTORY!G:G)</f>
        <v>62</v>
      </c>
      <c r="J48" s="30" t="s">
        <v>95</v>
      </c>
      <c r="K48" s="31">
        <f t="array" ref="K48">SUMPRODUCT((INVENTORY!$C$2:$C$475=J48)*(INVENTORY!$D$2:$D$475)*(INVENTORY!$G$2:$G$475))</f>
        <v>-191178.99333333335</v>
      </c>
    </row>
    <row r="49" spans="5:12" ht="15" customHeight="1">
      <c r="F49" s="29" t="s">
        <v>97</v>
      </c>
      <c r="G49" s="30">
        <f>SUMIF(INVENTORY!C:C, F49, INVENTORY!F:F)</f>
        <v>5</v>
      </c>
      <c r="H49" s="30">
        <f>SUMIF(INVENTORY!C:C, F49, INVENTORY!G:G)</f>
        <v>3</v>
      </c>
      <c r="J49" s="30" t="s">
        <v>97</v>
      </c>
      <c r="K49" s="31">
        <f t="array" ref="K49">SUMPRODUCT((INVENTORY!$C$2:$C$475=J49)*(INVENTORY!$D$2:$D$475)*(INVENTORY!$G$2:$G$475))</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7" activePane="bottomLeft" state="frozen"/>
      <selection pane="bottomLeft" activeCell="C117" sqref="C117"/>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1086</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1115</v>
      </c>
    </row>
    <row r="97" spans="1:4" ht="15" customHeight="1">
      <c r="A97" s="38">
        <v>46218</v>
      </c>
      <c r="B97" s="39" t="s">
        <v>49</v>
      </c>
      <c r="C97" s="40">
        <v>1375</v>
      </c>
      <c r="D97" s="39" t="s">
        <v>1116</v>
      </c>
    </row>
    <row r="98" spans="1:4" ht="15" customHeight="1">
      <c r="A98" s="35">
        <v>46219</v>
      </c>
      <c r="B98" s="36" t="s">
        <v>49</v>
      </c>
      <c r="C98" s="37">
        <v>189</v>
      </c>
      <c r="D98" s="36" t="s">
        <v>1117</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1256</v>
      </c>
    </row>
    <row r="108" spans="1:4" ht="15" customHeight="1">
      <c r="A108" s="35">
        <v>46246</v>
      </c>
      <c r="B108" s="36" t="s">
        <v>49</v>
      </c>
      <c r="C108" s="37">
        <v>184</v>
      </c>
      <c r="D108" s="36" t="s">
        <v>119</v>
      </c>
    </row>
    <row r="109" spans="1:4" ht="15" customHeight="1">
      <c r="A109" s="38">
        <v>46249</v>
      </c>
      <c r="B109" s="39" t="s">
        <v>49</v>
      </c>
      <c r="C109" s="40">
        <v>320</v>
      </c>
      <c r="D109" s="39" t="s">
        <v>1256</v>
      </c>
    </row>
    <row r="110" spans="1:4" ht="15" customHeight="1">
      <c r="A110" s="35">
        <v>46259</v>
      </c>
      <c r="B110" s="36" t="s">
        <v>50</v>
      </c>
      <c r="C110" s="37">
        <v>3046</v>
      </c>
      <c r="D110" s="36" t="s">
        <v>1308</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v>46268</v>
      </c>
      <c r="B114" s="36" t="s">
        <v>50</v>
      </c>
      <c r="C114" s="37">
        <v>144</v>
      </c>
      <c r="D114" s="36" t="s">
        <v>119</v>
      </c>
    </row>
    <row r="115" spans="1:4" ht="15" customHeight="1">
      <c r="A115" s="38">
        <v>46276</v>
      </c>
      <c r="B115" s="39" t="s">
        <v>50</v>
      </c>
      <c r="C115" s="40">
        <v>-4202</v>
      </c>
      <c r="D115" s="39" t="s">
        <v>1395</v>
      </c>
    </row>
    <row r="116" spans="1:4" ht="15" customHeight="1">
      <c r="A116" s="35">
        <v>46276</v>
      </c>
      <c r="B116" s="36" t="s">
        <v>49</v>
      </c>
      <c r="C116" s="37">
        <v>-1620</v>
      </c>
      <c r="D116" s="36" t="s">
        <v>1395</v>
      </c>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53"/>
  <sheetViews>
    <sheetView zoomScale="130" zoomScaleNormal="130" workbookViewId="0">
      <pane ySplit="1" topLeftCell="A302" activePane="bottomLeft" state="frozen"/>
      <selection pane="bottomLeft" activeCell="J331" sqref="J331"/>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1075</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1061</v>
      </c>
      <c r="I249" s="45" t="s">
        <v>148</v>
      </c>
    </row>
    <row r="250" spans="1:9" ht="14">
      <c r="A250" s="82">
        <v>46200</v>
      </c>
      <c r="B250" s="44" t="s">
        <v>164</v>
      </c>
      <c r="C250" s="83">
        <v>980</v>
      </c>
      <c r="D250" s="44" t="s">
        <v>162</v>
      </c>
      <c r="E250" s="44" t="s">
        <v>49</v>
      </c>
      <c r="F250" s="44"/>
      <c r="G250" s="44"/>
      <c r="H250" s="44" t="s">
        <v>1063</v>
      </c>
      <c r="I250" s="44" t="s">
        <v>148</v>
      </c>
    </row>
    <row r="251" spans="1:9" ht="14">
      <c r="A251" s="84">
        <v>46201</v>
      </c>
      <c r="B251" s="45" t="s">
        <v>1076</v>
      </c>
      <c r="C251" s="85">
        <v>1380</v>
      </c>
      <c r="D251" s="45" t="s">
        <v>205</v>
      </c>
      <c r="E251" s="45" t="s">
        <v>49</v>
      </c>
      <c r="F251" s="46"/>
      <c r="G251" s="46"/>
      <c r="H251" s="46" t="s">
        <v>366</v>
      </c>
      <c r="I251" s="45" t="s">
        <v>148</v>
      </c>
    </row>
    <row r="252" spans="1:9" ht="14">
      <c r="A252" s="82">
        <v>46201</v>
      </c>
      <c r="B252" s="44" t="s">
        <v>1064</v>
      </c>
      <c r="C252" s="83">
        <v>699</v>
      </c>
      <c r="D252" s="44" t="s">
        <v>162</v>
      </c>
      <c r="E252" s="44" t="s">
        <v>49</v>
      </c>
      <c r="F252" s="44"/>
      <c r="G252" s="44"/>
      <c r="H252" s="44" t="s">
        <v>1065</v>
      </c>
      <c r="I252" s="44" t="s">
        <v>148</v>
      </c>
    </row>
    <row r="253" spans="1:9" ht="14">
      <c r="A253" s="84">
        <v>46201</v>
      </c>
      <c r="B253" s="45" t="s">
        <v>1066</v>
      </c>
      <c r="C253" s="85">
        <v>699</v>
      </c>
      <c r="D253" s="45" t="s">
        <v>162</v>
      </c>
      <c r="E253" s="45" t="s">
        <v>49</v>
      </c>
      <c r="F253" s="46"/>
      <c r="G253" s="46"/>
      <c r="H253" s="46" t="s">
        <v>1067</v>
      </c>
      <c r="I253" s="45" t="s">
        <v>148</v>
      </c>
    </row>
    <row r="254" spans="1:9" ht="14">
      <c r="A254" s="82">
        <v>46201</v>
      </c>
      <c r="B254" s="44" t="s">
        <v>1068</v>
      </c>
      <c r="C254" s="83">
        <v>699</v>
      </c>
      <c r="D254" s="44" t="s">
        <v>162</v>
      </c>
      <c r="E254" s="44" t="s">
        <v>49</v>
      </c>
      <c r="F254" s="44"/>
      <c r="G254" s="44"/>
      <c r="H254" s="44" t="s">
        <v>1069</v>
      </c>
      <c r="I254" s="44" t="s">
        <v>148</v>
      </c>
    </row>
    <row r="255" spans="1:9" ht="14">
      <c r="A255" s="84">
        <v>46201</v>
      </c>
      <c r="B255" s="45" t="s">
        <v>472</v>
      </c>
      <c r="C255" s="85">
        <v>2650</v>
      </c>
      <c r="D255" s="45" t="s">
        <v>162</v>
      </c>
      <c r="E255" s="45" t="s">
        <v>49</v>
      </c>
      <c r="F255" s="46"/>
      <c r="G255" s="46"/>
      <c r="H255" s="46" t="s">
        <v>1070</v>
      </c>
      <c r="I255" s="45" t="s">
        <v>148</v>
      </c>
    </row>
    <row r="256" spans="1:9" ht="14">
      <c r="A256" s="82">
        <v>46203</v>
      </c>
      <c r="B256" s="44" t="s">
        <v>1077</v>
      </c>
      <c r="C256" s="83">
        <v>950</v>
      </c>
      <c r="D256" s="44" t="s">
        <v>162</v>
      </c>
      <c r="E256" s="44" t="s">
        <v>49</v>
      </c>
      <c r="F256" s="44"/>
      <c r="G256" s="44"/>
      <c r="H256" s="44" t="s">
        <v>1078</v>
      </c>
      <c r="I256" s="44" t="s">
        <v>148</v>
      </c>
    </row>
    <row r="257" spans="1:9" ht="14">
      <c r="A257" s="84">
        <v>46204</v>
      </c>
      <c r="B257" s="45" t="s">
        <v>1079</v>
      </c>
      <c r="C257" s="85">
        <v>699</v>
      </c>
      <c r="D257" s="45" t="s">
        <v>162</v>
      </c>
      <c r="E257" s="45" t="s">
        <v>49</v>
      </c>
      <c r="F257" s="46"/>
      <c r="G257" s="46"/>
      <c r="H257" s="46" t="s">
        <v>1080</v>
      </c>
      <c r="I257" s="45" t="s">
        <v>148</v>
      </c>
    </row>
    <row r="258" spans="1:9" ht="14">
      <c r="A258" s="82">
        <v>46205</v>
      </c>
      <c r="B258" s="44" t="s">
        <v>1081</v>
      </c>
      <c r="C258" s="83">
        <v>1500</v>
      </c>
      <c r="D258" s="44" t="s">
        <v>162</v>
      </c>
      <c r="E258" s="44" t="s">
        <v>49</v>
      </c>
      <c r="F258" s="44"/>
      <c r="G258" s="44"/>
      <c r="H258" s="44" t="s">
        <v>1082</v>
      </c>
      <c r="I258" s="44" t="s">
        <v>148</v>
      </c>
    </row>
    <row r="259" spans="1:9" ht="14">
      <c r="A259" s="84">
        <v>46205</v>
      </c>
      <c r="B259" s="45" t="s">
        <v>1081</v>
      </c>
      <c r="C259" s="85">
        <v>1200</v>
      </c>
      <c r="D259" s="45" t="s">
        <v>162</v>
      </c>
      <c r="E259" s="45" t="s">
        <v>49</v>
      </c>
      <c r="F259" s="46"/>
      <c r="G259" s="46"/>
      <c r="H259" s="46" t="s">
        <v>1083</v>
      </c>
      <c r="I259" s="45" t="s">
        <v>148</v>
      </c>
    </row>
    <row r="260" spans="1:9" ht="14">
      <c r="A260" s="82">
        <v>46205</v>
      </c>
      <c r="B260" s="44" t="s">
        <v>1085</v>
      </c>
      <c r="C260" s="83">
        <v>1500</v>
      </c>
      <c r="D260" s="44" t="s">
        <v>162</v>
      </c>
      <c r="E260" s="44" t="s">
        <v>49</v>
      </c>
      <c r="F260" s="44"/>
      <c r="G260" s="44"/>
      <c r="H260" s="44" t="s">
        <v>1084</v>
      </c>
      <c r="I260" s="44" t="s">
        <v>148</v>
      </c>
    </row>
    <row r="261" spans="1:9" ht="14">
      <c r="A261" s="84">
        <v>46205</v>
      </c>
      <c r="B261" s="45" t="s">
        <v>1088</v>
      </c>
      <c r="C261" s="85">
        <v>2600</v>
      </c>
      <c r="D261" s="45" t="s">
        <v>162</v>
      </c>
      <c r="E261" s="45" t="s">
        <v>49</v>
      </c>
      <c r="F261" s="46"/>
      <c r="G261" s="46"/>
      <c r="H261" s="46" t="s">
        <v>1162</v>
      </c>
      <c r="I261" s="45" t="s">
        <v>148</v>
      </c>
    </row>
    <row r="262" spans="1:9" ht="14">
      <c r="A262" s="82">
        <v>46206</v>
      </c>
      <c r="B262" s="44" t="s">
        <v>1090</v>
      </c>
      <c r="C262" s="83">
        <v>1380</v>
      </c>
      <c r="D262" s="44" t="s">
        <v>162</v>
      </c>
      <c r="E262" s="44" t="s">
        <v>49</v>
      </c>
      <c r="F262" s="44"/>
      <c r="G262" s="44"/>
      <c r="H262" s="44" t="s">
        <v>366</v>
      </c>
      <c r="I262" s="44" t="s">
        <v>148</v>
      </c>
    </row>
    <row r="263" spans="1:9" ht="14">
      <c r="A263" s="84">
        <v>46206</v>
      </c>
      <c r="B263" s="45" t="s">
        <v>1091</v>
      </c>
      <c r="C263" s="85">
        <v>1380</v>
      </c>
      <c r="D263" s="45" t="s">
        <v>162</v>
      </c>
      <c r="E263" s="45" t="s">
        <v>49</v>
      </c>
      <c r="F263" s="46"/>
      <c r="G263" s="46"/>
      <c r="H263" s="46" t="s">
        <v>366</v>
      </c>
      <c r="I263" s="45" t="s">
        <v>148</v>
      </c>
    </row>
    <row r="264" spans="1:9" ht="42">
      <c r="A264" s="82">
        <v>46206</v>
      </c>
      <c r="B264" s="44" t="s">
        <v>1101</v>
      </c>
      <c r="C264" s="83">
        <v>2500</v>
      </c>
      <c r="D264" s="44" t="s">
        <v>162</v>
      </c>
      <c r="E264" s="44" t="s">
        <v>49</v>
      </c>
      <c r="F264" s="44"/>
      <c r="G264" s="44"/>
      <c r="H264" s="44" t="s">
        <v>1250</v>
      </c>
      <c r="I264" s="44" t="s">
        <v>356</v>
      </c>
    </row>
    <row r="265" spans="1:9" ht="14">
      <c r="A265" s="84">
        <v>46206</v>
      </c>
      <c r="B265" s="45" t="s">
        <v>1094</v>
      </c>
      <c r="C265" s="85">
        <v>1300</v>
      </c>
      <c r="D265" s="45" t="s">
        <v>162</v>
      </c>
      <c r="E265" s="45" t="s">
        <v>49</v>
      </c>
      <c r="F265" s="46"/>
      <c r="G265" s="46"/>
      <c r="H265" s="46" t="s">
        <v>1373</v>
      </c>
      <c r="I265" s="45" t="s">
        <v>148</v>
      </c>
    </row>
    <row r="266" spans="1:9" ht="14">
      <c r="A266" s="82">
        <v>46206</v>
      </c>
      <c r="B266" s="44" t="s">
        <v>1085</v>
      </c>
      <c r="C266" s="83">
        <v>1380</v>
      </c>
      <c r="D266" s="44" t="s">
        <v>162</v>
      </c>
      <c r="E266" s="44" t="s">
        <v>49</v>
      </c>
      <c r="F266" s="44"/>
      <c r="G266" s="44"/>
      <c r="H266" s="44" t="s">
        <v>1095</v>
      </c>
      <c r="I266" s="44" t="s">
        <v>148</v>
      </c>
    </row>
    <row r="267" spans="1:9" ht="14">
      <c r="A267" s="84">
        <v>46207</v>
      </c>
      <c r="B267" s="45" t="s">
        <v>173</v>
      </c>
      <c r="C267" s="85">
        <v>1250</v>
      </c>
      <c r="D267" s="45" t="s">
        <v>162</v>
      </c>
      <c r="E267" s="45" t="s">
        <v>49</v>
      </c>
      <c r="F267" s="46"/>
      <c r="G267" s="46"/>
      <c r="H267" s="46" t="s">
        <v>1096</v>
      </c>
      <c r="I267" s="45" t="s">
        <v>148</v>
      </c>
    </row>
    <row r="268" spans="1:9" ht="42">
      <c r="A268" s="82">
        <v>46208</v>
      </c>
      <c r="B268" s="44" t="s">
        <v>1274</v>
      </c>
      <c r="C268" s="83">
        <v>2350</v>
      </c>
      <c r="D268" s="44"/>
      <c r="E268" s="44"/>
      <c r="F268" s="44"/>
      <c r="G268" s="44"/>
      <c r="H268" s="44" t="s">
        <v>1275</v>
      </c>
      <c r="I268" s="44" t="s">
        <v>356</v>
      </c>
    </row>
    <row r="269" spans="1:9" ht="14">
      <c r="A269" s="84">
        <v>46209</v>
      </c>
      <c r="B269" s="45" t="s">
        <v>1099</v>
      </c>
      <c r="C269" s="85">
        <v>1100</v>
      </c>
      <c r="D269" s="45" t="s">
        <v>162</v>
      </c>
      <c r="E269" s="45" t="s">
        <v>49</v>
      </c>
      <c r="F269" s="46"/>
      <c r="G269" s="46"/>
      <c r="H269" s="46" t="s">
        <v>1100</v>
      </c>
      <c r="I269" s="45" t="s">
        <v>148</v>
      </c>
    </row>
    <row r="270" spans="1:9" ht="14">
      <c r="A270" s="82">
        <v>46210</v>
      </c>
      <c r="B270" s="44" t="s">
        <v>1277</v>
      </c>
      <c r="C270" s="83">
        <v>3200</v>
      </c>
      <c r="D270" s="44" t="s">
        <v>162</v>
      </c>
      <c r="E270" s="44" t="s">
        <v>49</v>
      </c>
      <c r="F270" s="44"/>
      <c r="G270" s="44"/>
      <c r="H270" s="44" t="s">
        <v>1103</v>
      </c>
      <c r="I270" s="44" t="s">
        <v>148</v>
      </c>
    </row>
    <row r="271" spans="1:9" ht="14">
      <c r="A271" s="84">
        <v>46211</v>
      </c>
      <c r="B271" s="45" t="s">
        <v>1104</v>
      </c>
      <c r="C271" s="85">
        <v>1380</v>
      </c>
      <c r="D271" s="45" t="s">
        <v>162</v>
      </c>
      <c r="E271" s="45" t="s">
        <v>49</v>
      </c>
      <c r="F271" s="46"/>
      <c r="G271" s="46"/>
      <c r="H271" s="46" t="s">
        <v>1105</v>
      </c>
      <c r="I271" s="45" t="s">
        <v>148</v>
      </c>
    </row>
    <row r="272" spans="1:9" ht="14">
      <c r="A272" s="82">
        <v>46215</v>
      </c>
      <c r="B272" s="44" t="s">
        <v>1106</v>
      </c>
      <c r="C272" s="83">
        <v>1380</v>
      </c>
      <c r="D272" s="44" t="s">
        <v>162</v>
      </c>
      <c r="E272" s="44" t="s">
        <v>49</v>
      </c>
      <c r="F272" s="44"/>
      <c r="G272" s="44"/>
      <c r="H272" s="44" t="s">
        <v>366</v>
      </c>
      <c r="I272" s="44" t="s">
        <v>148</v>
      </c>
    </row>
    <row r="273" spans="1:9" ht="14">
      <c r="A273" s="84">
        <v>46215</v>
      </c>
      <c r="B273" s="45" t="s">
        <v>1107</v>
      </c>
      <c r="C273" s="85">
        <v>699</v>
      </c>
      <c r="D273" s="45" t="s">
        <v>162</v>
      </c>
      <c r="E273" s="45" t="s">
        <v>49</v>
      </c>
      <c r="F273" s="46"/>
      <c r="G273" s="46"/>
      <c r="H273" s="46" t="s">
        <v>1080</v>
      </c>
      <c r="I273" s="45" t="s">
        <v>148</v>
      </c>
    </row>
    <row r="274" spans="1:9" ht="14">
      <c r="A274" s="82">
        <v>46215</v>
      </c>
      <c r="B274" s="44" t="s">
        <v>197</v>
      </c>
      <c r="C274" s="83">
        <v>1350</v>
      </c>
      <c r="D274" s="44" t="s">
        <v>162</v>
      </c>
      <c r="E274" s="44" t="s">
        <v>49</v>
      </c>
      <c r="F274" s="44"/>
      <c r="G274" s="44"/>
      <c r="H274" s="44" t="s">
        <v>1109</v>
      </c>
      <c r="I274" s="44" t="s">
        <v>148</v>
      </c>
    </row>
    <row r="275" spans="1:9" ht="14">
      <c r="A275" s="84">
        <v>46216</v>
      </c>
      <c r="B275" s="45" t="s">
        <v>1110</v>
      </c>
      <c r="C275" s="85">
        <v>699</v>
      </c>
      <c r="D275" s="45" t="s">
        <v>162</v>
      </c>
      <c r="E275" s="45" t="s">
        <v>49</v>
      </c>
      <c r="F275" s="46"/>
      <c r="G275" s="46"/>
      <c r="H275" s="46" t="s">
        <v>1080</v>
      </c>
      <c r="I275" s="45" t="s">
        <v>148</v>
      </c>
    </row>
    <row r="276" spans="1:9" ht="14">
      <c r="A276" s="82">
        <v>46216</v>
      </c>
      <c r="B276" s="44" t="s">
        <v>1112</v>
      </c>
      <c r="C276" s="83">
        <v>3000</v>
      </c>
      <c r="D276" s="44" t="s">
        <v>162</v>
      </c>
      <c r="E276" s="44" t="s">
        <v>49</v>
      </c>
      <c r="F276" s="44"/>
      <c r="G276" s="44"/>
      <c r="H276" s="44" t="s">
        <v>1111</v>
      </c>
      <c r="I276" s="44" t="s">
        <v>148</v>
      </c>
    </row>
    <row r="277" spans="1:9" ht="14">
      <c r="A277" s="84">
        <v>46219</v>
      </c>
      <c r="B277" s="45" t="s">
        <v>1113</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1114</v>
      </c>
      <c r="I279" s="45" t="s">
        <v>148</v>
      </c>
    </row>
    <row r="280" spans="1:9" ht="14">
      <c r="A280" s="82">
        <v>46219</v>
      </c>
      <c r="B280" s="44" t="s">
        <v>220</v>
      </c>
      <c r="C280" s="83">
        <v>2500</v>
      </c>
      <c r="D280" s="44" t="s">
        <v>162</v>
      </c>
      <c r="E280" s="44" t="s">
        <v>49</v>
      </c>
      <c r="F280" s="44"/>
      <c r="G280" s="44"/>
      <c r="H280" s="44" t="s">
        <v>1120</v>
      </c>
      <c r="I280" s="44" t="s">
        <v>148</v>
      </c>
    </row>
    <row r="281" spans="1:9" ht="28">
      <c r="A281" s="84">
        <v>46219</v>
      </c>
      <c r="B281" s="45" t="s">
        <v>1334</v>
      </c>
      <c r="C281" s="85">
        <v>3600</v>
      </c>
      <c r="D281" s="45" t="s">
        <v>162</v>
      </c>
      <c r="E281" s="45" t="s">
        <v>49</v>
      </c>
      <c r="F281" s="46"/>
      <c r="G281" s="46"/>
      <c r="H281" s="46" t="s">
        <v>1336</v>
      </c>
      <c r="I281" s="45" t="s">
        <v>148</v>
      </c>
    </row>
    <row r="282" spans="1:9" ht="14">
      <c r="A282" s="82">
        <v>46220</v>
      </c>
      <c r="B282" s="44" t="s">
        <v>1132</v>
      </c>
      <c r="C282" s="83">
        <v>1500</v>
      </c>
      <c r="D282" s="44" t="s">
        <v>162</v>
      </c>
      <c r="E282" s="44" t="s">
        <v>49</v>
      </c>
      <c r="F282" s="44"/>
      <c r="G282" s="44"/>
      <c r="H282" s="44" t="s">
        <v>1133</v>
      </c>
      <c r="I282" s="44" t="s">
        <v>148</v>
      </c>
    </row>
    <row r="283" spans="1:9" ht="14">
      <c r="A283" s="84">
        <v>46221</v>
      </c>
      <c r="B283" s="45" t="s">
        <v>1135</v>
      </c>
      <c r="C283" s="85">
        <v>1100</v>
      </c>
      <c r="D283" s="45" t="s">
        <v>162</v>
      </c>
      <c r="E283" s="45" t="s">
        <v>49</v>
      </c>
      <c r="F283" s="46"/>
      <c r="G283" s="46"/>
      <c r="H283" s="46" t="s">
        <v>1136</v>
      </c>
      <c r="I283" s="45" t="s">
        <v>148</v>
      </c>
    </row>
    <row r="284" spans="1:9" ht="14">
      <c r="A284" s="82">
        <v>46222</v>
      </c>
      <c r="B284" s="44" t="s">
        <v>1137</v>
      </c>
      <c r="C284" s="83">
        <v>850</v>
      </c>
      <c r="D284" s="44" t="s">
        <v>162</v>
      </c>
      <c r="E284" s="44" t="s">
        <v>49</v>
      </c>
      <c r="F284" s="44"/>
      <c r="G284" s="44"/>
      <c r="H284" s="44" t="s">
        <v>1138</v>
      </c>
      <c r="I284" s="44" t="s">
        <v>148</v>
      </c>
    </row>
    <row r="285" spans="1:9" ht="14">
      <c r="A285" s="84">
        <v>46222</v>
      </c>
      <c r="B285" s="45" t="s">
        <v>1139</v>
      </c>
      <c r="C285" s="85">
        <v>1250</v>
      </c>
      <c r="D285" s="45" t="s">
        <v>162</v>
      </c>
      <c r="E285" s="45" t="s">
        <v>49</v>
      </c>
      <c r="F285" s="46"/>
      <c r="G285" s="46"/>
      <c r="H285" s="46" t="s">
        <v>1140</v>
      </c>
      <c r="I285" s="45" t="s">
        <v>148</v>
      </c>
    </row>
    <row r="286" spans="1:9" ht="14">
      <c r="A286" s="82">
        <v>46222</v>
      </c>
      <c r="B286" s="44" t="s">
        <v>1142</v>
      </c>
      <c r="C286" s="83">
        <v>700</v>
      </c>
      <c r="D286" s="44" t="s">
        <v>162</v>
      </c>
      <c r="E286" s="44" t="s">
        <v>49</v>
      </c>
      <c r="F286" s="44"/>
      <c r="G286" s="44"/>
      <c r="H286" s="44" t="s">
        <v>395</v>
      </c>
      <c r="I286" s="44" t="s">
        <v>148</v>
      </c>
    </row>
    <row r="287" spans="1:9" ht="14">
      <c r="A287" s="84">
        <v>46222</v>
      </c>
      <c r="B287" s="45" t="s">
        <v>1143</v>
      </c>
      <c r="C287" s="85">
        <v>699</v>
      </c>
      <c r="D287" s="45" t="s">
        <v>162</v>
      </c>
      <c r="E287" s="45" t="s">
        <v>49</v>
      </c>
      <c r="F287" s="46"/>
      <c r="G287" s="46"/>
      <c r="H287" s="46" t="s">
        <v>395</v>
      </c>
      <c r="I287" s="45" t="s">
        <v>148</v>
      </c>
    </row>
    <row r="288" spans="1:9" ht="14">
      <c r="A288" s="82">
        <v>46223</v>
      </c>
      <c r="B288" s="44" t="s">
        <v>1145</v>
      </c>
      <c r="C288" s="83">
        <v>1380</v>
      </c>
      <c r="D288" s="44" t="s">
        <v>162</v>
      </c>
      <c r="E288" s="44" t="s">
        <v>49</v>
      </c>
      <c r="F288" s="44"/>
      <c r="G288" s="44"/>
      <c r="H288" s="44" t="s">
        <v>1146</v>
      </c>
      <c r="I288" s="44" t="s">
        <v>148</v>
      </c>
    </row>
    <row r="289" spans="1:9" ht="14">
      <c r="A289" s="84">
        <v>46224</v>
      </c>
      <c r="B289" s="45" t="s">
        <v>1148</v>
      </c>
      <c r="C289" s="85">
        <v>1380</v>
      </c>
      <c r="D289" s="45" t="s">
        <v>162</v>
      </c>
      <c r="E289" s="45" t="s">
        <v>49</v>
      </c>
      <c r="F289" s="46"/>
      <c r="G289" s="46"/>
      <c r="H289" s="46" t="s">
        <v>1151</v>
      </c>
      <c r="I289" s="45" t="s">
        <v>148</v>
      </c>
    </row>
    <row r="290" spans="1:9" ht="14">
      <c r="A290" s="82">
        <v>46224</v>
      </c>
      <c r="B290" s="44" t="s">
        <v>1147</v>
      </c>
      <c r="C290" s="83">
        <v>1380</v>
      </c>
      <c r="D290" s="44" t="s">
        <v>162</v>
      </c>
      <c r="E290" s="44" t="s">
        <v>49</v>
      </c>
      <c r="F290" s="44"/>
      <c r="G290" s="44"/>
      <c r="H290" s="44" t="s">
        <v>1152</v>
      </c>
      <c r="I290" s="44" t="s">
        <v>148</v>
      </c>
    </row>
    <row r="291" spans="1:9" ht="14">
      <c r="A291" s="82">
        <v>46228</v>
      </c>
      <c r="B291" s="44" t="s">
        <v>186</v>
      </c>
      <c r="C291" s="83">
        <v>1250</v>
      </c>
      <c r="D291" s="44" t="s">
        <v>162</v>
      </c>
      <c r="E291" s="44" t="s">
        <v>49</v>
      </c>
      <c r="F291" s="44"/>
      <c r="G291" s="44"/>
      <c r="H291" s="44" t="s">
        <v>1155</v>
      </c>
      <c r="I291" s="44" t="s">
        <v>148</v>
      </c>
    </row>
    <row r="292" spans="1:9" ht="56">
      <c r="A292" s="84">
        <v>46229</v>
      </c>
      <c r="B292" s="45" t="s">
        <v>1375</v>
      </c>
      <c r="C292" s="85">
        <v>3600</v>
      </c>
      <c r="D292" s="45"/>
      <c r="E292" s="45"/>
      <c r="F292" s="46"/>
      <c r="G292" s="46"/>
      <c r="H292" s="46" t="s">
        <v>1374</v>
      </c>
      <c r="I292" s="45" t="s">
        <v>356</v>
      </c>
    </row>
    <row r="293" spans="1:9" ht="28">
      <c r="A293" s="82">
        <v>46229</v>
      </c>
      <c r="B293" s="44" t="s">
        <v>1101</v>
      </c>
      <c r="C293" s="83">
        <v>2230</v>
      </c>
      <c r="D293" s="44"/>
      <c r="E293" s="44"/>
      <c r="F293" s="44"/>
      <c r="G293" s="44"/>
      <c r="H293" s="44" t="s">
        <v>1300</v>
      </c>
      <c r="I293" s="44" t="s">
        <v>356</v>
      </c>
    </row>
    <row r="294" spans="1:9" ht="14">
      <c r="A294" s="84">
        <v>46229</v>
      </c>
      <c r="B294" s="45" t="s">
        <v>1088</v>
      </c>
      <c r="C294" s="85">
        <v>2230</v>
      </c>
      <c r="D294" s="45" t="s">
        <v>162</v>
      </c>
      <c r="E294" s="45" t="s">
        <v>49</v>
      </c>
      <c r="F294" s="46"/>
      <c r="G294" s="46"/>
      <c r="H294" s="46" t="s">
        <v>1283</v>
      </c>
      <c r="I294" s="45" t="s">
        <v>148</v>
      </c>
    </row>
    <row r="295" spans="1:9" ht="28">
      <c r="A295" s="82">
        <v>46229</v>
      </c>
      <c r="B295" s="44" t="s">
        <v>1165</v>
      </c>
      <c r="C295" s="83">
        <v>3700</v>
      </c>
      <c r="D295" s="44" t="s">
        <v>1272</v>
      </c>
      <c r="E295" s="44" t="s">
        <v>49</v>
      </c>
      <c r="F295" s="44"/>
      <c r="G295" s="44"/>
      <c r="H295" s="44" t="s">
        <v>1273</v>
      </c>
      <c r="I295" s="44" t="s">
        <v>148</v>
      </c>
    </row>
    <row r="296" spans="1:9" ht="14">
      <c r="A296" s="84">
        <v>46235</v>
      </c>
      <c r="B296" s="45" t="s">
        <v>1203</v>
      </c>
      <c r="C296" s="85">
        <v>1450</v>
      </c>
      <c r="D296" s="45" t="s">
        <v>162</v>
      </c>
      <c r="E296" s="45" t="s">
        <v>49</v>
      </c>
      <c r="F296" s="46"/>
      <c r="G296" s="46"/>
      <c r="H296" s="46" t="s">
        <v>1202</v>
      </c>
      <c r="I296" s="45" t="s">
        <v>148</v>
      </c>
    </row>
    <row r="297" spans="1:9" ht="14">
      <c r="A297" s="82">
        <v>46236</v>
      </c>
      <c r="B297" s="44" t="s">
        <v>1277</v>
      </c>
      <c r="C297" s="83">
        <v>6900</v>
      </c>
      <c r="D297" s="44" t="s">
        <v>162</v>
      </c>
      <c r="E297" s="44" t="s">
        <v>49</v>
      </c>
      <c r="F297" s="44"/>
      <c r="G297" s="44"/>
      <c r="H297" s="44" t="s">
        <v>1279</v>
      </c>
      <c r="I297" s="44" t="s">
        <v>148</v>
      </c>
    </row>
    <row r="298" spans="1:9" ht="14">
      <c r="A298" s="84">
        <v>46236</v>
      </c>
      <c r="B298" s="45" t="s">
        <v>1206</v>
      </c>
      <c r="C298" s="85">
        <v>1479</v>
      </c>
      <c r="D298" s="45" t="s">
        <v>162</v>
      </c>
      <c r="E298" s="45" t="s">
        <v>49</v>
      </c>
      <c r="F298" s="46"/>
      <c r="G298" s="46"/>
      <c r="H298" s="46" t="s">
        <v>1205</v>
      </c>
      <c r="I298" s="45" t="s">
        <v>148</v>
      </c>
    </row>
    <row r="299" spans="1:9" ht="14">
      <c r="A299" s="82">
        <v>46236</v>
      </c>
      <c r="B299" s="44" t="s">
        <v>1210</v>
      </c>
      <c r="C299" s="83">
        <v>2630</v>
      </c>
      <c r="D299" s="44" t="s">
        <v>162</v>
      </c>
      <c r="E299" s="44" t="s">
        <v>49</v>
      </c>
      <c r="F299" s="44"/>
      <c r="G299" s="44"/>
      <c r="H299" s="44" t="s">
        <v>1208</v>
      </c>
      <c r="I299" s="44" t="s">
        <v>148</v>
      </c>
    </row>
    <row r="300" spans="1:9" ht="14">
      <c r="A300" s="84">
        <v>46238</v>
      </c>
      <c r="B300" s="45" t="s">
        <v>1085</v>
      </c>
      <c r="C300" s="85">
        <v>1380</v>
      </c>
      <c r="D300" s="45" t="s">
        <v>162</v>
      </c>
      <c r="E300" s="45" t="s">
        <v>49</v>
      </c>
      <c r="F300" s="46"/>
      <c r="G300" s="46"/>
      <c r="H300" s="46" t="s">
        <v>272</v>
      </c>
      <c r="I300" s="45" t="s">
        <v>148</v>
      </c>
    </row>
    <row r="301" spans="1:9" ht="14">
      <c r="A301" s="82">
        <v>46238</v>
      </c>
      <c r="B301" s="44" t="s">
        <v>1277</v>
      </c>
      <c r="C301" s="83">
        <v>12650</v>
      </c>
      <c r="D301" s="44" t="s">
        <v>162</v>
      </c>
      <c r="E301" s="44" t="s">
        <v>49</v>
      </c>
      <c r="F301" s="44"/>
      <c r="G301" s="44"/>
      <c r="H301" s="44" t="s">
        <v>1280</v>
      </c>
      <c r="I301" s="44" t="s">
        <v>148</v>
      </c>
    </row>
    <row r="302" spans="1:9" ht="14">
      <c r="A302" s="84">
        <v>46240</v>
      </c>
      <c r="B302" s="45" t="s">
        <v>1206</v>
      </c>
      <c r="C302" s="85">
        <v>1000</v>
      </c>
      <c r="D302" s="45"/>
      <c r="E302" s="45"/>
      <c r="F302" s="46"/>
      <c r="G302" s="46"/>
      <c r="H302" s="46" t="s">
        <v>1215</v>
      </c>
      <c r="I302" s="45" t="s">
        <v>148</v>
      </c>
    </row>
    <row r="303" spans="1:9" ht="28">
      <c r="A303" s="82">
        <v>46241</v>
      </c>
      <c r="B303" s="44" t="s">
        <v>201</v>
      </c>
      <c r="C303" s="83">
        <v>4750</v>
      </c>
      <c r="D303" s="44" t="s">
        <v>162</v>
      </c>
      <c r="E303" s="44" t="s">
        <v>49</v>
      </c>
      <c r="F303" s="44"/>
      <c r="G303" s="44"/>
      <c r="H303" s="44" t="s">
        <v>1378</v>
      </c>
      <c r="I303" s="44" t="s">
        <v>148</v>
      </c>
    </row>
    <row r="304" spans="1:9" ht="14">
      <c r="A304" s="84">
        <v>46243</v>
      </c>
      <c r="B304" s="45" t="s">
        <v>1251</v>
      </c>
      <c r="C304" s="85">
        <v>950</v>
      </c>
      <c r="D304" s="45" t="s">
        <v>162</v>
      </c>
      <c r="E304" s="45" t="s">
        <v>49</v>
      </c>
      <c r="F304" s="46"/>
      <c r="G304" s="46"/>
      <c r="H304" s="46" t="s">
        <v>1372</v>
      </c>
      <c r="I304" s="45" t="s">
        <v>148</v>
      </c>
    </row>
    <row r="305" spans="1:9" ht="14">
      <c r="A305" s="82">
        <v>46243</v>
      </c>
      <c r="B305" s="44" t="s">
        <v>1252</v>
      </c>
      <c r="C305" s="83">
        <v>1380</v>
      </c>
      <c r="D305" s="44" t="s">
        <v>162</v>
      </c>
      <c r="E305" s="44" t="s">
        <v>49</v>
      </c>
      <c r="F305" s="44"/>
      <c r="G305" s="44"/>
      <c r="H305" s="44" t="s">
        <v>1253</v>
      </c>
      <c r="I305" s="44" t="s">
        <v>148</v>
      </c>
    </row>
    <row r="306" spans="1:9" ht="14">
      <c r="A306" s="84">
        <v>46243</v>
      </c>
      <c r="B306" s="45" t="s">
        <v>1254</v>
      </c>
      <c r="C306" s="85">
        <v>1250</v>
      </c>
      <c r="D306" s="45" t="s">
        <v>162</v>
      </c>
      <c r="E306" s="45" t="s">
        <v>49</v>
      </c>
      <c r="F306" s="46"/>
      <c r="G306" s="46"/>
      <c r="H306" s="46" t="s">
        <v>1255</v>
      </c>
      <c r="I306" s="45" t="s">
        <v>148</v>
      </c>
    </row>
    <row r="307" spans="1:9" ht="14">
      <c r="A307" s="82">
        <v>46243</v>
      </c>
      <c r="B307" s="44" t="s">
        <v>1277</v>
      </c>
      <c r="C307" s="83">
        <v>5750</v>
      </c>
      <c r="D307" s="44" t="s">
        <v>162</v>
      </c>
      <c r="E307" s="44" t="s">
        <v>49</v>
      </c>
      <c r="F307" s="44"/>
      <c r="G307" s="44"/>
      <c r="H307" s="44" t="s">
        <v>1278</v>
      </c>
      <c r="I307" s="44" t="s">
        <v>148</v>
      </c>
    </row>
    <row r="308" spans="1:9" ht="14">
      <c r="A308" s="82">
        <v>46248</v>
      </c>
      <c r="B308" s="44" t="s">
        <v>1257</v>
      </c>
      <c r="C308" s="83">
        <v>1380</v>
      </c>
      <c r="D308" s="44" t="s">
        <v>162</v>
      </c>
      <c r="E308" s="44" t="s">
        <v>49</v>
      </c>
      <c r="F308" s="44"/>
      <c r="G308" s="44"/>
      <c r="H308" s="44" t="s">
        <v>1258</v>
      </c>
      <c r="I308" s="44" t="s">
        <v>148</v>
      </c>
    </row>
    <row r="309" spans="1:9" ht="14">
      <c r="A309" s="84">
        <v>46248</v>
      </c>
      <c r="B309" s="45" t="s">
        <v>1259</v>
      </c>
      <c r="C309" s="85">
        <v>1380</v>
      </c>
      <c r="D309" s="45" t="s">
        <v>162</v>
      </c>
      <c r="E309" s="45" t="s">
        <v>49</v>
      </c>
      <c r="F309" s="46"/>
      <c r="G309" s="46"/>
      <c r="H309" s="46" t="s">
        <v>1260</v>
      </c>
      <c r="I309" s="45" t="s">
        <v>148</v>
      </c>
    </row>
    <row r="310" spans="1:9" ht="14">
      <c r="A310" s="82">
        <v>46250</v>
      </c>
      <c r="B310" s="44" t="s">
        <v>329</v>
      </c>
      <c r="C310" s="83">
        <v>1979</v>
      </c>
      <c r="D310" s="44" t="s">
        <v>162</v>
      </c>
      <c r="E310" s="44" t="s">
        <v>49</v>
      </c>
      <c r="F310" s="44"/>
      <c r="G310" s="44"/>
      <c r="H310" s="44" t="s">
        <v>1269</v>
      </c>
      <c r="I310" s="44" t="s">
        <v>148</v>
      </c>
    </row>
    <row r="311" spans="1:9" ht="14">
      <c r="A311" s="84">
        <v>46250</v>
      </c>
      <c r="B311" s="45" t="s">
        <v>197</v>
      </c>
      <c r="C311" s="85">
        <v>980</v>
      </c>
      <c r="D311" s="45" t="s">
        <v>162</v>
      </c>
      <c r="E311" s="45" t="s">
        <v>49</v>
      </c>
      <c r="F311" s="46"/>
      <c r="G311" s="46"/>
      <c r="H311" s="46" t="s">
        <v>1262</v>
      </c>
      <c r="I311" s="45" t="s">
        <v>148</v>
      </c>
    </row>
    <row r="312" spans="1:9" ht="14">
      <c r="A312" s="82">
        <v>46250</v>
      </c>
      <c r="B312" s="44" t="s">
        <v>1265</v>
      </c>
      <c r="C312" s="83">
        <v>2250</v>
      </c>
      <c r="D312" s="44" t="s">
        <v>162</v>
      </c>
      <c r="E312" s="44" t="s">
        <v>49</v>
      </c>
      <c r="F312" s="44"/>
      <c r="G312" s="44"/>
      <c r="H312" s="44" t="s">
        <v>1267</v>
      </c>
      <c r="I312" s="44" t="s">
        <v>148</v>
      </c>
    </row>
    <row r="313" spans="1:9" ht="14">
      <c r="A313" s="84">
        <v>46252</v>
      </c>
      <c r="B313" s="45" t="s">
        <v>1277</v>
      </c>
      <c r="C313" s="85">
        <v>5750</v>
      </c>
      <c r="D313" s="45" t="s">
        <v>162</v>
      </c>
      <c r="E313" s="45" t="s">
        <v>49</v>
      </c>
      <c r="F313" s="46"/>
      <c r="G313" s="46"/>
      <c r="H313" s="46" t="s">
        <v>1278</v>
      </c>
      <c r="I313" s="45" t="s">
        <v>148</v>
      </c>
    </row>
    <row r="314" spans="1:9" ht="14">
      <c r="A314" s="82">
        <v>46252</v>
      </c>
      <c r="B314" s="44" t="s">
        <v>1281</v>
      </c>
      <c r="C314" s="83">
        <v>1380</v>
      </c>
      <c r="D314" s="44" t="s">
        <v>162</v>
      </c>
      <c r="E314" s="44" t="s">
        <v>49</v>
      </c>
      <c r="F314" s="44"/>
      <c r="G314" s="44"/>
      <c r="H314" s="44" t="s">
        <v>1292</v>
      </c>
      <c r="I314" s="44" t="s">
        <v>148</v>
      </c>
    </row>
    <row r="315" spans="1:9" ht="14">
      <c r="A315" s="84">
        <v>46252</v>
      </c>
      <c r="B315" s="45" t="s">
        <v>1277</v>
      </c>
      <c r="C315" s="85">
        <v>5750</v>
      </c>
      <c r="D315" s="45" t="s">
        <v>162</v>
      </c>
      <c r="E315" s="45" t="s">
        <v>49</v>
      </c>
      <c r="F315" s="46"/>
      <c r="G315" s="46"/>
      <c r="H315" s="46" t="s">
        <v>1278</v>
      </c>
      <c r="I315" s="45" t="s">
        <v>148</v>
      </c>
    </row>
    <row r="316" spans="1:9" ht="14">
      <c r="A316" s="82">
        <v>46252</v>
      </c>
      <c r="B316" s="44" t="s">
        <v>1285</v>
      </c>
      <c r="C316" s="83">
        <v>1340</v>
      </c>
      <c r="D316" s="44" t="s">
        <v>162</v>
      </c>
      <c r="E316" s="44" t="s">
        <v>49</v>
      </c>
      <c r="F316" s="44"/>
      <c r="G316" s="44"/>
      <c r="H316" s="44" t="s">
        <v>1286</v>
      </c>
      <c r="I316" s="44" t="s">
        <v>148</v>
      </c>
    </row>
    <row r="317" spans="1:9" ht="14">
      <c r="A317" s="84">
        <v>46252</v>
      </c>
      <c r="B317" s="45" t="s">
        <v>1288</v>
      </c>
      <c r="C317" s="85">
        <v>1250</v>
      </c>
      <c r="D317" s="45" t="s">
        <v>162</v>
      </c>
      <c r="E317" s="45" t="s">
        <v>49</v>
      </c>
      <c r="F317" s="46"/>
      <c r="G317" s="46"/>
      <c r="H317" s="46" t="s">
        <v>1289</v>
      </c>
      <c r="I317" s="45" t="s">
        <v>148</v>
      </c>
    </row>
    <row r="318" spans="1:9" ht="14">
      <c r="A318" s="82">
        <v>46257</v>
      </c>
      <c r="B318" s="44" t="s">
        <v>1277</v>
      </c>
      <c r="C318" s="83">
        <v>1780</v>
      </c>
      <c r="D318" s="44" t="s">
        <v>162</v>
      </c>
      <c r="E318" s="44" t="s">
        <v>49</v>
      </c>
      <c r="F318" s="44"/>
      <c r="G318" s="44"/>
      <c r="H318" s="44" t="s">
        <v>1293</v>
      </c>
      <c r="I318" s="44" t="s">
        <v>148</v>
      </c>
    </row>
    <row r="319" spans="1:9" ht="14">
      <c r="A319" s="84">
        <v>46257</v>
      </c>
      <c r="B319" s="45" t="s">
        <v>175</v>
      </c>
      <c r="C319" s="85">
        <v>2100</v>
      </c>
      <c r="D319" s="45" t="s">
        <v>162</v>
      </c>
      <c r="E319" s="45" t="s">
        <v>49</v>
      </c>
      <c r="F319" s="46"/>
      <c r="G319" s="46"/>
      <c r="H319" s="46" t="s">
        <v>1296</v>
      </c>
      <c r="I319" s="45" t="s">
        <v>148</v>
      </c>
    </row>
    <row r="320" spans="1:9" ht="14">
      <c r="A320" s="82">
        <v>46257</v>
      </c>
      <c r="B320" s="44" t="s">
        <v>49</v>
      </c>
      <c r="C320" s="83">
        <v>700</v>
      </c>
      <c r="D320" s="44" t="s">
        <v>162</v>
      </c>
      <c r="E320" s="44" t="s">
        <v>49</v>
      </c>
      <c r="F320" s="44"/>
      <c r="G320" s="44"/>
      <c r="H320" s="44" t="s">
        <v>1299</v>
      </c>
      <c r="I320" s="44" t="s">
        <v>148</v>
      </c>
    </row>
    <row r="321" spans="1:9" ht="14">
      <c r="A321" s="84">
        <v>46257</v>
      </c>
      <c r="B321" s="45" t="s">
        <v>1303</v>
      </c>
      <c r="C321" s="85">
        <v>1500</v>
      </c>
      <c r="D321" s="45" t="s">
        <v>162</v>
      </c>
      <c r="E321" s="45" t="s">
        <v>49</v>
      </c>
      <c r="F321" s="46"/>
      <c r="G321" s="46"/>
      <c r="H321" s="46" t="s">
        <v>1304</v>
      </c>
      <c r="I321" s="45" t="s">
        <v>148</v>
      </c>
    </row>
    <row r="322" spans="1:9" ht="14">
      <c r="A322" s="82">
        <v>46258</v>
      </c>
      <c r="B322" s="44" t="s">
        <v>1305</v>
      </c>
      <c r="C322" s="83">
        <v>1250</v>
      </c>
      <c r="D322" s="44" t="s">
        <v>162</v>
      </c>
      <c r="E322" s="44" t="s">
        <v>49</v>
      </c>
      <c r="F322" s="44"/>
      <c r="G322" s="44"/>
      <c r="H322" s="44" t="s">
        <v>1306</v>
      </c>
      <c r="I322" s="44" t="s">
        <v>148</v>
      </c>
    </row>
    <row r="323" spans="1:9" ht="14">
      <c r="A323" s="84">
        <v>46263</v>
      </c>
      <c r="B323" s="45" t="s">
        <v>1325</v>
      </c>
      <c r="C323" s="85">
        <v>1380</v>
      </c>
      <c r="D323" s="45" t="s">
        <v>162</v>
      </c>
      <c r="E323" s="45" t="s">
        <v>49</v>
      </c>
      <c r="F323" s="46"/>
      <c r="G323" s="46"/>
      <c r="H323" s="46" t="s">
        <v>1326</v>
      </c>
      <c r="I323" s="45" t="s">
        <v>148</v>
      </c>
    </row>
    <row r="324" spans="1:9" ht="14">
      <c r="A324" s="82">
        <v>46263</v>
      </c>
      <c r="B324" s="44" t="s">
        <v>1328</v>
      </c>
      <c r="C324" s="83">
        <v>1380</v>
      </c>
      <c r="D324" s="44" t="s">
        <v>162</v>
      </c>
      <c r="E324" s="44" t="s">
        <v>49</v>
      </c>
      <c r="F324" s="44"/>
      <c r="G324" s="44"/>
      <c r="H324" s="44" t="s">
        <v>1329</v>
      </c>
      <c r="I324" s="44" t="s">
        <v>148</v>
      </c>
    </row>
    <row r="325" spans="1:9" ht="14">
      <c r="A325" s="84">
        <v>46263</v>
      </c>
      <c r="B325" s="45" t="s">
        <v>1330</v>
      </c>
      <c r="C325" s="85">
        <v>2500</v>
      </c>
      <c r="D325" s="45" t="s">
        <v>162</v>
      </c>
      <c r="E325" s="45" t="s">
        <v>49</v>
      </c>
      <c r="F325" s="46"/>
      <c r="G325" s="46"/>
      <c r="H325" s="46" t="s">
        <v>1340</v>
      </c>
      <c r="I325" s="45" t="s">
        <v>148</v>
      </c>
    </row>
    <row r="326" spans="1:9" ht="14">
      <c r="A326" s="82">
        <v>46257</v>
      </c>
      <c r="B326" s="44" t="s">
        <v>226</v>
      </c>
      <c r="C326" s="83">
        <v>750</v>
      </c>
      <c r="D326" s="44" t="s">
        <v>150</v>
      </c>
      <c r="E326" s="44" t="s">
        <v>49</v>
      </c>
      <c r="F326" s="44"/>
      <c r="G326" s="44"/>
      <c r="H326" s="44" t="s">
        <v>1339</v>
      </c>
      <c r="I326" s="44" t="s">
        <v>148</v>
      </c>
    </row>
    <row r="327" spans="1:9" ht="14">
      <c r="A327" s="84">
        <v>46257</v>
      </c>
      <c r="B327" s="45" t="s">
        <v>1341</v>
      </c>
      <c r="C327" s="85">
        <v>750</v>
      </c>
      <c r="D327" s="45" t="s">
        <v>150</v>
      </c>
      <c r="E327" s="45" t="s">
        <v>50</v>
      </c>
      <c r="F327" s="46"/>
      <c r="G327" s="46"/>
      <c r="H327" s="46" t="s">
        <v>1342</v>
      </c>
      <c r="I327" s="45" t="s">
        <v>148</v>
      </c>
    </row>
    <row r="328" spans="1:9" ht="14">
      <c r="A328" s="82">
        <v>46275</v>
      </c>
      <c r="B328" s="44" t="s">
        <v>1379</v>
      </c>
      <c r="C328" s="83">
        <v>1380</v>
      </c>
      <c r="D328" s="44" t="s">
        <v>162</v>
      </c>
      <c r="E328" s="44" t="s">
        <v>49</v>
      </c>
      <c r="F328" s="44"/>
      <c r="G328" s="44"/>
      <c r="H328" s="44" t="s">
        <v>1381</v>
      </c>
      <c r="I328" s="44" t="s">
        <v>148</v>
      </c>
    </row>
    <row r="329" spans="1:9" ht="14">
      <c r="A329" s="84">
        <v>46272</v>
      </c>
      <c r="B329" s="45" t="s">
        <v>414</v>
      </c>
      <c r="C329" s="85">
        <v>2400</v>
      </c>
      <c r="D329" s="45" t="s">
        <v>162</v>
      </c>
      <c r="E329" s="45" t="s">
        <v>49</v>
      </c>
      <c r="F329" s="46"/>
      <c r="G329" s="46"/>
      <c r="H329" s="46" t="s">
        <v>1382</v>
      </c>
      <c r="I329" s="45" t="s">
        <v>356</v>
      </c>
    </row>
    <row r="330" spans="1:9" ht="14">
      <c r="A330" s="82">
        <v>46275</v>
      </c>
      <c r="B330" s="44" t="s">
        <v>1384</v>
      </c>
      <c r="C330" s="83">
        <v>1450</v>
      </c>
      <c r="D330" s="44" t="s">
        <v>150</v>
      </c>
      <c r="E330" s="44" t="s">
        <v>50</v>
      </c>
      <c r="F330" s="44"/>
      <c r="G330" s="44"/>
      <c r="H330" s="44" t="s">
        <v>1387</v>
      </c>
      <c r="I330" s="44" t="s">
        <v>148</v>
      </c>
    </row>
    <row r="331" spans="1:9" ht="14">
      <c r="A331" s="84">
        <v>46275</v>
      </c>
      <c r="B331" s="45" t="s">
        <v>1391</v>
      </c>
      <c r="C331" s="85">
        <v>950</v>
      </c>
      <c r="D331" s="45" t="s">
        <v>150</v>
      </c>
      <c r="E331" s="45" t="s">
        <v>50</v>
      </c>
      <c r="F331" s="46"/>
      <c r="G331" s="46"/>
      <c r="H331" s="46" t="s">
        <v>1392</v>
      </c>
      <c r="I331" s="45" t="s">
        <v>148</v>
      </c>
    </row>
    <row r="332" spans="1:9">
      <c r="A332" s="82"/>
      <c r="B332" s="44"/>
      <c r="C332" s="83"/>
      <c r="D332" s="44"/>
      <c r="E332" s="44"/>
      <c r="F332" s="44"/>
      <c r="G332" s="44"/>
      <c r="H332" s="44"/>
      <c r="I332" s="44"/>
    </row>
    <row r="333" spans="1:9">
      <c r="A333" s="84"/>
      <c r="B333" s="45"/>
      <c r="C333" s="85"/>
      <c r="D333" s="45"/>
      <c r="E333" s="45"/>
      <c r="F333" s="46"/>
      <c r="G333" s="46"/>
      <c r="H333" s="46"/>
      <c r="I333" s="45"/>
    </row>
    <row r="334" spans="1:9">
      <c r="A334" s="82"/>
      <c r="B334" s="44"/>
      <c r="C334" s="83"/>
      <c r="D334" s="44"/>
      <c r="E334" s="44"/>
      <c r="F334" s="44"/>
      <c r="G334" s="44"/>
      <c r="H334" s="44"/>
      <c r="I334" s="44"/>
    </row>
    <row r="335" spans="1:9">
      <c r="A335" s="84"/>
      <c r="B335" s="45"/>
      <c r="C335" s="85"/>
      <c r="D335" s="45"/>
      <c r="E335" s="45"/>
      <c r="F335" s="46"/>
      <c r="G335" s="46"/>
      <c r="H335" s="46"/>
      <c r="I335" s="45"/>
    </row>
    <row r="336" spans="1:9">
      <c r="A336" s="82"/>
      <c r="B336" s="44"/>
      <c r="C336" s="83"/>
      <c r="D336" s="44"/>
      <c r="E336" s="44"/>
      <c r="F336" s="44"/>
      <c r="G336" s="44"/>
      <c r="H336" s="44"/>
      <c r="I336" s="44"/>
    </row>
    <row r="337" spans="1:9">
      <c r="A337" s="84"/>
      <c r="B337" s="45"/>
      <c r="C337" s="85"/>
      <c r="D337" s="45"/>
      <c r="E337" s="45"/>
      <c r="F337" s="46"/>
      <c r="G337" s="46"/>
      <c r="H337" s="46"/>
      <c r="I337" s="45"/>
    </row>
    <row r="338" spans="1:9">
      <c r="A338" s="82"/>
      <c r="B338" s="44"/>
      <c r="C338" s="83"/>
      <c r="D338" s="44"/>
      <c r="E338" s="44"/>
      <c r="F338" s="44"/>
      <c r="G338" s="44"/>
      <c r="H338" s="44"/>
      <c r="I338" s="44"/>
    </row>
    <row r="339" spans="1:9">
      <c r="A339" s="84"/>
      <c r="B339" s="45"/>
      <c r="C339" s="85"/>
      <c r="D339" s="45"/>
      <c r="E339" s="45"/>
      <c r="F339" s="46"/>
      <c r="G339" s="46"/>
      <c r="H339" s="46"/>
      <c r="I339" s="45"/>
    </row>
    <row r="340" spans="1:9">
      <c r="A340" s="82"/>
      <c r="B340" s="44"/>
      <c r="C340" s="83"/>
      <c r="D340" s="44"/>
      <c r="E340" s="44"/>
      <c r="F340" s="44"/>
      <c r="G340" s="44"/>
      <c r="H340" s="44"/>
      <c r="I340" s="44"/>
    </row>
    <row r="341" spans="1:9">
      <c r="A341" s="84"/>
      <c r="B341" s="45"/>
      <c r="C341" s="85"/>
      <c r="D341" s="45"/>
      <c r="E341" s="45"/>
      <c r="F341" s="46"/>
      <c r="G341" s="46"/>
      <c r="H341" s="46"/>
      <c r="I341" s="45"/>
    </row>
    <row r="342" spans="1:9">
      <c r="A342" s="82"/>
      <c r="B342" s="44"/>
      <c r="C342" s="83"/>
      <c r="D342" s="44"/>
      <c r="E342" s="44"/>
      <c r="F342" s="44"/>
      <c r="G342" s="44"/>
      <c r="H342" s="44"/>
      <c r="I342" s="44"/>
    </row>
    <row r="343" spans="1:9">
      <c r="A343" s="84"/>
      <c r="B343" s="45"/>
      <c r="C343" s="85"/>
      <c r="D343" s="45"/>
      <c r="E343" s="45"/>
      <c r="F343" s="46"/>
      <c r="G343" s="46"/>
      <c r="H343" s="46"/>
      <c r="I343" s="45"/>
    </row>
    <row r="344" spans="1:9">
      <c r="A344" s="82"/>
      <c r="B344" s="44"/>
      <c r="C344" s="83"/>
      <c r="D344" s="44"/>
      <c r="E344" s="44"/>
      <c r="F344" s="44"/>
      <c r="G344" s="44"/>
      <c r="H344" s="44"/>
      <c r="I344" s="44"/>
    </row>
    <row r="345" spans="1:9">
      <c r="A345" s="84"/>
      <c r="B345" s="45"/>
      <c r="C345" s="85"/>
      <c r="D345" s="45"/>
      <c r="E345" s="45"/>
      <c r="F345" s="46"/>
      <c r="G345" s="46"/>
      <c r="H345" s="46"/>
      <c r="I345" s="45"/>
    </row>
    <row r="346" spans="1:9">
      <c r="A346" s="82"/>
      <c r="B346" s="44"/>
      <c r="C346" s="83"/>
      <c r="D346" s="44"/>
      <c r="E346" s="44"/>
      <c r="F346" s="44"/>
      <c r="G346" s="44"/>
      <c r="H346" s="44"/>
      <c r="I346" s="44"/>
    </row>
    <row r="347" spans="1:9">
      <c r="A347" s="84"/>
      <c r="B347" s="45"/>
      <c r="C347" s="85"/>
      <c r="D347" s="45"/>
      <c r="E347" s="45"/>
      <c r="F347" s="46"/>
      <c r="G347" s="46"/>
      <c r="H347" s="46"/>
      <c r="I347" s="45"/>
    </row>
    <row r="348" spans="1:9">
      <c r="A348" s="82"/>
      <c r="B348" s="44"/>
      <c r="C348" s="83"/>
      <c r="D348" s="44"/>
      <c r="E348" s="44"/>
      <c r="F348" s="44"/>
      <c r="G348" s="44"/>
      <c r="H348" s="44"/>
      <c r="I348" s="44"/>
    </row>
    <row r="349" spans="1:9">
      <c r="A349" s="84"/>
      <c r="B349" s="45"/>
      <c r="C349" s="85"/>
      <c r="D349" s="45"/>
      <c r="E349" s="45"/>
      <c r="F349" s="46"/>
      <c r="G349" s="46"/>
      <c r="H349" s="46"/>
      <c r="I349" s="45"/>
    </row>
    <row r="350" spans="1:9">
      <c r="A350" s="82"/>
      <c r="B350" s="44"/>
      <c r="C350" s="83"/>
      <c r="D350" s="44"/>
      <c r="E350" s="44"/>
      <c r="F350" s="44"/>
      <c r="G350" s="44"/>
      <c r="H350" s="44"/>
      <c r="I350" s="44"/>
    </row>
    <row r="351" spans="1:9">
      <c r="A351" s="84"/>
      <c r="B351" s="45"/>
      <c r="C351" s="85"/>
      <c r="D351" s="45"/>
      <c r="E351" s="45"/>
      <c r="F351" s="46"/>
      <c r="G351" s="46"/>
      <c r="H351" s="46"/>
      <c r="I351" s="45"/>
    </row>
    <row r="352" spans="1:9">
      <c r="A352" s="82"/>
      <c r="B352" s="44"/>
      <c r="C352" s="83"/>
      <c r="D352" s="44"/>
      <c r="E352" s="44"/>
      <c r="F352" s="44"/>
      <c r="G352" s="44"/>
      <c r="H352" s="44"/>
      <c r="I352" s="44"/>
    </row>
    <row r="353" spans="1:9">
      <c r="A353" s="84"/>
      <c r="B353" s="45"/>
      <c r="C353" s="85"/>
      <c r="D353" s="45"/>
      <c r="E353" s="45"/>
      <c r="F353" s="46"/>
      <c r="G353" s="46"/>
      <c r="H353" s="46"/>
      <c r="I353" s="45"/>
    </row>
  </sheetData>
  <autoFilter ref="A1:I329"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7"/>
  <sheetViews>
    <sheetView tabSelected="1" topLeftCell="D1" zoomScaleNormal="100" workbookViewId="0">
      <pane ySplit="1" topLeftCell="A215" activePane="bottomLeft" state="frozen"/>
      <selection activeCell="E1" sqref="E1"/>
      <selection pane="bottomLeft" activeCell="D218" sqref="D218"/>
    </sheetView>
  </sheetViews>
  <sheetFormatPr baseColWidth="10" defaultColWidth="7" defaultRowHeight="14"/>
  <cols>
    <col min="1" max="1" width="10" style="47" customWidth="1"/>
    <col min="2" max="2" width="94.33203125" style="47" customWidth="1"/>
    <col min="3" max="3" width="14.33203125" style="47" bestFit="1" customWidth="1"/>
    <col min="4" max="4" width="22.5" style="47" bestFit="1"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6" style="47" customWidth="1"/>
    <col min="11" max="11" width="16.1640625" style="47" customWidth="1"/>
    <col min="12" max="12" width="74.5" style="47" bestFit="1" customWidth="1"/>
    <col min="13" max="13" width="22.5" style="47" bestFit="1" customWidth="1"/>
    <col min="14" max="14" width="11.83203125" style="47" bestFit="1"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4">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1249</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4</v>
      </c>
      <c r="G78" s="53">
        <v>0</v>
      </c>
      <c r="H78" s="52">
        <f t="shared" si="4"/>
        <v>4</v>
      </c>
      <c r="I78" s="52">
        <f>IF(D78&lt;&gt;"",D78,IFERROR(E78/(IFERROR(SUM(Sales!C:C),0))*(IFERROR(SUM(Purchases!C:C),0)),0))</f>
        <v>1075</v>
      </c>
      <c r="J78" s="52">
        <f t="shared" si="5"/>
        <v>4300</v>
      </c>
      <c r="K78" s="52">
        <f t="shared" si="6"/>
        <v>0</v>
      </c>
      <c r="L78" s="52" t="s">
        <v>1388</v>
      </c>
      <c r="M78" s="52"/>
      <c r="N78" s="52" t="s">
        <v>504</v>
      </c>
      <c r="O78" s="52" t="s">
        <v>673</v>
      </c>
      <c r="P78" s="52"/>
      <c r="Q78" s="52"/>
      <c r="R78" s="52"/>
      <c r="S78" s="52"/>
      <c r="T78" s="52"/>
    </row>
    <row r="79" spans="1:20" ht="15" customHeight="1">
      <c r="A79" s="55" t="s">
        <v>674</v>
      </c>
      <c r="B79" s="55" t="s">
        <v>675</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676</v>
      </c>
      <c r="M79" s="55"/>
      <c r="N79" s="55" t="s">
        <v>677</v>
      </c>
      <c r="O79" s="55" t="s">
        <v>673</v>
      </c>
      <c r="P79" s="55"/>
      <c r="Q79" s="55"/>
      <c r="R79" s="55"/>
      <c r="S79" s="55"/>
      <c r="T79" s="55"/>
    </row>
    <row r="80" spans="1:20" ht="15" customHeight="1">
      <c r="A80" s="52" t="s">
        <v>678</v>
      </c>
      <c r="B80" s="52" t="s">
        <v>679</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680</v>
      </c>
      <c r="M80" s="52"/>
      <c r="N80" s="52" t="s">
        <v>589</v>
      </c>
      <c r="O80" s="52" t="s">
        <v>681</v>
      </c>
      <c r="P80" s="52"/>
      <c r="Q80" s="52"/>
      <c r="R80" s="52"/>
      <c r="S80" s="52"/>
      <c r="T80" s="52"/>
    </row>
    <row r="81" spans="1:20" ht="30" customHeight="1">
      <c r="A81" s="55" t="s">
        <v>682</v>
      </c>
      <c r="B81" s="55" t="s">
        <v>683</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684</v>
      </c>
      <c r="M81" s="55"/>
      <c r="N81" s="55" t="s">
        <v>504</v>
      </c>
      <c r="O81" s="55"/>
      <c r="P81" s="55"/>
      <c r="Q81" s="55"/>
      <c r="R81" s="55"/>
      <c r="S81" s="55"/>
      <c r="T81" s="55"/>
    </row>
    <row r="82" spans="1:20" ht="15" customHeight="1">
      <c r="A82" s="52" t="s">
        <v>685</v>
      </c>
      <c r="B82" s="52" t="s">
        <v>686</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687</v>
      </c>
      <c r="M82" s="52"/>
      <c r="N82" s="52" t="s">
        <v>504</v>
      </c>
      <c r="O82" s="52"/>
      <c r="P82" s="52"/>
      <c r="Q82" s="52"/>
      <c r="R82" s="52"/>
      <c r="S82" s="52"/>
      <c r="T82" s="52"/>
    </row>
    <row r="83" spans="1:20" ht="30" customHeight="1">
      <c r="A83" s="55" t="s">
        <v>688</v>
      </c>
      <c r="B83" s="55" t="s">
        <v>689</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690</v>
      </c>
      <c r="M83" s="55"/>
      <c r="N83" s="55" t="s">
        <v>504</v>
      </c>
      <c r="O83" s="55" t="s">
        <v>691</v>
      </c>
      <c r="P83" s="55"/>
      <c r="Q83" s="55"/>
      <c r="R83" s="55"/>
      <c r="S83" s="55"/>
      <c r="T83" s="55"/>
    </row>
    <row r="84" spans="1:20" ht="15" customHeight="1">
      <c r="A84" s="52" t="s">
        <v>692</v>
      </c>
      <c r="B84" s="52" t="s">
        <v>693</v>
      </c>
      <c r="C84" s="52" t="s">
        <v>96</v>
      </c>
      <c r="D84" s="53">
        <v>450</v>
      </c>
      <c r="E84" s="53">
        <v>650</v>
      </c>
      <c r="F84" s="53">
        <v>2</v>
      </c>
      <c r="G84" s="53">
        <v>1</v>
      </c>
      <c r="H84" s="52">
        <f t="shared" si="4"/>
        <v>3</v>
      </c>
      <c r="I84" s="52">
        <f>IF(D84&lt;&gt;"",D84,IFERROR(E84/(IFERROR(SUM(Sales!C:C),0))*(IFERROR(SUM(Purchases!C:C),0)),0))</f>
        <v>450</v>
      </c>
      <c r="J84" s="52">
        <f t="shared" si="5"/>
        <v>900</v>
      </c>
      <c r="K84" s="52">
        <f t="shared" si="6"/>
        <v>450</v>
      </c>
      <c r="L84" s="52" t="s">
        <v>1386</v>
      </c>
      <c r="M84" s="52"/>
      <c r="N84" s="52" t="s">
        <v>589</v>
      </c>
      <c r="O84" s="52" t="s">
        <v>1385</v>
      </c>
      <c r="P84" s="52"/>
      <c r="Q84" s="52"/>
      <c r="R84" s="52"/>
      <c r="S84" s="52"/>
      <c r="T84" s="52"/>
    </row>
    <row r="85" spans="1:20" ht="15" customHeight="1">
      <c r="A85" s="55" t="s">
        <v>694</v>
      </c>
      <c r="B85" s="55" t="s">
        <v>695</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696</v>
      </c>
      <c r="M85" s="55"/>
      <c r="N85" s="55" t="s">
        <v>504</v>
      </c>
      <c r="O85" s="55"/>
      <c r="P85" s="55"/>
      <c r="Q85" s="55"/>
      <c r="R85" s="55"/>
      <c r="S85" s="55"/>
      <c r="T85" s="55"/>
    </row>
    <row r="86" spans="1:20" ht="15" customHeight="1">
      <c r="A86" s="52" t="s">
        <v>697</v>
      </c>
      <c r="B86" s="52" t="s">
        <v>698</v>
      </c>
      <c r="C86" s="52" t="s">
        <v>96</v>
      </c>
      <c r="D86" s="53">
        <v>1045</v>
      </c>
      <c r="E86" s="53">
        <v>1495</v>
      </c>
      <c r="F86" s="53">
        <v>3</v>
      </c>
      <c r="G86" s="53">
        <v>1</v>
      </c>
      <c r="H86" s="52">
        <f t="shared" si="4"/>
        <v>4</v>
      </c>
      <c r="I86" s="52">
        <f>IF(D86&lt;&gt;"",D86,IFERROR(E86/(IFERROR(SUM(Sales!C:C),0))*(IFERROR(SUM(Purchases!C:C),0)),0))</f>
        <v>1045</v>
      </c>
      <c r="J86" s="52">
        <f t="shared" si="5"/>
        <v>3135</v>
      </c>
      <c r="K86" s="52">
        <f t="shared" si="6"/>
        <v>1045</v>
      </c>
      <c r="L86" s="52" t="s">
        <v>1389</v>
      </c>
      <c r="M86" s="52"/>
      <c r="N86" s="52" t="s">
        <v>589</v>
      </c>
      <c r="O86" s="52" t="s">
        <v>1390</v>
      </c>
      <c r="P86" s="52"/>
      <c r="Q86" s="52"/>
      <c r="R86" s="52"/>
      <c r="S86" s="52"/>
      <c r="T86" s="52"/>
    </row>
    <row r="87" spans="1:20" ht="15" customHeight="1">
      <c r="A87" s="55" t="s">
        <v>699</v>
      </c>
      <c r="B87" s="55" t="s">
        <v>700</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677</v>
      </c>
      <c r="O87" s="55" t="s">
        <v>701</v>
      </c>
      <c r="P87" s="55"/>
      <c r="Q87" s="55"/>
      <c r="R87" s="55"/>
      <c r="S87" s="55"/>
      <c r="T87" s="55"/>
    </row>
    <row r="88" spans="1:20" ht="30" customHeight="1">
      <c r="A88" s="52" t="s">
        <v>702</v>
      </c>
      <c r="B88" s="52" t="s">
        <v>703</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1102</v>
      </c>
      <c r="M88" s="52"/>
      <c r="N88" s="52" t="s">
        <v>504</v>
      </c>
      <c r="O88" s="52"/>
      <c r="P88" s="52"/>
      <c r="Q88" s="52"/>
      <c r="R88" s="52"/>
      <c r="S88" s="52"/>
      <c r="T88" s="52"/>
    </row>
    <row r="89" spans="1:20" ht="15" customHeight="1">
      <c r="A89" s="55" t="s">
        <v>704</v>
      </c>
      <c r="B89" s="55" t="s">
        <v>705</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706</v>
      </c>
      <c r="M89" s="55"/>
      <c r="N89" s="55" t="s">
        <v>504</v>
      </c>
      <c r="O89" s="55"/>
      <c r="P89" s="55"/>
      <c r="Q89" s="55"/>
      <c r="R89" s="55"/>
      <c r="S89" s="55"/>
      <c r="T89" s="55"/>
    </row>
    <row r="90" spans="1:20" ht="15" customHeight="1">
      <c r="A90" s="52" t="s">
        <v>707</v>
      </c>
      <c r="B90" s="52" t="s">
        <v>708</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709</v>
      </c>
      <c r="B91" s="55" t="s">
        <v>710</v>
      </c>
      <c r="C91" s="55" t="s">
        <v>711</v>
      </c>
      <c r="D91" s="56">
        <v>389</v>
      </c>
      <c r="E91" s="56">
        <v>689</v>
      </c>
      <c r="F91" s="56">
        <v>2</v>
      </c>
      <c r="G91" s="56">
        <v>0</v>
      </c>
      <c r="H91" s="55">
        <f t="shared" si="4"/>
        <v>2</v>
      </c>
      <c r="I91" s="55">
        <f>IF(D91&lt;&gt;"",D91,IFERROR(E91/(IFERROR(SUM(Sales!C:C),0))*(IFERROR(SUM(Purchases!C:C),0)),0))</f>
        <v>389</v>
      </c>
      <c r="J91" s="55">
        <f t="shared" si="5"/>
        <v>778</v>
      </c>
      <c r="K91" s="55">
        <f t="shared" si="6"/>
        <v>0</v>
      </c>
      <c r="L91" s="55" t="s">
        <v>712</v>
      </c>
      <c r="M91" s="55"/>
      <c r="N91" s="55" t="s">
        <v>504</v>
      </c>
      <c r="O91" s="55"/>
      <c r="P91" s="55"/>
      <c r="Q91" s="55"/>
      <c r="R91" s="55"/>
      <c r="S91" s="55"/>
      <c r="T91" s="55"/>
    </row>
    <row r="92" spans="1:20" ht="15" customHeight="1">
      <c r="A92" s="52" t="s">
        <v>713</v>
      </c>
      <c r="B92" s="52" t="s">
        <v>714</v>
      </c>
      <c r="C92" s="52" t="s">
        <v>711</v>
      </c>
      <c r="D92" s="53">
        <v>489</v>
      </c>
      <c r="E92" s="53">
        <v>789</v>
      </c>
      <c r="F92" s="53">
        <v>3</v>
      </c>
      <c r="G92" s="53">
        <v>0</v>
      </c>
      <c r="H92" s="52">
        <f t="shared" si="4"/>
        <v>3</v>
      </c>
      <c r="I92" s="52">
        <f>IF(D92&lt;&gt;"",D92,IFERROR(E92/(IFERROR(SUM(Sales!C:C),0))*(IFERROR(SUM(Purchases!C:C),0)),0))</f>
        <v>489</v>
      </c>
      <c r="J92" s="52">
        <f t="shared" si="5"/>
        <v>1467</v>
      </c>
      <c r="K92" s="52">
        <f t="shared" si="6"/>
        <v>0</v>
      </c>
      <c r="L92" s="52" t="s">
        <v>715</v>
      </c>
      <c r="M92" s="52"/>
      <c r="N92" s="52" t="s">
        <v>504</v>
      </c>
      <c r="O92" s="52"/>
      <c r="P92" s="52"/>
      <c r="Q92" s="52"/>
      <c r="R92" s="52"/>
      <c r="S92" s="52"/>
      <c r="T92" s="52"/>
    </row>
    <row r="93" spans="1:20" ht="15" customHeight="1">
      <c r="A93" s="55" t="s">
        <v>716</v>
      </c>
      <c r="B93" s="55" t="s">
        <v>717</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1149</v>
      </c>
      <c r="M93" s="55"/>
      <c r="N93" s="52" t="s">
        <v>589</v>
      </c>
      <c r="O93" s="55" t="s">
        <v>216</v>
      </c>
      <c r="P93" s="55"/>
      <c r="Q93" s="55"/>
      <c r="R93" s="55"/>
      <c r="S93" s="55"/>
      <c r="T93" s="55"/>
    </row>
    <row r="94" spans="1:20" ht="15" customHeight="1">
      <c r="A94" s="52" t="s">
        <v>718</v>
      </c>
      <c r="B94" s="52" t="s">
        <v>719</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720</v>
      </c>
      <c r="B95" s="55" t="s">
        <v>721</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722</v>
      </c>
      <c r="M95" s="55"/>
      <c r="N95" s="55" t="s">
        <v>504</v>
      </c>
      <c r="O95" s="55"/>
      <c r="P95" s="55"/>
      <c r="Q95" s="55"/>
      <c r="R95" s="55"/>
      <c r="S95" s="55"/>
      <c r="T95" s="55"/>
    </row>
    <row r="96" spans="1:20" ht="15" customHeight="1">
      <c r="A96" s="52" t="s">
        <v>723</v>
      </c>
      <c r="B96" s="52" t="s">
        <v>724</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725</v>
      </c>
      <c r="B97" s="55" t="s">
        <v>726</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727</v>
      </c>
      <c r="B98" s="52" t="s">
        <v>728</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729</v>
      </c>
      <c r="B99" s="55" t="s">
        <v>730</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731</v>
      </c>
      <c r="B100" s="52" t="s">
        <v>732</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733</v>
      </c>
      <c r="B101" s="55" t="s">
        <v>734</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735</v>
      </c>
      <c r="B102" s="52" t="s">
        <v>736</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737</v>
      </c>
      <c r="B103" s="55" t="s">
        <v>738</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739</v>
      </c>
      <c r="B104" s="52" t="s">
        <v>740</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741</v>
      </c>
      <c r="B105" s="55" t="s">
        <v>742</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743</v>
      </c>
      <c r="B106" s="52" t="s">
        <v>744</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745</v>
      </c>
      <c r="B107" s="55" t="s">
        <v>746</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747</v>
      </c>
      <c r="B108" s="52" t="s">
        <v>748</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749</v>
      </c>
      <c r="B109" s="55" t="s">
        <v>750</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751</v>
      </c>
      <c r="B110" s="52" t="s">
        <v>752</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753</v>
      </c>
      <c r="B111" s="55" t="s">
        <v>754</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755</v>
      </c>
      <c r="B112" s="52" t="s">
        <v>756</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1088</v>
      </c>
      <c r="M112" s="52"/>
      <c r="N112" s="52" t="s">
        <v>504</v>
      </c>
      <c r="O112" s="52" t="s">
        <v>207</v>
      </c>
      <c r="P112" s="52"/>
      <c r="Q112" s="52"/>
      <c r="R112" s="52"/>
      <c r="S112" s="52"/>
      <c r="T112" s="52"/>
    </row>
    <row r="113" spans="1:246" ht="15" customHeight="1">
      <c r="A113" s="55" t="s">
        <v>757</v>
      </c>
      <c r="B113" s="55" t="s">
        <v>758</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759</v>
      </c>
      <c r="B114" s="52" t="s">
        <v>760</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761</v>
      </c>
      <c r="B115" s="55" t="s">
        <v>762</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763</v>
      </c>
      <c r="M115" s="55"/>
      <c r="N115" s="55" t="s">
        <v>504</v>
      </c>
      <c r="O115" s="55"/>
      <c r="P115" s="79"/>
      <c r="Q115" s="55"/>
      <c r="R115" s="55"/>
      <c r="S115" s="55"/>
      <c r="T115" s="55"/>
    </row>
    <row r="116" spans="1:246" ht="150" customHeight="1">
      <c r="A116" s="52" t="s">
        <v>764</v>
      </c>
      <c r="B116" s="52" t="s">
        <v>765</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766</v>
      </c>
      <c r="M116" s="52"/>
      <c r="N116" s="52" t="s">
        <v>504</v>
      </c>
      <c r="O116" s="52"/>
      <c r="P116" s="52"/>
      <c r="Q116" s="52"/>
      <c r="R116" s="52"/>
      <c r="S116" s="52"/>
      <c r="T116" s="52"/>
    </row>
    <row r="117" spans="1:246" ht="15" customHeight="1">
      <c r="A117" s="55" t="s">
        <v>767</v>
      </c>
      <c r="B117" s="55" t="s">
        <v>768</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769</v>
      </c>
      <c r="B118" s="52" t="s">
        <v>770</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771</v>
      </c>
      <c r="M118" s="52"/>
      <c r="N118" s="52" t="s">
        <v>504</v>
      </c>
      <c r="O118" s="52"/>
      <c r="P118" s="52" t="s">
        <v>772</v>
      </c>
      <c r="Q118" s="52"/>
      <c r="R118" s="52"/>
      <c r="S118" s="52"/>
      <c r="T118" s="52"/>
    </row>
    <row r="119" spans="1:246" ht="15" customHeight="1">
      <c r="A119" s="55" t="s">
        <v>773</v>
      </c>
      <c r="B119" s="55" t="s">
        <v>774</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775</v>
      </c>
      <c r="B120" s="52" t="s">
        <v>776</v>
      </c>
      <c r="C120" s="52" t="s">
        <v>95</v>
      </c>
      <c r="D120" s="53">
        <v>418.95333333333298</v>
      </c>
      <c r="E120" s="53">
        <v>699</v>
      </c>
      <c r="F120" s="53">
        <v>45</v>
      </c>
      <c r="G120" s="53">
        <v>11</v>
      </c>
      <c r="H120" s="52">
        <f t="shared" si="7"/>
        <v>56</v>
      </c>
      <c r="I120" s="52">
        <f>IF(D120&lt;&gt;"",D120,IFERROR(E120/(IFERROR(SUM(Sales!C:C),0))*(IFERROR(SUM(Purchases!C:C),0)),0))</f>
        <v>418.95333333333298</v>
      </c>
      <c r="J120" s="52">
        <f t="shared" si="5"/>
        <v>18852.899999999983</v>
      </c>
      <c r="K120" s="52">
        <f t="shared" si="6"/>
        <v>4608.486666666663</v>
      </c>
      <c r="L120" s="52" t="s">
        <v>1144</v>
      </c>
      <c r="M120" s="52" t="s">
        <v>49</v>
      </c>
      <c r="N120" s="52" t="s">
        <v>589</v>
      </c>
      <c r="O120" s="52"/>
      <c r="P120" s="52" t="s">
        <v>1351</v>
      </c>
      <c r="Q120" s="52"/>
      <c r="R120" s="52"/>
      <c r="S120" s="52"/>
      <c r="T120" s="52"/>
    </row>
    <row r="121" spans="1:246" ht="15" customHeight="1">
      <c r="A121" s="55" t="s">
        <v>777</v>
      </c>
      <c r="B121" s="55" t="s">
        <v>778</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779</v>
      </c>
      <c r="M121" s="55"/>
      <c r="N121" s="55" t="s">
        <v>504</v>
      </c>
      <c r="O121" s="55"/>
      <c r="P121" s="55" t="s">
        <v>780</v>
      </c>
      <c r="Q121" s="55"/>
      <c r="R121" s="55"/>
      <c r="S121" s="55"/>
      <c r="T121" s="55"/>
    </row>
    <row r="122" spans="1:246" ht="15" customHeight="1">
      <c r="A122" s="52" t="s">
        <v>781</v>
      </c>
      <c r="B122" s="52" t="s">
        <v>782</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783</v>
      </c>
      <c r="M122" s="52"/>
      <c r="N122" s="52" t="s">
        <v>504</v>
      </c>
      <c r="O122" s="52"/>
      <c r="P122" s="52"/>
      <c r="Q122" s="52"/>
      <c r="R122" s="52"/>
      <c r="S122" s="52"/>
      <c r="T122" s="52"/>
    </row>
    <row r="123" spans="1:246" s="58" customFormat="1" ht="75" customHeight="1">
      <c r="A123" s="63" t="s">
        <v>784</v>
      </c>
      <c r="B123" s="63" t="s">
        <v>785</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786</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787</v>
      </c>
      <c r="B124" s="65" t="s">
        <v>788</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789</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790</v>
      </c>
      <c r="B125" s="63" t="s">
        <v>791</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792</v>
      </c>
      <c r="M125" s="63"/>
      <c r="N125" s="63" t="s">
        <v>504</v>
      </c>
      <c r="O125" s="63"/>
      <c r="P125" s="63" t="s">
        <v>793</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794</v>
      </c>
      <c r="B126" s="52" t="s">
        <v>795</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796</v>
      </c>
      <c r="M126" s="52"/>
      <c r="N126" s="52" t="s">
        <v>504</v>
      </c>
      <c r="O126" s="52" t="s">
        <v>797</v>
      </c>
      <c r="P126" s="52"/>
      <c r="Q126" s="52"/>
      <c r="R126" s="52"/>
      <c r="S126" s="52"/>
      <c r="T126" s="52"/>
    </row>
    <row r="127" spans="1:246" ht="15" customHeight="1">
      <c r="A127" s="63" t="s">
        <v>798</v>
      </c>
      <c r="B127" s="55" t="s">
        <v>799</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800</v>
      </c>
      <c r="B128" s="52" t="s">
        <v>801</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1062</v>
      </c>
      <c r="M128" s="52"/>
      <c r="N128" s="52" t="s">
        <v>504</v>
      </c>
      <c r="O128" s="52"/>
      <c r="P128" s="52"/>
      <c r="Q128" s="52"/>
      <c r="R128" s="52"/>
      <c r="S128" s="52"/>
      <c r="T128" s="52"/>
    </row>
    <row r="129" spans="1:20" ht="15" customHeight="1">
      <c r="A129" s="63" t="s">
        <v>802</v>
      </c>
      <c r="B129" s="55" t="s">
        <v>803</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804</v>
      </c>
      <c r="M129" s="55"/>
      <c r="N129" s="55" t="s">
        <v>504</v>
      </c>
      <c r="O129" s="55"/>
      <c r="P129" s="55"/>
      <c r="Q129" s="55"/>
      <c r="R129" s="55"/>
      <c r="S129" s="55"/>
      <c r="T129" s="55"/>
    </row>
    <row r="130" spans="1:20" ht="15" customHeight="1">
      <c r="A130" s="65" t="s">
        <v>805</v>
      </c>
      <c r="B130" s="52" t="s">
        <v>806</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807</v>
      </c>
      <c r="M130" s="52"/>
      <c r="N130" s="52" t="s">
        <v>504</v>
      </c>
      <c r="O130" s="52"/>
      <c r="P130" s="52"/>
      <c r="Q130" s="52"/>
      <c r="R130" s="52"/>
      <c r="S130" s="52"/>
      <c r="T130" s="52"/>
    </row>
    <row r="131" spans="1:20" ht="15" customHeight="1">
      <c r="A131" s="63" t="s">
        <v>808</v>
      </c>
      <c r="B131" s="55" t="s">
        <v>809</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677</v>
      </c>
      <c r="O131" s="55"/>
      <c r="P131" s="55"/>
      <c r="Q131" s="55"/>
      <c r="R131" s="55"/>
      <c r="S131" s="55"/>
      <c r="T131" s="55"/>
    </row>
    <row r="132" spans="1:20" ht="15" customHeight="1">
      <c r="A132" s="65" t="s">
        <v>810</v>
      </c>
      <c r="B132" s="52" t="s">
        <v>811</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812</v>
      </c>
      <c r="M132" s="52"/>
      <c r="N132" s="52" t="s">
        <v>504</v>
      </c>
      <c r="O132" s="52"/>
      <c r="P132" s="52"/>
      <c r="Q132" s="52"/>
      <c r="R132" s="52"/>
      <c r="S132" s="52"/>
      <c r="T132" s="52"/>
    </row>
    <row r="133" spans="1:20" ht="15" customHeight="1">
      <c r="A133" s="63" t="s">
        <v>813</v>
      </c>
      <c r="B133" s="55" t="s">
        <v>814</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677</v>
      </c>
      <c r="O133" s="55"/>
      <c r="P133" s="55"/>
      <c r="Q133" s="55"/>
      <c r="R133" s="55"/>
      <c r="S133" s="55"/>
      <c r="T133" s="55"/>
    </row>
    <row r="134" spans="1:20" ht="15" customHeight="1">
      <c r="A134" s="65" t="s">
        <v>815</v>
      </c>
      <c r="B134" s="52" t="s">
        <v>816</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677</v>
      </c>
      <c r="O134" s="52"/>
      <c r="P134" s="52"/>
      <c r="Q134" s="52"/>
      <c r="R134" s="52"/>
      <c r="S134" s="52"/>
      <c r="T134" s="52"/>
    </row>
    <row r="135" spans="1:20" ht="15" customHeight="1">
      <c r="A135" s="63" t="s">
        <v>817</v>
      </c>
      <c r="B135" s="55" t="s">
        <v>818</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819</v>
      </c>
      <c r="M135" s="55"/>
      <c r="N135" s="55" t="s">
        <v>504</v>
      </c>
      <c r="O135" s="55"/>
      <c r="P135" s="55"/>
      <c r="Q135" s="55"/>
      <c r="R135" s="55"/>
      <c r="S135" s="55"/>
      <c r="T135" s="55"/>
    </row>
    <row r="136" spans="1:20" ht="15" customHeight="1">
      <c r="A136" s="65" t="s">
        <v>820</v>
      </c>
      <c r="B136" s="52" t="s">
        <v>821</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822</v>
      </c>
      <c r="M136" s="52"/>
      <c r="N136" s="52" t="s">
        <v>504</v>
      </c>
      <c r="O136" s="52"/>
      <c r="P136" s="52" t="s">
        <v>823</v>
      </c>
      <c r="Q136" s="52"/>
      <c r="R136" s="52"/>
      <c r="S136" s="52"/>
      <c r="T136" s="52"/>
    </row>
    <row r="137" spans="1:20" ht="15" customHeight="1">
      <c r="A137" s="63" t="s">
        <v>824</v>
      </c>
      <c r="B137" s="55" t="s">
        <v>825</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826</v>
      </c>
      <c r="B138" s="52" t="s">
        <v>827</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828</v>
      </c>
      <c r="M138" s="52"/>
      <c r="N138" s="52" t="s">
        <v>504</v>
      </c>
      <c r="O138" s="52"/>
      <c r="P138" s="52"/>
      <c r="Q138" s="52"/>
      <c r="R138" s="52"/>
      <c r="S138" s="52"/>
      <c r="T138" s="52"/>
    </row>
    <row r="139" spans="1:20" ht="15" customHeight="1">
      <c r="A139" s="63" t="s">
        <v>829</v>
      </c>
      <c r="B139" s="55" t="s">
        <v>830</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831</v>
      </c>
      <c r="B140" s="52" t="s">
        <v>832</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833</v>
      </c>
      <c r="M140" s="52"/>
      <c r="N140" s="52" t="s">
        <v>589</v>
      </c>
      <c r="O140" s="52"/>
      <c r="P140" s="52"/>
      <c r="Q140" s="52"/>
      <c r="R140" s="52"/>
      <c r="S140" s="52"/>
      <c r="T140" s="52"/>
    </row>
    <row r="141" spans="1:20" ht="15" customHeight="1">
      <c r="A141" s="63" t="s">
        <v>834</v>
      </c>
      <c r="B141" s="55" t="s">
        <v>835</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836</v>
      </c>
      <c r="M141" s="55"/>
      <c r="N141" s="55" t="s">
        <v>504</v>
      </c>
      <c r="O141" s="55"/>
      <c r="P141" s="55"/>
      <c r="Q141" s="55"/>
      <c r="R141" s="55"/>
      <c r="S141" s="55"/>
      <c r="T141" s="55"/>
    </row>
    <row r="142" spans="1:20" ht="15" customHeight="1">
      <c r="A142" s="52" t="s">
        <v>837</v>
      </c>
      <c r="B142" s="52" t="s">
        <v>838</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839</v>
      </c>
      <c r="M142" s="52"/>
      <c r="N142" s="52" t="s">
        <v>504</v>
      </c>
      <c r="O142" s="52"/>
      <c r="P142" s="52"/>
      <c r="Q142" s="52"/>
      <c r="R142" s="52"/>
      <c r="S142" s="52"/>
      <c r="T142" s="52"/>
    </row>
    <row r="143" spans="1:20" ht="15" customHeight="1">
      <c r="A143" s="55" t="s">
        <v>840</v>
      </c>
      <c r="B143" s="55" t="s">
        <v>841</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677</v>
      </c>
      <c r="O143" s="55"/>
      <c r="P143" s="55"/>
      <c r="Q143" s="55"/>
      <c r="R143" s="55"/>
      <c r="S143" s="55"/>
      <c r="T143" s="55"/>
    </row>
    <row r="144" spans="1:20" ht="15" customHeight="1">
      <c r="A144" s="52" t="s">
        <v>842</v>
      </c>
      <c r="B144" s="52" t="s">
        <v>843</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677</v>
      </c>
      <c r="O144" s="52"/>
      <c r="P144" s="52"/>
      <c r="Q144" s="52"/>
      <c r="R144" s="52"/>
      <c r="S144" s="52"/>
      <c r="T144" s="52"/>
    </row>
    <row r="145" spans="1:20" ht="15" customHeight="1">
      <c r="A145" s="55" t="s">
        <v>844</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845</v>
      </c>
      <c r="B146" s="52" t="s">
        <v>846</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847</v>
      </c>
      <c r="M146" s="52"/>
      <c r="N146" s="52" t="s">
        <v>589</v>
      </c>
      <c r="O146" s="52"/>
      <c r="P146" s="52" t="s">
        <v>848</v>
      </c>
      <c r="Q146" s="52"/>
      <c r="R146" s="52"/>
      <c r="S146" s="52"/>
      <c r="T146" s="52"/>
    </row>
    <row r="147" spans="1:20" ht="63.75" customHeight="1">
      <c r="A147" s="55" t="s">
        <v>849</v>
      </c>
      <c r="B147" s="55" t="s">
        <v>850</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1141</v>
      </c>
      <c r="M147" s="55"/>
      <c r="N147" s="55" t="s">
        <v>504</v>
      </c>
      <c r="O147" s="55"/>
      <c r="P147" s="55"/>
      <c r="Q147" s="55"/>
      <c r="R147" s="55"/>
      <c r="S147" s="55"/>
      <c r="T147" s="55"/>
    </row>
    <row r="148" spans="1:20" ht="15" customHeight="1">
      <c r="A148" s="52" t="s">
        <v>851</v>
      </c>
      <c r="B148" s="52" t="s">
        <v>852</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1118</v>
      </c>
      <c r="M148" s="52"/>
      <c r="N148" s="52" t="s">
        <v>589</v>
      </c>
      <c r="O148" s="52"/>
      <c r="P148" s="52"/>
      <c r="Q148" s="52"/>
      <c r="R148" s="52"/>
      <c r="S148" s="52"/>
      <c r="T148" s="52"/>
    </row>
    <row r="149" spans="1:20" ht="15" customHeight="1">
      <c r="A149" s="55" t="s">
        <v>853</v>
      </c>
      <c r="B149" s="55" t="s">
        <v>854</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1119</v>
      </c>
      <c r="M149" s="55"/>
      <c r="N149" s="55" t="s">
        <v>504</v>
      </c>
      <c r="O149" s="55"/>
      <c r="P149" s="55"/>
      <c r="Q149" s="55"/>
      <c r="R149" s="55"/>
      <c r="S149" s="55"/>
      <c r="T149" s="55"/>
    </row>
    <row r="150" spans="1:20" ht="15" customHeight="1">
      <c r="A150" s="52" t="s">
        <v>855</v>
      </c>
      <c r="B150" s="52" t="s">
        <v>856</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677</v>
      </c>
      <c r="O150" s="52"/>
      <c r="P150" s="52"/>
      <c r="Q150" s="52"/>
      <c r="R150" s="52"/>
      <c r="S150" s="52"/>
      <c r="T150" s="52"/>
    </row>
    <row r="151" spans="1:20" ht="15" customHeight="1">
      <c r="A151" s="55" t="s">
        <v>857</v>
      </c>
      <c r="B151" s="55" t="s">
        <v>858</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859</v>
      </c>
      <c r="M151" s="55"/>
      <c r="N151" s="55" t="s">
        <v>589</v>
      </c>
      <c r="O151" s="55" t="s">
        <v>216</v>
      </c>
      <c r="P151" s="55" t="s">
        <v>860</v>
      </c>
      <c r="Q151" s="55"/>
      <c r="R151" s="55"/>
      <c r="S151" s="55"/>
      <c r="T151" s="55"/>
    </row>
    <row r="152" spans="1:20" ht="15" customHeight="1">
      <c r="A152" s="52" t="s">
        <v>861</v>
      </c>
      <c r="B152" s="52" t="s">
        <v>862</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863</v>
      </c>
      <c r="M152" s="52"/>
      <c r="N152" s="52" t="s">
        <v>589</v>
      </c>
      <c r="O152" s="52" t="s">
        <v>864</v>
      </c>
      <c r="P152" s="52" t="s">
        <v>865</v>
      </c>
      <c r="Q152" s="52"/>
      <c r="R152" s="52"/>
      <c r="S152" s="52"/>
      <c r="T152" s="52"/>
    </row>
    <row r="153" spans="1:20" ht="15" customHeight="1">
      <c r="A153" s="55" t="s">
        <v>866</v>
      </c>
      <c r="B153" s="55" t="s">
        <v>867</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868</v>
      </c>
      <c r="M153" s="55"/>
      <c r="N153" s="55" t="s">
        <v>504</v>
      </c>
      <c r="O153" s="55"/>
      <c r="P153" s="55" t="s">
        <v>869</v>
      </c>
      <c r="Q153" s="55"/>
      <c r="R153" s="55"/>
      <c r="S153" s="55"/>
      <c r="T153" s="55"/>
    </row>
    <row r="154" spans="1:20" ht="15" customHeight="1">
      <c r="A154" s="52" t="s">
        <v>870</v>
      </c>
      <c r="B154" s="52" t="s">
        <v>871</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1092</v>
      </c>
      <c r="M154" s="52"/>
      <c r="N154" s="52" t="s">
        <v>589</v>
      </c>
      <c r="O154" s="52" t="s">
        <v>1089</v>
      </c>
      <c r="P154" s="52"/>
      <c r="Q154" s="52"/>
      <c r="R154" s="52"/>
      <c r="S154" s="52"/>
      <c r="T154" s="52"/>
    </row>
    <row r="155" spans="1:20" ht="15" customHeight="1">
      <c r="A155" s="55" t="s">
        <v>872</v>
      </c>
      <c r="B155" s="55" t="s">
        <v>873</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1108</v>
      </c>
      <c r="M155" s="55"/>
      <c r="N155" s="55" t="s">
        <v>589</v>
      </c>
      <c r="O155" s="55" t="s">
        <v>1089</v>
      </c>
      <c r="P155" s="55"/>
      <c r="Q155" s="55"/>
      <c r="R155" s="55"/>
      <c r="S155" s="55"/>
      <c r="T155" s="55"/>
    </row>
    <row r="156" spans="1:20" ht="15" customHeight="1">
      <c r="A156" s="52" t="s">
        <v>874</v>
      </c>
      <c r="B156" s="52" t="s">
        <v>875</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1093</v>
      </c>
      <c r="M156" s="52"/>
      <c r="N156" s="52" t="s">
        <v>589</v>
      </c>
      <c r="O156" s="52" t="s">
        <v>621</v>
      </c>
      <c r="P156" s="52"/>
      <c r="Q156" s="52"/>
      <c r="R156" s="52"/>
      <c r="S156" s="52"/>
      <c r="T156" s="52"/>
    </row>
    <row r="157" spans="1:20" ht="15" customHeight="1">
      <c r="A157" s="55" t="s">
        <v>876</v>
      </c>
      <c r="B157" s="55" t="s">
        <v>877</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878</v>
      </c>
      <c r="M157" s="55"/>
      <c r="N157" s="55" t="s">
        <v>589</v>
      </c>
      <c r="O157" s="55" t="s">
        <v>619</v>
      </c>
      <c r="P157" s="55"/>
      <c r="Q157" s="55"/>
      <c r="R157" s="55"/>
      <c r="S157" s="55"/>
      <c r="T157" s="55"/>
    </row>
    <row r="158" spans="1:20" ht="15" customHeight="1">
      <c r="A158" s="52" t="s">
        <v>879</v>
      </c>
      <c r="B158" s="52" t="s">
        <v>880</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881</v>
      </c>
      <c r="M158" s="52"/>
      <c r="N158" s="52" t="s">
        <v>677</v>
      </c>
      <c r="O158" s="52" t="s">
        <v>882</v>
      </c>
      <c r="P158" s="52"/>
      <c r="Q158" s="52"/>
      <c r="R158" s="52"/>
      <c r="S158" s="52"/>
      <c r="T158" s="52"/>
    </row>
    <row r="159" spans="1:20" ht="15" customHeight="1">
      <c r="A159" s="55" t="s">
        <v>883</v>
      </c>
      <c r="B159" s="55" t="s">
        <v>884</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885</v>
      </c>
      <c r="M159" s="55"/>
      <c r="N159" s="55" t="s">
        <v>589</v>
      </c>
      <c r="O159" s="55" t="s">
        <v>886</v>
      </c>
      <c r="P159" s="55"/>
      <c r="Q159" s="55"/>
      <c r="R159" s="55"/>
      <c r="S159" s="55"/>
      <c r="T159" s="55"/>
    </row>
    <row r="160" spans="1:20" ht="15" customHeight="1">
      <c r="A160" s="52" t="s">
        <v>887</v>
      </c>
      <c r="B160" s="52" t="s">
        <v>888</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889</v>
      </c>
      <c r="B161" s="55" t="s">
        <v>890</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891</v>
      </c>
      <c r="B162" s="52" t="s">
        <v>892</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893</v>
      </c>
      <c r="B163" s="55" t="s">
        <v>894</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677</v>
      </c>
      <c r="O163" s="55"/>
      <c r="P163" s="55"/>
      <c r="Q163" s="55"/>
      <c r="R163" s="55"/>
      <c r="S163" s="55"/>
      <c r="T163" s="55"/>
    </row>
    <row r="164" spans="1:20" ht="60" customHeight="1">
      <c r="A164" s="52" t="s">
        <v>895</v>
      </c>
      <c r="B164" s="52" t="s">
        <v>896</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1122</v>
      </c>
      <c r="M164" s="52"/>
      <c r="N164" s="52" t="s">
        <v>504</v>
      </c>
      <c r="O164" s="52"/>
      <c r="P164" s="52"/>
      <c r="Q164" s="52"/>
      <c r="R164" s="52"/>
      <c r="S164" s="52"/>
      <c r="T164" s="52"/>
    </row>
    <row r="165" spans="1:20" ht="15" customHeight="1">
      <c r="A165" s="55" t="s">
        <v>897</v>
      </c>
      <c r="B165" s="55" t="s">
        <v>898</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899</v>
      </c>
      <c r="Q165" s="55"/>
      <c r="R165" s="55"/>
      <c r="S165" s="55"/>
      <c r="T165" s="55"/>
    </row>
    <row r="166" spans="1:20" ht="15" customHeight="1">
      <c r="A166" s="52" t="s">
        <v>900</v>
      </c>
      <c r="B166" s="52" t="s">
        <v>901</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1294</v>
      </c>
      <c r="M166" s="52"/>
      <c r="N166" s="52" t="s">
        <v>589</v>
      </c>
      <c r="O166" s="52"/>
      <c r="P166" s="52" t="s">
        <v>1295</v>
      </c>
      <c r="Q166" s="52"/>
      <c r="R166" s="52"/>
      <c r="S166" s="52"/>
      <c r="T166" s="52"/>
    </row>
    <row r="167" spans="1:20" ht="15" customHeight="1">
      <c r="A167" s="55" t="s">
        <v>902</v>
      </c>
      <c r="B167" s="55" t="s">
        <v>903</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904</v>
      </c>
      <c r="M167" s="55"/>
      <c r="N167" s="55" t="s">
        <v>589</v>
      </c>
      <c r="O167" s="55"/>
      <c r="P167" s="55" t="s">
        <v>905</v>
      </c>
      <c r="Q167" s="55"/>
      <c r="R167" s="55"/>
      <c r="S167" s="55"/>
      <c r="T167" s="55"/>
    </row>
    <row r="168" spans="1:20" ht="15" customHeight="1">
      <c r="A168" s="52" t="s">
        <v>906</v>
      </c>
      <c r="B168" s="52" t="s">
        <v>907</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908</v>
      </c>
      <c r="M168" s="52"/>
      <c r="N168" s="52" t="s">
        <v>589</v>
      </c>
      <c r="O168" s="52"/>
      <c r="P168" s="52" t="s">
        <v>909</v>
      </c>
      <c r="Q168" s="52"/>
      <c r="R168" s="52"/>
      <c r="S168" s="52"/>
      <c r="T168" s="52"/>
    </row>
    <row r="169" spans="1:20" ht="15" customHeight="1">
      <c r="A169" s="55" t="s">
        <v>910</v>
      </c>
      <c r="B169" s="55" t="s">
        <v>911</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677</v>
      </c>
      <c r="O169" s="55"/>
      <c r="P169" s="55" t="s">
        <v>912</v>
      </c>
      <c r="Q169" s="55"/>
      <c r="R169" s="55"/>
      <c r="S169" s="55"/>
      <c r="T169" s="55"/>
    </row>
    <row r="170" spans="1:20" ht="30" customHeight="1">
      <c r="A170" s="52" t="s">
        <v>913</v>
      </c>
      <c r="B170" s="52" t="s">
        <v>914</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915</v>
      </c>
      <c r="M170" s="52"/>
      <c r="N170" s="52" t="s">
        <v>504</v>
      </c>
      <c r="O170" s="52"/>
      <c r="P170" s="52" t="s">
        <v>916</v>
      </c>
      <c r="Q170" s="52"/>
      <c r="R170" s="52"/>
      <c r="S170" s="52"/>
      <c r="T170" s="52"/>
    </row>
    <row r="171" spans="1:20" ht="31.5" customHeight="1">
      <c r="A171" s="55" t="s">
        <v>917</v>
      </c>
      <c r="B171" s="52" t="s">
        <v>918</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919</v>
      </c>
      <c r="M171" s="55"/>
      <c r="N171" s="55" t="s">
        <v>504</v>
      </c>
      <c r="O171" s="55"/>
      <c r="P171" s="55"/>
      <c r="Q171" s="55"/>
      <c r="R171" s="55"/>
      <c r="S171" s="55"/>
      <c r="T171" s="55"/>
    </row>
    <row r="172" spans="1:20" ht="15" customHeight="1">
      <c r="A172" s="52" t="s">
        <v>920</v>
      </c>
      <c r="B172" s="52" t="s">
        <v>921</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1244</v>
      </c>
      <c r="M172" s="52"/>
      <c r="N172" s="52" t="s">
        <v>504</v>
      </c>
      <c r="O172" s="52"/>
      <c r="P172" s="52"/>
      <c r="Q172" s="52"/>
      <c r="R172" s="52"/>
      <c r="S172" s="52"/>
      <c r="T172" s="52"/>
    </row>
    <row r="173" spans="1:20" ht="15" customHeight="1">
      <c r="A173" s="55" t="s">
        <v>922</v>
      </c>
      <c r="B173" s="55" t="s">
        <v>923</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924</v>
      </c>
      <c r="B174" s="52" t="s">
        <v>925</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926</v>
      </c>
      <c r="M174" s="52"/>
      <c r="N174" s="52" t="s">
        <v>504</v>
      </c>
      <c r="O174" s="52"/>
      <c r="P174" s="52"/>
      <c r="Q174" s="52"/>
      <c r="R174" s="52"/>
      <c r="S174" s="52"/>
      <c r="T174" s="52"/>
    </row>
    <row r="175" spans="1:20" ht="90" customHeight="1">
      <c r="A175" s="55" t="s">
        <v>927</v>
      </c>
      <c r="B175" s="55" t="s">
        <v>928</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1266</v>
      </c>
      <c r="M175" s="55"/>
      <c r="N175" s="55" t="s">
        <v>589</v>
      </c>
      <c r="O175" s="55"/>
      <c r="P175" s="55" t="s">
        <v>1264</v>
      </c>
      <c r="Q175" s="55"/>
      <c r="R175" s="55"/>
      <c r="S175" s="55"/>
      <c r="T175" s="55"/>
    </row>
    <row r="176" spans="1:20" ht="24" customHeight="1">
      <c r="A176" s="52" t="s">
        <v>929</v>
      </c>
      <c r="B176" s="52" t="s">
        <v>930</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931</v>
      </c>
      <c r="M176" s="52"/>
      <c r="N176" s="52" t="s">
        <v>504</v>
      </c>
      <c r="O176" s="52"/>
      <c r="P176" s="52"/>
      <c r="Q176" s="52"/>
      <c r="R176" s="52"/>
      <c r="S176" s="52"/>
      <c r="T176" s="52"/>
    </row>
    <row r="177" spans="1:20" ht="33.75" customHeight="1">
      <c r="A177" s="55" t="s">
        <v>932</v>
      </c>
      <c r="B177" s="55" t="s">
        <v>933</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934</v>
      </c>
      <c r="M177" s="55"/>
      <c r="N177" s="55" t="s">
        <v>504</v>
      </c>
      <c r="O177" s="55"/>
      <c r="P177" s="55" t="s">
        <v>935</v>
      </c>
      <c r="Q177" s="55"/>
      <c r="R177" s="55"/>
      <c r="S177" s="55"/>
      <c r="T177" s="55"/>
    </row>
    <row r="178" spans="1:20" ht="15" customHeight="1">
      <c r="A178" s="52" t="s">
        <v>936</v>
      </c>
      <c r="B178" s="52" t="s">
        <v>937</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938</v>
      </c>
      <c r="M178" s="52"/>
      <c r="N178" s="52" t="s">
        <v>504</v>
      </c>
      <c r="O178" s="52"/>
      <c r="P178" s="52" t="s">
        <v>939</v>
      </c>
      <c r="Q178" s="52"/>
      <c r="R178" s="52"/>
      <c r="S178" s="52"/>
      <c r="T178" s="52"/>
    </row>
    <row r="179" spans="1:20" ht="30" customHeight="1">
      <c r="A179" s="55" t="s">
        <v>940</v>
      </c>
      <c r="B179" s="55" t="s">
        <v>941</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942</v>
      </c>
      <c r="M179" s="55"/>
      <c r="N179" s="55" t="s">
        <v>504</v>
      </c>
      <c r="O179" s="55"/>
      <c r="P179" s="55" t="s">
        <v>943</v>
      </c>
      <c r="Q179" s="55"/>
      <c r="R179" s="55"/>
      <c r="S179" s="55"/>
      <c r="T179" s="55"/>
    </row>
    <row r="180" spans="1:20" ht="33.75" customHeight="1">
      <c r="A180" s="52" t="s">
        <v>944</v>
      </c>
      <c r="B180" s="52" t="s">
        <v>945</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946</v>
      </c>
      <c r="M180" s="52"/>
      <c r="N180" s="52" t="s">
        <v>504</v>
      </c>
      <c r="O180" s="52"/>
      <c r="P180" s="52"/>
      <c r="Q180" s="52"/>
      <c r="R180" s="52"/>
      <c r="S180" s="52"/>
      <c r="T180" s="52"/>
    </row>
    <row r="181" spans="1:20" ht="15" customHeight="1">
      <c r="A181" s="55" t="s">
        <v>947</v>
      </c>
      <c r="B181" s="55" t="s">
        <v>948</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1276</v>
      </c>
      <c r="M181" s="55"/>
      <c r="N181" s="55" t="s">
        <v>589</v>
      </c>
      <c r="O181" s="55" t="s">
        <v>1248</v>
      </c>
      <c r="P181" s="55" t="s">
        <v>949</v>
      </c>
      <c r="Q181" s="55"/>
      <c r="R181" s="55"/>
      <c r="S181" s="55"/>
      <c r="T181" s="55"/>
    </row>
    <row r="182" spans="1:20" ht="15" customHeight="1">
      <c r="A182" s="52" t="s">
        <v>950</v>
      </c>
      <c r="B182" s="52" t="s">
        <v>951</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677</v>
      </c>
      <c r="O182" s="52"/>
      <c r="P182" s="52" t="s">
        <v>952</v>
      </c>
      <c r="Q182" s="52"/>
      <c r="R182" s="52"/>
      <c r="S182" s="52"/>
      <c r="T182" s="52"/>
    </row>
    <row r="183" spans="1:20" ht="15" customHeight="1">
      <c r="A183" s="55" t="s">
        <v>953</v>
      </c>
      <c r="B183" s="55" t="s">
        <v>954</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1158</v>
      </c>
      <c r="M183" s="55"/>
      <c r="N183" s="55" t="s">
        <v>589</v>
      </c>
      <c r="O183" s="55"/>
      <c r="P183" s="55"/>
      <c r="Q183" s="55"/>
      <c r="R183" s="55"/>
      <c r="S183" s="55"/>
      <c r="T183" s="55"/>
    </row>
    <row r="184" spans="1:20" ht="52" customHeight="1">
      <c r="A184" s="52" t="s">
        <v>955</v>
      </c>
      <c r="B184" s="52" t="s">
        <v>956</v>
      </c>
      <c r="C184" s="52" t="s">
        <v>95</v>
      </c>
      <c r="D184" s="53">
        <v>891</v>
      </c>
      <c r="E184" s="53">
        <v>1380</v>
      </c>
      <c r="F184" s="66">
        <v>20</v>
      </c>
      <c r="G184" s="66">
        <v>0</v>
      </c>
      <c r="H184" s="65">
        <f t="shared" ref="H184:H224" si="12">F184+IF(LEN(G184)=0,0,G184)</f>
        <v>20</v>
      </c>
      <c r="I184" s="65">
        <f>IF(D184&lt;&gt;"",D184,IFERROR(E184/(IFERROR(SUM(Sales!C:C),0))*(IFERROR(SUM(Purchases!C:C),0)),0))</f>
        <v>891</v>
      </c>
      <c r="J184" s="65">
        <f t="shared" si="9"/>
        <v>17820</v>
      </c>
      <c r="K184" s="65">
        <f t="shared" si="10"/>
        <v>0</v>
      </c>
      <c r="L184" s="52" t="s">
        <v>1211</v>
      </c>
      <c r="M184" s="52"/>
      <c r="N184" s="52" t="s">
        <v>504</v>
      </c>
      <c r="O184" s="52"/>
      <c r="P184" s="52"/>
      <c r="Q184" s="52"/>
      <c r="R184" s="52"/>
      <c r="S184" s="52"/>
      <c r="T184" s="52"/>
    </row>
    <row r="185" spans="1:20" ht="15" customHeight="1">
      <c r="A185" s="55" t="s">
        <v>957</v>
      </c>
      <c r="B185" s="55" t="s">
        <v>958</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959</v>
      </c>
      <c r="M185" s="55"/>
      <c r="N185" s="55" t="s">
        <v>504</v>
      </c>
      <c r="O185" s="55"/>
      <c r="P185" s="55"/>
      <c r="Q185" s="55"/>
      <c r="R185" s="55"/>
      <c r="S185" s="55"/>
      <c r="T185" s="55"/>
    </row>
    <row r="186" spans="1:20" ht="15" customHeight="1">
      <c r="A186" s="52" t="s">
        <v>960</v>
      </c>
      <c r="B186" s="52" t="s">
        <v>785</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677</v>
      </c>
      <c r="O186" s="52"/>
      <c r="P186" s="52"/>
      <c r="Q186" s="52"/>
      <c r="R186" s="52"/>
      <c r="S186" s="52"/>
      <c r="T186" s="52"/>
    </row>
    <row r="187" spans="1:20" ht="15" customHeight="1">
      <c r="A187" s="55" t="s">
        <v>961</v>
      </c>
      <c r="B187" s="55" t="s">
        <v>962</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1281</v>
      </c>
      <c r="M187" s="55"/>
      <c r="N187" s="55" t="s">
        <v>589</v>
      </c>
      <c r="O187" s="55"/>
      <c r="P187" s="55"/>
      <c r="Q187" s="55"/>
      <c r="R187" s="55"/>
      <c r="S187" s="55"/>
      <c r="T187" s="55"/>
    </row>
    <row r="188" spans="1:20" ht="15" customHeight="1">
      <c r="A188" s="52" t="s">
        <v>963</v>
      </c>
      <c r="B188" s="52" t="s">
        <v>964</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1212</v>
      </c>
      <c r="M188" s="52"/>
      <c r="N188" s="52" t="s">
        <v>589</v>
      </c>
      <c r="O188" s="52"/>
      <c r="P188" s="52"/>
      <c r="Q188" s="52"/>
      <c r="R188" s="52"/>
      <c r="S188" s="52"/>
      <c r="T188" s="52"/>
    </row>
    <row r="189" spans="1:20" ht="63" customHeight="1">
      <c r="A189" s="55" t="s">
        <v>965</v>
      </c>
      <c r="B189" s="52" t="s">
        <v>966</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1284</v>
      </c>
      <c r="M189" s="55"/>
      <c r="N189" s="55" t="s">
        <v>589</v>
      </c>
      <c r="O189" s="55"/>
      <c r="P189" s="55" t="s">
        <v>1287</v>
      </c>
      <c r="Q189" s="55"/>
      <c r="R189" s="55"/>
      <c r="S189" s="55"/>
      <c r="T189" s="55"/>
    </row>
    <row r="190" spans="1:20" ht="15" customHeight="1">
      <c r="A190" s="52" t="s">
        <v>967</v>
      </c>
      <c r="B190" s="55" t="s">
        <v>968</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1150</v>
      </c>
      <c r="M190" s="52"/>
      <c r="N190" s="47" t="s">
        <v>504</v>
      </c>
      <c r="S190" s="47"/>
      <c r="T190" s="47"/>
    </row>
    <row r="191" spans="1:20" ht="30" customHeight="1">
      <c r="A191" s="55" t="s">
        <v>969</v>
      </c>
      <c r="B191" s="52" t="s">
        <v>970</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677</v>
      </c>
      <c r="P191" s="47" t="s">
        <v>971</v>
      </c>
      <c r="S191" s="47"/>
      <c r="T191" s="47"/>
    </row>
    <row r="192" spans="1:20" ht="15" customHeight="1">
      <c r="A192" s="52" t="s">
        <v>972</v>
      </c>
      <c r="B192" s="55" t="s">
        <v>973</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1071</v>
      </c>
      <c r="M192" s="52"/>
      <c r="N192" s="47" t="s">
        <v>589</v>
      </c>
      <c r="P192" s="47" t="s">
        <v>1072</v>
      </c>
      <c r="S192" s="47"/>
      <c r="T192" s="47"/>
    </row>
    <row r="193" spans="1:20" ht="15" customHeight="1">
      <c r="A193" s="55" t="s">
        <v>974</v>
      </c>
      <c r="B193" s="52" t="s">
        <v>975</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677</v>
      </c>
      <c r="P193" s="47" t="s">
        <v>976</v>
      </c>
      <c r="S193" s="47"/>
      <c r="T193" s="47"/>
    </row>
    <row r="194" spans="1:20" ht="35" customHeight="1">
      <c r="A194" s="52" t="s">
        <v>977</v>
      </c>
      <c r="B194" s="52" t="s">
        <v>1268</v>
      </c>
      <c r="C194" s="52" t="s">
        <v>95</v>
      </c>
      <c r="D194" s="53">
        <v>790</v>
      </c>
      <c r="E194" s="53">
        <v>1250</v>
      </c>
      <c r="F194" s="66">
        <v>3</v>
      </c>
      <c r="G194" s="66">
        <v>5</v>
      </c>
      <c r="H194" s="65">
        <f t="shared" si="12"/>
        <v>8</v>
      </c>
      <c r="I194" s="65">
        <f>IF(D194&lt;&gt;"",D194,IFERROR(E194/(IFERROR(SUM(Sales!C:C),0))*(IFERROR(SUM(Purchases!C:C),0)),0))</f>
        <v>790</v>
      </c>
      <c r="J194" s="65">
        <f t="shared" ref="J194:J224" si="13">F194*I194</f>
        <v>2370</v>
      </c>
      <c r="K194" s="65">
        <f t="shared" ref="K194:K224" si="14">IF(LEN(G194)=0,0,G194)*I194</f>
        <v>3950</v>
      </c>
      <c r="L194" s="52" t="s">
        <v>1333</v>
      </c>
      <c r="M194" s="52"/>
      <c r="N194" s="47" t="s">
        <v>589</v>
      </c>
      <c r="P194" s="47" t="s">
        <v>1393</v>
      </c>
      <c r="S194" s="47"/>
      <c r="T194" s="47"/>
    </row>
    <row r="195" spans="1:20" ht="12" customHeight="1">
      <c r="A195" s="55" t="s">
        <v>978</v>
      </c>
      <c r="B195" s="55" t="s">
        <v>979</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980</v>
      </c>
      <c r="M195" s="55"/>
      <c r="N195" s="47" t="s">
        <v>589</v>
      </c>
      <c r="P195" s="47" t="s">
        <v>981</v>
      </c>
      <c r="S195" s="47"/>
      <c r="T195" s="47"/>
    </row>
    <row r="196" spans="1:20" ht="15" customHeight="1">
      <c r="A196" s="55" t="s">
        <v>982</v>
      </c>
      <c r="B196" s="55" t="s">
        <v>983</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677</v>
      </c>
      <c r="P196" s="47" t="s">
        <v>984</v>
      </c>
      <c r="S196" s="47"/>
      <c r="T196" s="47"/>
    </row>
    <row r="197" spans="1:20" ht="15" customHeight="1">
      <c r="A197" s="52" t="s">
        <v>985</v>
      </c>
      <c r="B197" s="52" t="s">
        <v>986</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677</v>
      </c>
      <c r="P197" s="47" t="s">
        <v>987</v>
      </c>
      <c r="S197" s="47"/>
      <c r="T197" s="47"/>
    </row>
    <row r="198" spans="1:20" ht="15" customHeight="1">
      <c r="A198" s="55" t="s">
        <v>988</v>
      </c>
      <c r="B198" s="52" t="s">
        <v>989</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1163</v>
      </c>
      <c r="M198" s="55"/>
      <c r="N198" s="47" t="s">
        <v>589</v>
      </c>
      <c r="P198" s="47" t="s">
        <v>1164</v>
      </c>
      <c r="S198" s="47"/>
      <c r="T198" s="47"/>
    </row>
    <row r="199" spans="1:20" ht="30" customHeight="1">
      <c r="A199" s="52" t="s">
        <v>990</v>
      </c>
      <c r="B199" s="55" t="s">
        <v>991</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1290</v>
      </c>
      <c r="M199" s="52"/>
      <c r="N199" s="47" t="s">
        <v>589</v>
      </c>
      <c r="P199" s="47" t="s">
        <v>1291</v>
      </c>
      <c r="S199" s="47"/>
      <c r="T199" s="47"/>
    </row>
    <row r="200" spans="1:20" ht="15" customHeight="1">
      <c r="A200" s="55" t="s">
        <v>992</v>
      </c>
      <c r="B200" s="52" t="s">
        <v>993</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994</v>
      </c>
      <c r="M200" s="55"/>
      <c r="N200" s="47" t="s">
        <v>589</v>
      </c>
      <c r="P200" s="47" t="s">
        <v>995</v>
      </c>
      <c r="S200" s="47"/>
      <c r="T200" s="47"/>
    </row>
    <row r="201" spans="1:20" ht="15" customHeight="1">
      <c r="A201" s="52" t="s">
        <v>996</v>
      </c>
      <c r="B201" s="55" t="s">
        <v>1377</v>
      </c>
      <c r="C201" s="55" t="s">
        <v>95</v>
      </c>
      <c r="D201" s="56">
        <v>940</v>
      </c>
      <c r="E201" s="56">
        <v>1500</v>
      </c>
      <c r="F201" s="66">
        <v>4</v>
      </c>
      <c r="G201" s="66">
        <v>3</v>
      </c>
      <c r="H201" s="65">
        <f t="shared" si="12"/>
        <v>7</v>
      </c>
      <c r="I201" s="65">
        <f>IF(D201&lt;&gt;"",D201,IFERROR(E201/(IFERROR(SUM(Sales!C:C),0))*(IFERROR(SUM(Purchases!C:C),0)),0))</f>
        <v>940</v>
      </c>
      <c r="J201" s="65">
        <f t="shared" si="13"/>
        <v>3760</v>
      </c>
      <c r="K201" s="65">
        <f t="shared" si="14"/>
        <v>2820</v>
      </c>
      <c r="L201" s="52" t="s">
        <v>1134</v>
      </c>
      <c r="M201" s="52"/>
      <c r="N201" s="47" t="s">
        <v>589</v>
      </c>
      <c r="P201" s="47" t="s">
        <v>1376</v>
      </c>
      <c r="S201" s="47"/>
      <c r="T201" s="47"/>
    </row>
    <row r="202" spans="1:20" ht="15" customHeight="1">
      <c r="A202" s="55" t="s">
        <v>997</v>
      </c>
      <c r="B202" s="52" t="s">
        <v>998</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999</v>
      </c>
      <c r="M202" s="55"/>
      <c r="N202" s="47" t="s">
        <v>504</v>
      </c>
      <c r="P202" s="47" t="s">
        <v>1000</v>
      </c>
      <c r="S202" s="47"/>
      <c r="T202" s="47"/>
    </row>
    <row r="203" spans="1:20" ht="15" customHeight="1">
      <c r="A203" s="52" t="s">
        <v>1001</v>
      </c>
      <c r="B203" s="52" t="s">
        <v>1002</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1098</v>
      </c>
      <c r="M203" s="52"/>
      <c r="N203" s="47" t="s">
        <v>589</v>
      </c>
      <c r="P203" s="47" t="s">
        <v>1097</v>
      </c>
      <c r="S203" s="47"/>
      <c r="T203" s="47"/>
    </row>
    <row r="204" spans="1:20" ht="15" customHeight="1">
      <c r="A204" s="55" t="s">
        <v>1003</v>
      </c>
      <c r="B204" s="55" t="s">
        <v>1004</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1297</v>
      </c>
      <c r="M204" s="55"/>
      <c r="N204" s="47" t="s">
        <v>589</v>
      </c>
      <c r="P204" s="47" t="s">
        <v>1298</v>
      </c>
      <c r="S204" s="47"/>
      <c r="T204" s="47"/>
    </row>
    <row r="205" spans="1:20" ht="15" customHeight="1">
      <c r="A205" s="52" t="s">
        <v>1005</v>
      </c>
      <c r="B205" s="52" t="s">
        <v>1006</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1007</v>
      </c>
      <c r="S205" s="47"/>
      <c r="T205" s="47"/>
    </row>
    <row r="206" spans="1:20" ht="15" customHeight="1">
      <c r="A206" s="55" t="s">
        <v>1008</v>
      </c>
      <c r="B206" s="55" t="s">
        <v>1009</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1010</v>
      </c>
      <c r="M206" s="55"/>
      <c r="N206" s="47" t="s">
        <v>589</v>
      </c>
      <c r="P206" s="47" t="s">
        <v>1011</v>
      </c>
      <c r="S206" s="47"/>
      <c r="T206" s="47"/>
    </row>
    <row r="207" spans="1:20" ht="30" customHeight="1">
      <c r="A207" s="52" t="s">
        <v>1012</v>
      </c>
      <c r="B207" s="52" t="s">
        <v>1013</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1332</v>
      </c>
      <c r="M207" s="52"/>
      <c r="N207" s="47" t="s">
        <v>589</v>
      </c>
      <c r="P207" s="47" t="s">
        <v>1331</v>
      </c>
      <c r="S207" s="47"/>
      <c r="T207" s="47"/>
    </row>
    <row r="208" spans="1:20" ht="15" customHeight="1">
      <c r="A208" s="55" t="s">
        <v>1014</v>
      </c>
      <c r="B208" s="52" t="s">
        <v>1015</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1074</v>
      </c>
      <c r="M208" s="55"/>
      <c r="N208" s="47" t="s">
        <v>589</v>
      </c>
      <c r="P208" s="47" t="s">
        <v>1073</v>
      </c>
      <c r="S208" s="47"/>
      <c r="T208" s="47"/>
    </row>
    <row r="209" spans="1:20" ht="15" customHeight="1">
      <c r="A209" s="52" t="s">
        <v>1016</v>
      </c>
      <c r="B209" s="55" t="s">
        <v>1017</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677</v>
      </c>
      <c r="P209" s="47" t="s">
        <v>1018</v>
      </c>
      <c r="S209" s="47"/>
      <c r="T209" s="47"/>
    </row>
    <row r="210" spans="1:20" ht="15" customHeight="1">
      <c r="A210" s="55" t="s">
        <v>1019</v>
      </c>
      <c r="B210" s="52" t="s">
        <v>896</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1337</v>
      </c>
      <c r="M210" s="55"/>
      <c r="N210" s="47" t="s">
        <v>504</v>
      </c>
      <c r="P210" s="47" t="s">
        <v>1020</v>
      </c>
      <c r="S210" s="47"/>
      <c r="T210" s="47"/>
    </row>
    <row r="211" spans="1:20" ht="15" customHeight="1">
      <c r="A211" s="52" t="s">
        <v>1021</v>
      </c>
      <c r="B211" s="55" t="s">
        <v>1087</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1282</v>
      </c>
      <c r="M211" s="52"/>
      <c r="N211" s="47" t="s">
        <v>504</v>
      </c>
      <c r="S211" s="47"/>
      <c r="T211" s="47"/>
    </row>
    <row r="212" spans="1:20" ht="26" customHeight="1">
      <c r="A212" s="55" t="s">
        <v>1022</v>
      </c>
      <c r="B212" s="52" t="s">
        <v>1121</v>
      </c>
      <c r="C212" s="52" t="s">
        <v>95</v>
      </c>
      <c r="D212" s="53">
        <v>555</v>
      </c>
      <c r="E212" s="53">
        <v>850</v>
      </c>
      <c r="F212" s="64">
        <v>5</v>
      </c>
      <c r="G212" s="64">
        <v>5</v>
      </c>
      <c r="H212" s="63">
        <f t="shared" si="12"/>
        <v>10</v>
      </c>
      <c r="I212" s="63">
        <f>IF(D212&lt;&gt;"",D212,IFERROR(E212/(IFERROR(SUM(Sales!C:C),0))*(IFERROR(SUM(Purchases!C:C),0)),0))</f>
        <v>555</v>
      </c>
      <c r="J212" s="63">
        <f t="shared" si="13"/>
        <v>2775</v>
      </c>
      <c r="K212" s="63">
        <f t="shared" si="14"/>
        <v>2775</v>
      </c>
      <c r="L212" s="55" t="s">
        <v>1394</v>
      </c>
      <c r="M212" s="55"/>
      <c r="N212" s="47" t="s">
        <v>504</v>
      </c>
      <c r="P212" s="47" t="s">
        <v>1335</v>
      </c>
      <c r="S212" s="47"/>
      <c r="T212" s="47"/>
    </row>
    <row r="213" spans="1:20" ht="15" customHeight="1">
      <c r="A213" s="52" t="s">
        <v>1023</v>
      </c>
      <c r="B213" s="52" t="s">
        <v>1123</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1307</v>
      </c>
      <c r="M213" s="52"/>
      <c r="N213" s="47" t="s">
        <v>589</v>
      </c>
      <c r="P213" s="47" t="s">
        <v>1124</v>
      </c>
      <c r="S213" s="47"/>
      <c r="T213" s="47"/>
    </row>
    <row r="214" spans="1:20" ht="15" customHeight="1">
      <c r="A214" s="55" t="s">
        <v>1024</v>
      </c>
      <c r="B214" s="55" t="s">
        <v>1125</v>
      </c>
      <c r="C214" s="55" t="s">
        <v>95</v>
      </c>
      <c r="D214" s="56">
        <v>992</v>
      </c>
      <c r="E214" s="56">
        <v>1450</v>
      </c>
      <c r="F214" s="64">
        <v>2</v>
      </c>
      <c r="G214" s="64">
        <v>2</v>
      </c>
      <c r="H214" s="63">
        <f t="shared" si="12"/>
        <v>4</v>
      </c>
      <c r="I214" s="63">
        <f>IF(D214&lt;&gt;"",D214,IFERROR(E214/(IFERROR(SUM(Sales!C:C),0))*(IFERROR(SUM(Purchases!C:C),0)),0))</f>
        <v>992</v>
      </c>
      <c r="J214" s="63">
        <f t="shared" si="13"/>
        <v>1984</v>
      </c>
      <c r="K214" s="63">
        <f t="shared" si="14"/>
        <v>1984</v>
      </c>
      <c r="L214" s="55" t="s">
        <v>1204</v>
      </c>
      <c r="M214" s="55"/>
      <c r="N214" s="47" t="s">
        <v>589</v>
      </c>
      <c r="P214" s="47" t="s">
        <v>1126</v>
      </c>
      <c r="S214" s="47"/>
      <c r="T214" s="47"/>
    </row>
    <row r="215" spans="1:20" ht="30">
      <c r="A215" s="52" t="s">
        <v>1025</v>
      </c>
      <c r="B215" s="52" t="s">
        <v>989</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677</v>
      </c>
      <c r="P215" s="47" t="s">
        <v>1161</v>
      </c>
      <c r="S215" s="47"/>
      <c r="T215" s="47"/>
    </row>
    <row r="216" spans="1:20" ht="15" customHeight="1">
      <c r="A216" s="55" t="s">
        <v>1026</v>
      </c>
      <c r="B216" s="55" t="s">
        <v>1127</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1247</v>
      </c>
      <c r="M216" s="55"/>
      <c r="N216" s="47" t="s">
        <v>504</v>
      </c>
      <c r="P216" s="47" t="s">
        <v>1128</v>
      </c>
      <c r="S216" s="47"/>
      <c r="T216" s="47"/>
    </row>
    <row r="217" spans="1:20" ht="15">
      <c r="A217" s="52" t="s">
        <v>1027</v>
      </c>
      <c r="B217" s="52" t="s">
        <v>1129</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1159</v>
      </c>
      <c r="M217" s="52"/>
      <c r="N217" s="47" t="s">
        <v>589</v>
      </c>
      <c r="P217" s="47" t="s">
        <v>1160</v>
      </c>
      <c r="S217" s="47"/>
      <c r="T217" s="47"/>
    </row>
    <row r="218" spans="1:20" ht="15" customHeight="1">
      <c r="A218" s="55" t="s">
        <v>1028</v>
      </c>
      <c r="B218" s="55" t="s">
        <v>1130</v>
      </c>
      <c r="C218" s="55" t="s">
        <v>95</v>
      </c>
      <c r="D218" s="56">
        <v>761</v>
      </c>
      <c r="E218" s="56">
        <v>1150</v>
      </c>
      <c r="F218" s="64">
        <v>1</v>
      </c>
      <c r="G218" s="64">
        <v>1</v>
      </c>
      <c r="H218" s="63">
        <f t="shared" si="12"/>
        <v>2</v>
      </c>
      <c r="I218" s="63">
        <f>IF(D218&lt;&gt;"",D218,IFERROR(E218/(IFERROR(SUM(Sales!C:C),0))*(IFERROR(SUM(Purchases!C:C),0)),0))</f>
        <v>761</v>
      </c>
      <c r="J218" s="63">
        <f t="shared" si="13"/>
        <v>761</v>
      </c>
      <c r="K218" s="63">
        <f t="shared" si="14"/>
        <v>761</v>
      </c>
      <c r="L218" s="55" t="s">
        <v>1383</v>
      </c>
      <c r="M218" s="55"/>
      <c r="N218" s="47" t="s">
        <v>589</v>
      </c>
      <c r="P218" s="47" t="s">
        <v>848</v>
      </c>
      <c r="S218" s="47"/>
      <c r="T218" s="47"/>
    </row>
    <row r="219" spans="1:20" ht="15">
      <c r="A219" s="52" t="s">
        <v>1029</v>
      </c>
      <c r="B219" s="52" t="s">
        <v>1131</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1156</v>
      </c>
      <c r="M219" s="52"/>
      <c r="N219" s="47" t="s">
        <v>589</v>
      </c>
      <c r="P219" s="47" t="s">
        <v>1157</v>
      </c>
      <c r="S219" s="47"/>
      <c r="T219" s="47"/>
    </row>
    <row r="220" spans="1:20" ht="15" customHeight="1">
      <c r="A220" s="55" t="s">
        <v>1030</v>
      </c>
      <c r="B220" s="55" t="s">
        <v>1153</v>
      </c>
      <c r="C220" s="55" t="s">
        <v>95</v>
      </c>
      <c r="D220" s="56">
        <v>870</v>
      </c>
      <c r="E220" s="56">
        <v>1380</v>
      </c>
      <c r="F220" s="64">
        <v>0</v>
      </c>
      <c r="G220" s="64">
        <v>4</v>
      </c>
      <c r="H220" s="63">
        <f t="shared" si="12"/>
        <v>4</v>
      </c>
      <c r="I220" s="63">
        <f>IF(D220&lt;&gt;"",D220,IFERROR(E220/(IFERROR(SUM(Sales!C:C),0))*(IFERROR(SUM(Purchases!C:C),0)),0))</f>
        <v>870</v>
      </c>
      <c r="J220" s="63">
        <f t="shared" si="13"/>
        <v>0</v>
      </c>
      <c r="K220" s="63">
        <f t="shared" si="14"/>
        <v>3480</v>
      </c>
      <c r="L220" s="55"/>
      <c r="M220" s="55"/>
      <c r="N220" s="47" t="s">
        <v>677</v>
      </c>
      <c r="P220" s="47" t="s">
        <v>1154</v>
      </c>
      <c r="S220" s="47"/>
      <c r="T220" s="47"/>
    </row>
    <row r="221" spans="1:20" ht="17">
      <c r="A221" s="52" t="s">
        <v>1031</v>
      </c>
      <c r="B221" s="52" t="s">
        <v>1166</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677</v>
      </c>
      <c r="P221" s="86" t="s">
        <v>1192</v>
      </c>
      <c r="S221" s="47"/>
      <c r="T221" s="47"/>
    </row>
    <row r="222" spans="1:20" ht="15" customHeight="1">
      <c r="A222" s="55" t="s">
        <v>1032</v>
      </c>
      <c r="B222" s="55" t="s">
        <v>1167</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677</v>
      </c>
      <c r="P222" s="86" t="s">
        <v>1193</v>
      </c>
      <c r="S222" s="47"/>
      <c r="T222" s="47"/>
    </row>
    <row r="223" spans="1:20" ht="15" customHeight="1">
      <c r="A223" s="52" t="s">
        <v>1033</v>
      </c>
      <c r="B223" s="52" t="s">
        <v>1168</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1207</v>
      </c>
      <c r="M223" s="52"/>
      <c r="N223" s="47" t="s">
        <v>589</v>
      </c>
      <c r="P223" s="86" t="s">
        <v>1209</v>
      </c>
      <c r="S223" s="47"/>
      <c r="T223" s="47"/>
    </row>
    <row r="224" spans="1:20" ht="15" customHeight="1">
      <c r="A224" s="55" t="s">
        <v>1034</v>
      </c>
      <c r="B224" s="55" t="s">
        <v>1169</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1194</v>
      </c>
      <c r="S224" s="47"/>
      <c r="T224" s="47"/>
    </row>
    <row r="225" spans="1:20" ht="17">
      <c r="A225" s="52" t="s">
        <v>1180</v>
      </c>
      <c r="B225" s="55" t="s">
        <v>1170</v>
      </c>
      <c r="C225" s="55" t="s">
        <v>95</v>
      </c>
      <c r="D225" s="56">
        <v>446</v>
      </c>
      <c r="E225" s="56">
        <v>699</v>
      </c>
      <c r="F225" s="64">
        <v>1</v>
      </c>
      <c r="G225" s="64">
        <v>3</v>
      </c>
      <c r="H225" s="63">
        <f t="shared" ref="H225:H236" si="15">F225+IF(LEN(G225)=0,0,G225)</f>
        <v>4</v>
      </c>
      <c r="I225" s="63">
        <f>IF(D225&lt;&gt;"",D225,IFERROR(E225/(IFERROR(SUM(Sales!C:C),0))*(IFERROR(SUM(Purchases!C:C),0)),0))</f>
        <v>446</v>
      </c>
      <c r="J225" s="63">
        <f t="shared" ref="J225:J236" si="16">F225*I225</f>
        <v>446</v>
      </c>
      <c r="K225" s="63">
        <f t="shared" ref="K225:K236" si="17">IF(LEN(G225)=0,0,G225)*I225</f>
        <v>1338</v>
      </c>
      <c r="L225" s="55" t="s">
        <v>1165</v>
      </c>
      <c r="M225" s="55"/>
      <c r="N225" s="47" t="s">
        <v>677</v>
      </c>
      <c r="P225" s="86" t="s">
        <v>1195</v>
      </c>
      <c r="S225" s="47"/>
      <c r="T225" s="47"/>
    </row>
    <row r="226" spans="1:20" ht="17">
      <c r="A226" s="55" t="s">
        <v>1181</v>
      </c>
      <c r="B226" s="52" t="s">
        <v>1171</v>
      </c>
      <c r="C226" s="52" t="s">
        <v>95</v>
      </c>
      <c r="D226" s="53">
        <v>688</v>
      </c>
      <c r="E226" s="53">
        <v>1250</v>
      </c>
      <c r="F226" s="66">
        <v>0</v>
      </c>
      <c r="G226" s="66">
        <v>1</v>
      </c>
      <c r="H226" s="65">
        <f t="shared" si="15"/>
        <v>1</v>
      </c>
      <c r="I226" s="65">
        <f>IF(D226&lt;&gt;"",D226,IFERROR(E226/(IFERROR(SUM(Sales!C:C),0))*(IFERROR(SUM(Purchases!C:C),0)),0))</f>
        <v>688</v>
      </c>
      <c r="J226" s="65">
        <f t="shared" si="16"/>
        <v>0</v>
      </c>
      <c r="K226" s="65">
        <f t="shared" si="17"/>
        <v>688</v>
      </c>
      <c r="L226" s="52"/>
      <c r="M226" s="52"/>
      <c r="N226" s="47" t="s">
        <v>677</v>
      </c>
      <c r="P226" s="86" t="s">
        <v>1196</v>
      </c>
      <c r="S226" s="47"/>
      <c r="T226" s="47"/>
    </row>
    <row r="227" spans="1:20" ht="17">
      <c r="A227" s="52" t="s">
        <v>1182</v>
      </c>
      <c r="B227" s="55" t="s">
        <v>1172</v>
      </c>
      <c r="C227" s="55" t="s">
        <v>95</v>
      </c>
      <c r="D227" s="56">
        <v>555</v>
      </c>
      <c r="E227" s="56">
        <v>999</v>
      </c>
      <c r="F227" s="64">
        <v>1</v>
      </c>
      <c r="G227" s="64">
        <v>5</v>
      </c>
      <c r="H227" s="63">
        <f t="shared" si="15"/>
        <v>6</v>
      </c>
      <c r="I227" s="63">
        <f>IF(D227&lt;&gt;"",D227,IFERROR(E227/(IFERROR(SUM(Sales!C:C),0))*(IFERROR(SUM(Purchases!C:C),0)),0))</f>
        <v>555</v>
      </c>
      <c r="J227" s="63">
        <f t="shared" si="16"/>
        <v>555</v>
      </c>
      <c r="K227" s="63">
        <f t="shared" si="17"/>
        <v>2775</v>
      </c>
      <c r="L227" s="55" t="s">
        <v>1270</v>
      </c>
      <c r="M227" s="55"/>
      <c r="N227" s="47" t="s">
        <v>589</v>
      </c>
      <c r="P227" s="86" t="s">
        <v>1271</v>
      </c>
      <c r="S227" s="47"/>
      <c r="T227" s="47"/>
    </row>
    <row r="228" spans="1:20" ht="16">
      <c r="A228" s="55" t="s">
        <v>1183</v>
      </c>
      <c r="B228" s="52" t="s">
        <v>1173</v>
      </c>
      <c r="C228" s="52" t="s">
        <v>95</v>
      </c>
      <c r="D228" s="53">
        <v>782</v>
      </c>
      <c r="E228" s="53">
        <v>1250</v>
      </c>
      <c r="F228" s="66">
        <v>2</v>
      </c>
      <c r="G228" s="66">
        <v>0</v>
      </c>
      <c r="H228" s="65">
        <f t="shared" si="15"/>
        <v>2</v>
      </c>
      <c r="I228" s="65">
        <f>IF(D228&lt;&gt;"",D228,IFERROR(E228/(IFERROR(SUM(Sales!C:C),0))*(IFERROR(SUM(Purchases!C:C),0)),0))</f>
        <v>782</v>
      </c>
      <c r="J228" s="65">
        <f t="shared" si="16"/>
        <v>1564</v>
      </c>
      <c r="K228" s="65">
        <f t="shared" si="17"/>
        <v>0</v>
      </c>
      <c r="L228" s="52" t="s">
        <v>1370</v>
      </c>
      <c r="M228" s="52"/>
      <c r="N228" s="47" t="s">
        <v>504</v>
      </c>
      <c r="P228" s="86"/>
      <c r="S228" s="47"/>
      <c r="T228" s="47"/>
    </row>
    <row r="229" spans="1:20" ht="17">
      <c r="A229" s="52" t="s">
        <v>1184</v>
      </c>
      <c r="B229" s="55" t="s">
        <v>1172</v>
      </c>
      <c r="C229" s="55" t="s">
        <v>95</v>
      </c>
      <c r="D229" s="56">
        <v>576</v>
      </c>
      <c r="E229" s="56">
        <v>850</v>
      </c>
      <c r="F229" s="64">
        <v>1</v>
      </c>
      <c r="G229" s="64">
        <v>2</v>
      </c>
      <c r="H229" s="63">
        <f t="shared" si="15"/>
        <v>3</v>
      </c>
      <c r="I229" s="63">
        <f>IF(D229&lt;&gt;"",D229,IFERROR(E229/(IFERROR(SUM(Sales!C:C),0))*(IFERROR(SUM(Purchases!C:C),0)),0))</f>
        <v>576</v>
      </c>
      <c r="J229" s="63">
        <f t="shared" si="16"/>
        <v>576</v>
      </c>
      <c r="K229" s="63">
        <f t="shared" si="17"/>
        <v>1152</v>
      </c>
      <c r="L229" s="55" t="s">
        <v>201</v>
      </c>
      <c r="M229" s="55"/>
      <c r="N229" s="47" t="s">
        <v>589</v>
      </c>
      <c r="P229" s="86" t="s">
        <v>1197</v>
      </c>
      <c r="S229" s="47"/>
      <c r="T229" s="47"/>
    </row>
    <row r="230" spans="1:20" ht="17">
      <c r="A230" s="52" t="s">
        <v>1185</v>
      </c>
      <c r="B230" s="52" t="s">
        <v>1174</v>
      </c>
      <c r="C230" s="52" t="s">
        <v>95</v>
      </c>
      <c r="D230" s="53">
        <v>772</v>
      </c>
      <c r="E230" s="53">
        <v>1050</v>
      </c>
      <c r="F230" s="66">
        <v>0</v>
      </c>
      <c r="G230" s="66">
        <v>1</v>
      </c>
      <c r="H230" s="65">
        <f t="shared" si="15"/>
        <v>1</v>
      </c>
      <c r="I230" s="65">
        <f>IF(D230&lt;&gt;"",D230,IFERROR(E230/(IFERROR(SUM(Sales!C:C),0))*(IFERROR(SUM(Purchases!C:C),0)),0))</f>
        <v>772</v>
      </c>
      <c r="J230" s="65">
        <f t="shared" si="16"/>
        <v>0</v>
      </c>
      <c r="K230" s="65">
        <f t="shared" si="17"/>
        <v>772</v>
      </c>
      <c r="L230" s="52"/>
      <c r="M230" s="52"/>
      <c r="N230" s="47" t="s">
        <v>677</v>
      </c>
      <c r="P230" s="86" t="s">
        <v>1154</v>
      </c>
      <c r="S230" s="47"/>
      <c r="T230" s="47"/>
    </row>
    <row r="231" spans="1:20" ht="17">
      <c r="A231" s="55" t="s">
        <v>1186</v>
      </c>
      <c r="B231" s="55" t="s">
        <v>1175</v>
      </c>
      <c r="C231" s="55" t="s">
        <v>95</v>
      </c>
      <c r="D231" s="56">
        <v>719</v>
      </c>
      <c r="E231" s="56">
        <v>1450</v>
      </c>
      <c r="F231" s="64">
        <v>1</v>
      </c>
      <c r="G231" s="64">
        <v>0</v>
      </c>
      <c r="H231" s="63">
        <f t="shared" si="15"/>
        <v>1</v>
      </c>
      <c r="I231" s="63">
        <f>IF(D231&lt;&gt;"",D231,IFERROR(E231/(IFERROR(SUM(Sales!C:C),0))*(IFERROR(SUM(Purchases!C:C),0)),0))</f>
        <v>719</v>
      </c>
      <c r="J231" s="63">
        <f t="shared" si="16"/>
        <v>719</v>
      </c>
      <c r="K231" s="63">
        <f t="shared" si="17"/>
        <v>0</v>
      </c>
      <c r="L231" s="55" t="s">
        <v>1201</v>
      </c>
      <c r="M231" s="55"/>
      <c r="N231" s="47" t="s">
        <v>504</v>
      </c>
      <c r="P231" s="86" t="s">
        <v>1198</v>
      </c>
      <c r="S231" s="47"/>
      <c r="T231" s="47"/>
    </row>
    <row r="232" spans="1:20" ht="17">
      <c r="A232" s="52" t="s">
        <v>1187</v>
      </c>
      <c r="B232" s="52" t="s">
        <v>1176</v>
      </c>
      <c r="C232" s="52" t="s">
        <v>95</v>
      </c>
      <c r="D232" s="53">
        <v>524</v>
      </c>
      <c r="E232" s="53">
        <v>850</v>
      </c>
      <c r="F232" s="66">
        <v>0</v>
      </c>
      <c r="G232" s="66">
        <v>2</v>
      </c>
      <c r="H232" s="65">
        <f t="shared" si="15"/>
        <v>2</v>
      </c>
      <c r="I232" s="65">
        <f>IF(D232&lt;&gt;"",D232,IFERROR(E232/(IFERROR(SUM(Sales!C:C),0))*(IFERROR(SUM(Purchases!C:C),0)),0))</f>
        <v>524</v>
      </c>
      <c r="J232" s="65">
        <f t="shared" si="16"/>
        <v>0</v>
      </c>
      <c r="K232" s="65">
        <f t="shared" si="17"/>
        <v>1048</v>
      </c>
      <c r="L232" s="52" t="s">
        <v>1246</v>
      </c>
      <c r="M232" s="52"/>
      <c r="N232" s="47" t="s">
        <v>677</v>
      </c>
      <c r="P232" s="86" t="s">
        <v>1199</v>
      </c>
      <c r="S232" s="47"/>
      <c r="T232" s="47"/>
    </row>
    <row r="233" spans="1:20" ht="17">
      <c r="A233" s="55" t="s">
        <v>1188</v>
      </c>
      <c r="B233" s="55" t="s">
        <v>1177</v>
      </c>
      <c r="C233" s="55" t="s">
        <v>95</v>
      </c>
      <c r="D233" s="56">
        <v>891</v>
      </c>
      <c r="E233" s="56">
        <v>1380</v>
      </c>
      <c r="F233" s="64">
        <v>2</v>
      </c>
      <c r="G233" s="64">
        <v>1</v>
      </c>
      <c r="H233" s="63">
        <f t="shared" si="15"/>
        <v>3</v>
      </c>
      <c r="I233" s="63">
        <f>IF(D233&lt;&gt;"",D233,IFERROR(E233/(IFERROR(SUM(Sales!C:C),0))*(IFERROR(SUM(Purchases!C:C),0)),0))</f>
        <v>891</v>
      </c>
      <c r="J233" s="63">
        <f t="shared" si="16"/>
        <v>1782</v>
      </c>
      <c r="K233" s="63">
        <f t="shared" si="17"/>
        <v>891</v>
      </c>
      <c r="L233" s="55" t="s">
        <v>1261</v>
      </c>
      <c r="M233" s="55"/>
      <c r="N233" s="47" t="s">
        <v>589</v>
      </c>
      <c r="P233" s="86" t="s">
        <v>1200</v>
      </c>
      <c r="S233" s="47"/>
      <c r="T233" s="47"/>
    </row>
    <row r="234" spans="1:20" ht="17">
      <c r="A234" s="52" t="s">
        <v>1189</v>
      </c>
      <c r="B234" s="52" t="s">
        <v>510</v>
      </c>
      <c r="C234" s="52" t="s">
        <v>95</v>
      </c>
      <c r="D234" s="53">
        <v>912</v>
      </c>
      <c r="E234" s="53">
        <v>1380</v>
      </c>
      <c r="F234" s="66">
        <v>2</v>
      </c>
      <c r="G234" s="66">
        <v>2</v>
      </c>
      <c r="H234" s="65">
        <f t="shared" si="15"/>
        <v>4</v>
      </c>
      <c r="I234" s="65">
        <f>IF(D234&lt;&gt;"",D234,IFERROR(E234/(IFERROR(SUM(Sales!C:C),0))*(IFERROR(SUM(Purchases!C:C),0)),0))</f>
        <v>912</v>
      </c>
      <c r="J234" s="65">
        <f t="shared" si="16"/>
        <v>1824</v>
      </c>
      <c r="K234" s="65">
        <f t="shared" si="17"/>
        <v>1824</v>
      </c>
      <c r="L234" s="52" t="s">
        <v>1301</v>
      </c>
      <c r="M234" s="52"/>
      <c r="N234" s="47" t="s">
        <v>589</v>
      </c>
      <c r="P234" s="86" t="s">
        <v>1302</v>
      </c>
      <c r="S234" s="47"/>
      <c r="T234" s="47"/>
    </row>
    <row r="235" spans="1:20" ht="17">
      <c r="A235" s="52" t="s">
        <v>1190</v>
      </c>
      <c r="B235" s="55" t="s">
        <v>1178</v>
      </c>
      <c r="C235" s="55" t="s">
        <v>95</v>
      </c>
      <c r="D235" s="56">
        <v>734</v>
      </c>
      <c r="E235" s="56">
        <v>1100</v>
      </c>
      <c r="F235" s="64">
        <v>1</v>
      </c>
      <c r="G235" s="64">
        <v>1</v>
      </c>
      <c r="H235" s="63">
        <f t="shared" si="15"/>
        <v>2</v>
      </c>
      <c r="I235" s="63">
        <f>IF(D235&lt;&gt;"",D235,IFERROR(E235/(IFERROR(SUM(Sales!C:C),0))*(IFERROR(SUM(Purchases!C:C),0)),0))</f>
        <v>734</v>
      </c>
      <c r="J235" s="63">
        <f t="shared" si="16"/>
        <v>734</v>
      </c>
      <c r="K235" s="63">
        <f t="shared" si="17"/>
        <v>734</v>
      </c>
      <c r="L235" s="55" t="s">
        <v>1371</v>
      </c>
      <c r="M235" s="55"/>
      <c r="N235" s="47" t="s">
        <v>677</v>
      </c>
      <c r="P235" s="86" t="s">
        <v>657</v>
      </c>
      <c r="S235" s="47"/>
      <c r="T235" s="47"/>
    </row>
    <row r="236" spans="1:20" ht="17">
      <c r="A236" s="55" t="s">
        <v>1191</v>
      </c>
      <c r="B236" s="52" t="s">
        <v>1179</v>
      </c>
      <c r="C236" s="52" t="s">
        <v>95</v>
      </c>
      <c r="D236" s="53">
        <v>436</v>
      </c>
      <c r="E236" s="53">
        <v>699</v>
      </c>
      <c r="F236" s="66">
        <v>0</v>
      </c>
      <c r="G236" s="66">
        <v>1</v>
      </c>
      <c r="H236" s="65">
        <f t="shared" si="15"/>
        <v>1</v>
      </c>
      <c r="I236" s="65">
        <f>IF(D236&lt;&gt;"",D236,IFERROR(E236/(IFERROR(SUM(Sales!C:C),0))*(IFERROR(SUM(Purchases!C:C),0)),0))</f>
        <v>436</v>
      </c>
      <c r="J236" s="65">
        <f t="shared" si="16"/>
        <v>0</v>
      </c>
      <c r="K236" s="65">
        <f t="shared" si="17"/>
        <v>436</v>
      </c>
      <c r="L236" s="52" t="s">
        <v>1245</v>
      </c>
      <c r="M236" s="52"/>
      <c r="N236" s="47" t="s">
        <v>677</v>
      </c>
      <c r="P236" s="86" t="s">
        <v>594</v>
      </c>
      <c r="S236" s="47"/>
      <c r="T236" s="47"/>
    </row>
    <row r="237" spans="1:20" ht="16">
      <c r="A237" s="55" t="s">
        <v>1213</v>
      </c>
      <c r="B237" s="55" t="s">
        <v>1175</v>
      </c>
      <c r="C237" s="55" t="s">
        <v>95</v>
      </c>
      <c r="D237" s="56">
        <v>446.26</v>
      </c>
      <c r="E237" s="56">
        <v>1000</v>
      </c>
      <c r="F237" s="64">
        <v>1</v>
      </c>
      <c r="G237" s="64">
        <v>0</v>
      </c>
      <c r="H237" s="63">
        <f t="shared" ref="H237:H260" si="18">F237+IF(LEN(G237)=0,0,G237)</f>
        <v>1</v>
      </c>
      <c r="I237" s="63">
        <f>IF(D237&lt;&gt;"",D237,IFERROR(E237/(IFERROR(SUM(Sales!C:C),0))*(IFERROR(SUM(Purchases!C:C),0)),0))</f>
        <v>446.26</v>
      </c>
      <c r="J237" s="63">
        <f t="shared" ref="J237:J260" si="19">F237*I237</f>
        <v>446.26</v>
      </c>
      <c r="K237" s="63">
        <f t="shared" ref="K237:K260" si="20">IF(LEN(G237)=0,0,G237)*I237</f>
        <v>0</v>
      </c>
      <c r="L237" s="55" t="s">
        <v>1214</v>
      </c>
      <c r="M237" s="55"/>
      <c r="N237" s="47" t="s">
        <v>504</v>
      </c>
      <c r="P237" s="86"/>
      <c r="S237" s="47"/>
      <c r="T237" s="47"/>
    </row>
    <row r="238" spans="1:20" ht="17">
      <c r="A238" s="52" t="s">
        <v>1216</v>
      </c>
      <c r="B238" s="52" t="s">
        <v>1226</v>
      </c>
      <c r="C238" s="52" t="s">
        <v>95</v>
      </c>
      <c r="D238" s="53">
        <v>603</v>
      </c>
      <c r="E238" s="53">
        <v>1099</v>
      </c>
      <c r="F238" s="66">
        <v>0</v>
      </c>
      <c r="G238" s="66">
        <v>2</v>
      </c>
      <c r="H238" s="65">
        <f t="shared" si="18"/>
        <v>2</v>
      </c>
      <c r="I238" s="65">
        <f>IF(D238&lt;&gt;"",D238,IFERROR(E238/(IFERROR(SUM(Sales!C:C),0))*(IFERROR(SUM(Purchases!C:C),0)),0))</f>
        <v>603</v>
      </c>
      <c r="J238" s="65">
        <f t="shared" si="19"/>
        <v>0</v>
      </c>
      <c r="K238" s="65">
        <f t="shared" si="20"/>
        <v>1206</v>
      </c>
      <c r="L238" s="52"/>
      <c r="M238" s="52"/>
      <c r="N238" s="47" t="s">
        <v>677</v>
      </c>
      <c r="P238" s="86" t="s">
        <v>1237</v>
      </c>
      <c r="S238" s="47"/>
      <c r="T238" s="47"/>
    </row>
    <row r="239" spans="1:20" ht="17">
      <c r="A239" s="55" t="s">
        <v>1217</v>
      </c>
      <c r="B239" s="55" t="s">
        <v>1235</v>
      </c>
      <c r="C239" s="55" t="s">
        <v>95</v>
      </c>
      <c r="D239" s="56">
        <v>1024</v>
      </c>
      <c r="E239" s="56">
        <v>1400</v>
      </c>
      <c r="F239" s="64">
        <v>1</v>
      </c>
      <c r="G239" s="64">
        <v>0</v>
      </c>
      <c r="H239" s="63">
        <f t="shared" si="18"/>
        <v>1</v>
      </c>
      <c r="I239" s="63">
        <f>IF(D239&lt;&gt;"",D239,IFERROR(E239/(IFERROR(SUM(Sales!C:C),0))*(IFERROR(SUM(Purchases!C:C),0)),0))</f>
        <v>1024</v>
      </c>
      <c r="J239" s="63">
        <f t="shared" si="19"/>
        <v>1024</v>
      </c>
      <c r="K239" s="63">
        <f t="shared" si="20"/>
        <v>0</v>
      </c>
      <c r="L239" s="55" t="s">
        <v>1236</v>
      </c>
      <c r="M239" s="55"/>
      <c r="N239" s="47" t="s">
        <v>504</v>
      </c>
      <c r="P239" s="86" t="s">
        <v>201</v>
      </c>
      <c r="S239" s="47"/>
      <c r="T239" s="47"/>
    </row>
    <row r="240" spans="1:20" ht="17">
      <c r="A240" s="52" t="s">
        <v>1218</v>
      </c>
      <c r="B240" s="52" t="s">
        <v>1227</v>
      </c>
      <c r="C240" s="52" t="s">
        <v>95</v>
      </c>
      <c r="D240" s="53">
        <v>562</v>
      </c>
      <c r="E240" s="53">
        <v>980</v>
      </c>
      <c r="F240" s="66">
        <v>2</v>
      </c>
      <c r="G240" s="66">
        <v>2</v>
      </c>
      <c r="H240" s="65">
        <f t="shared" si="18"/>
        <v>4</v>
      </c>
      <c r="I240" s="65">
        <f>IF(D240&lt;&gt;"",D240,IFERROR(E240/(IFERROR(SUM(Sales!C:C),0))*(IFERROR(SUM(Purchases!C:C),0)),0))</f>
        <v>562</v>
      </c>
      <c r="J240" s="65">
        <f t="shared" si="19"/>
        <v>1124</v>
      </c>
      <c r="K240" s="65">
        <f t="shared" si="20"/>
        <v>1124</v>
      </c>
      <c r="L240" s="52" t="s">
        <v>1263</v>
      </c>
      <c r="M240" s="52"/>
      <c r="N240" s="47" t="s">
        <v>589</v>
      </c>
      <c r="P240" s="86" t="s">
        <v>1238</v>
      </c>
      <c r="S240" s="47"/>
      <c r="T240" s="47"/>
    </row>
    <row r="241" spans="1:246" ht="17">
      <c r="A241" s="55" t="s">
        <v>1219</v>
      </c>
      <c r="B241" s="55" t="s">
        <v>1228</v>
      </c>
      <c r="C241" s="55" t="s">
        <v>95</v>
      </c>
      <c r="D241" s="56">
        <v>629</v>
      </c>
      <c r="E241" s="56">
        <v>1050</v>
      </c>
      <c r="F241" s="64">
        <v>1</v>
      </c>
      <c r="G241" s="64">
        <v>2</v>
      </c>
      <c r="H241" s="63">
        <f t="shared" si="18"/>
        <v>3</v>
      </c>
      <c r="I241" s="63">
        <f>IF(D241&lt;&gt;"",D241,IFERROR(E241/(IFERROR(SUM(Sales!C:C),0))*(IFERROR(SUM(Purchases!C:C),0)),0))</f>
        <v>629</v>
      </c>
      <c r="J241" s="63">
        <f t="shared" si="19"/>
        <v>629</v>
      </c>
      <c r="K241" s="63">
        <f t="shared" si="20"/>
        <v>1258</v>
      </c>
      <c r="L241" s="55" t="s">
        <v>201</v>
      </c>
      <c r="M241" s="55"/>
      <c r="N241" s="47" t="s">
        <v>677</v>
      </c>
      <c r="P241" s="86" t="s">
        <v>1239</v>
      </c>
      <c r="S241" s="47"/>
      <c r="T241" s="47"/>
    </row>
    <row r="242" spans="1:246" ht="17">
      <c r="A242" s="52" t="s">
        <v>1220</v>
      </c>
      <c r="B242" s="52" t="s">
        <v>1229</v>
      </c>
      <c r="C242" s="52" t="s">
        <v>95</v>
      </c>
      <c r="D242" s="53">
        <v>545</v>
      </c>
      <c r="E242" s="53">
        <v>900</v>
      </c>
      <c r="F242" s="66">
        <v>2</v>
      </c>
      <c r="G242" s="66">
        <v>0</v>
      </c>
      <c r="H242" s="65">
        <f t="shared" si="18"/>
        <v>2</v>
      </c>
      <c r="I242" s="65">
        <f>IF(D242&lt;&gt;"",D242,IFERROR(E242/(IFERROR(SUM(Sales!C:C),0))*(IFERROR(SUM(Purchases!C:C),0)),0))</f>
        <v>545</v>
      </c>
      <c r="J242" s="65">
        <f t="shared" si="19"/>
        <v>1090</v>
      </c>
      <c r="K242" s="65">
        <f t="shared" si="20"/>
        <v>0</v>
      </c>
      <c r="L242" s="52" t="s">
        <v>1338</v>
      </c>
      <c r="M242" s="52"/>
      <c r="N242" s="47" t="s">
        <v>504</v>
      </c>
      <c r="P242" s="86" t="s">
        <v>1240</v>
      </c>
      <c r="S242" s="47"/>
      <c r="T242" s="47"/>
    </row>
    <row r="243" spans="1:246" ht="17">
      <c r="A243" s="55" t="s">
        <v>1221</v>
      </c>
      <c r="B243" s="55" t="s">
        <v>1230</v>
      </c>
      <c r="C243" s="55" t="s">
        <v>95</v>
      </c>
      <c r="D243" s="56">
        <v>607</v>
      </c>
      <c r="E243" s="56">
        <v>980</v>
      </c>
      <c r="F243" s="64">
        <v>0</v>
      </c>
      <c r="G243" s="64">
        <v>1</v>
      </c>
      <c r="H243" s="63">
        <f t="shared" si="18"/>
        <v>1</v>
      </c>
      <c r="I243" s="63">
        <f>IF(D243&lt;&gt;"",D243,IFERROR(E243/(IFERROR(SUM(Sales!C:C),0))*(IFERROR(SUM(Purchases!C:C),0)),0))</f>
        <v>607</v>
      </c>
      <c r="J243" s="63">
        <f t="shared" si="19"/>
        <v>0</v>
      </c>
      <c r="K243" s="63">
        <f t="shared" si="20"/>
        <v>607</v>
      </c>
      <c r="L243" s="55"/>
      <c r="M243" s="55"/>
      <c r="N243" s="47" t="s">
        <v>677</v>
      </c>
      <c r="P243" s="86" t="s">
        <v>1241</v>
      </c>
      <c r="S243" s="47"/>
      <c r="T243" s="47"/>
    </row>
    <row r="244" spans="1:246" ht="16">
      <c r="A244" s="52" t="s">
        <v>1222</v>
      </c>
      <c r="B244" s="52" t="s">
        <v>1231</v>
      </c>
      <c r="C244" s="52" t="s">
        <v>95</v>
      </c>
      <c r="D244" s="53">
        <v>513.46</v>
      </c>
      <c r="E244" s="53">
        <v>890</v>
      </c>
      <c r="F244" s="66">
        <v>0</v>
      </c>
      <c r="G244" s="66">
        <v>1</v>
      </c>
      <c r="H244" s="65">
        <f t="shared" si="18"/>
        <v>1</v>
      </c>
      <c r="I244" s="65">
        <f>IF(D244&lt;&gt;"",D244,IFERROR(E244/(IFERROR(SUM(Sales!C:C),0))*(IFERROR(SUM(Purchases!C:C),0)),0))</f>
        <v>513.46</v>
      </c>
      <c r="J244" s="65">
        <f t="shared" si="19"/>
        <v>0</v>
      </c>
      <c r="K244" s="65">
        <f t="shared" si="20"/>
        <v>513.46</v>
      </c>
      <c r="L244" s="52"/>
      <c r="M244" s="52"/>
      <c r="N244" s="47" t="s">
        <v>677</v>
      </c>
      <c r="P244" s="86"/>
      <c r="S244" s="47"/>
      <c r="T244" s="47"/>
    </row>
    <row r="245" spans="1:246" s="62" customFormat="1" ht="17">
      <c r="A245" s="87" t="s">
        <v>1223</v>
      </c>
      <c r="B245" s="87" t="s">
        <v>1232</v>
      </c>
      <c r="C245" s="87" t="s">
        <v>95</v>
      </c>
      <c r="D245" s="88">
        <v>629</v>
      </c>
      <c r="E245" s="88"/>
      <c r="F245" s="89">
        <v>0</v>
      </c>
      <c r="G245" s="89">
        <v>0</v>
      </c>
      <c r="H245" s="90">
        <f t="shared" si="18"/>
        <v>0</v>
      </c>
      <c r="I245" s="90">
        <f>IF(D245&lt;&gt;"",D245,IFERROR(E245/(IFERROR(SUM(Sales!C:C),0))*(IFERROR(SUM(Purchases!C:C),0)),0))</f>
        <v>629</v>
      </c>
      <c r="J245" s="90">
        <f t="shared" si="19"/>
        <v>0</v>
      </c>
      <c r="K245" s="90">
        <f t="shared" si="20"/>
        <v>0</v>
      </c>
      <c r="L245" s="87" t="s">
        <v>608</v>
      </c>
      <c r="M245" s="87"/>
      <c r="N245" s="62" t="s">
        <v>504</v>
      </c>
      <c r="P245" s="91" t="s">
        <v>1242</v>
      </c>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c r="BU245" s="61"/>
      <c r="BV245" s="61"/>
      <c r="BW245" s="61"/>
      <c r="BX245" s="61"/>
      <c r="BY245" s="61"/>
      <c r="BZ245" s="61"/>
      <c r="CA245" s="61"/>
      <c r="CB245" s="61"/>
      <c r="CC245" s="61"/>
      <c r="CD245" s="61"/>
      <c r="CE245" s="61"/>
      <c r="CF245" s="61"/>
      <c r="CG245" s="61"/>
      <c r="CH245" s="61"/>
      <c r="CI245" s="61"/>
      <c r="CJ245" s="61"/>
      <c r="CK245" s="61"/>
      <c r="CL245" s="61"/>
      <c r="CM245" s="61"/>
      <c r="CN245" s="61"/>
      <c r="CO245" s="61"/>
      <c r="CP245" s="61"/>
      <c r="CQ245" s="61"/>
      <c r="CR245" s="61"/>
      <c r="CS245" s="61"/>
      <c r="CT245" s="61"/>
      <c r="CU245" s="61"/>
      <c r="CV245" s="61"/>
      <c r="CW245" s="61"/>
      <c r="CX245" s="61"/>
      <c r="CY245" s="61"/>
      <c r="CZ245" s="61"/>
      <c r="DA245" s="61"/>
      <c r="DB245" s="61"/>
      <c r="DC245" s="61"/>
      <c r="DD245" s="61"/>
      <c r="DE245" s="61"/>
      <c r="DF245" s="61"/>
      <c r="DG245" s="61"/>
      <c r="DH245" s="61"/>
      <c r="DI245" s="61"/>
      <c r="DJ245" s="61"/>
      <c r="DK245" s="61"/>
      <c r="DL245" s="61"/>
      <c r="DM245" s="61"/>
      <c r="DN245" s="61"/>
      <c r="DO245" s="61"/>
      <c r="DP245" s="61"/>
      <c r="DQ245" s="61"/>
      <c r="DR245" s="61"/>
      <c r="DS245" s="61"/>
      <c r="DT245" s="61"/>
      <c r="DU245" s="61"/>
      <c r="DV245" s="61"/>
      <c r="DW245" s="61"/>
      <c r="DX245" s="61"/>
      <c r="DY245" s="61"/>
      <c r="DZ245" s="61"/>
      <c r="EA245" s="61"/>
      <c r="EB245" s="61"/>
      <c r="EC245" s="61"/>
      <c r="ED245" s="61"/>
      <c r="EE245" s="61"/>
      <c r="EF245" s="61"/>
      <c r="EG245" s="61"/>
      <c r="EH245" s="61"/>
      <c r="EI245" s="61"/>
      <c r="EJ245" s="61"/>
      <c r="EK245" s="61"/>
      <c r="EL245" s="61"/>
      <c r="EM245" s="61"/>
      <c r="EN245" s="61"/>
      <c r="EO245" s="61"/>
      <c r="EP245" s="61"/>
      <c r="EQ245" s="61"/>
      <c r="ER245" s="61"/>
      <c r="ES245" s="61"/>
      <c r="ET245" s="61"/>
      <c r="EU245" s="61"/>
      <c r="EV245" s="61"/>
      <c r="EW245" s="61"/>
      <c r="EX245" s="61"/>
      <c r="EY245" s="61"/>
      <c r="EZ245" s="61"/>
      <c r="FA245" s="61"/>
      <c r="FB245" s="61"/>
      <c r="FC245" s="61"/>
      <c r="FD245" s="61"/>
      <c r="FE245" s="61"/>
      <c r="FF245" s="61"/>
      <c r="FG245" s="61"/>
      <c r="FH245" s="61"/>
      <c r="FI245" s="61"/>
      <c r="FJ245" s="61"/>
      <c r="FK245" s="61"/>
      <c r="FL245" s="61"/>
      <c r="FM245" s="61"/>
      <c r="FN245" s="61"/>
      <c r="FO245" s="61"/>
      <c r="FP245" s="61"/>
      <c r="FQ245" s="61"/>
      <c r="FR245" s="61"/>
      <c r="FS245" s="61"/>
      <c r="FT245" s="61"/>
      <c r="FU245" s="61"/>
      <c r="FV245" s="61"/>
      <c r="FW245" s="61"/>
      <c r="FX245" s="61"/>
      <c r="FY245" s="61"/>
      <c r="FZ245" s="61"/>
      <c r="GA245" s="61"/>
      <c r="GB245" s="61"/>
      <c r="GC245" s="61"/>
      <c r="GD245" s="61"/>
      <c r="GE245" s="61"/>
      <c r="GF245" s="61"/>
      <c r="GG245" s="61"/>
      <c r="GH245" s="61"/>
      <c r="GI245" s="61"/>
      <c r="GJ245" s="61"/>
      <c r="GK245" s="61"/>
      <c r="GL245" s="61"/>
      <c r="GM245" s="61"/>
      <c r="GN245" s="61"/>
      <c r="GO245" s="61"/>
      <c r="GP245" s="61"/>
      <c r="GQ245" s="61"/>
      <c r="GR245" s="61"/>
      <c r="GS245" s="61"/>
      <c r="GT245" s="61"/>
      <c r="GU245" s="61"/>
      <c r="GV245" s="61"/>
      <c r="GW245" s="61"/>
      <c r="GX245" s="61"/>
      <c r="GY245" s="61"/>
      <c r="GZ245" s="61"/>
      <c r="HA245" s="61"/>
      <c r="HB245" s="61"/>
      <c r="HC245" s="61"/>
      <c r="HD245" s="61"/>
      <c r="HE245" s="61"/>
      <c r="HF245" s="61"/>
      <c r="HG245" s="61"/>
      <c r="HH245" s="61"/>
      <c r="HI245" s="61"/>
      <c r="HJ245" s="61"/>
      <c r="HK245" s="61"/>
      <c r="HL245" s="61"/>
      <c r="HM245" s="61"/>
      <c r="HN245" s="61"/>
      <c r="HO245" s="61"/>
      <c r="HP245" s="61"/>
      <c r="HQ245" s="61"/>
      <c r="HR245" s="61"/>
      <c r="HS245" s="61"/>
      <c r="HT245" s="61"/>
      <c r="HU245" s="61"/>
      <c r="HV245" s="61"/>
      <c r="HW245" s="61"/>
      <c r="HX245" s="61"/>
      <c r="HY245" s="61"/>
      <c r="HZ245" s="61"/>
      <c r="IA245" s="61"/>
      <c r="IB245" s="61"/>
      <c r="IC245" s="61"/>
      <c r="ID245" s="61"/>
      <c r="IE245" s="61"/>
      <c r="IF245" s="61"/>
      <c r="IG245" s="61"/>
      <c r="IH245" s="61"/>
      <c r="II245" s="61"/>
      <c r="IJ245" s="61"/>
      <c r="IK245" s="61"/>
      <c r="IL245" s="61"/>
    </row>
    <row r="246" spans="1:246" s="62" customFormat="1" ht="16">
      <c r="A246" s="59" t="s">
        <v>1223</v>
      </c>
      <c r="B246" s="59" t="s">
        <v>1233</v>
      </c>
      <c r="C246" s="59" t="s">
        <v>95</v>
      </c>
      <c r="D246" s="60">
        <v>628</v>
      </c>
      <c r="E246" s="60">
        <v>999</v>
      </c>
      <c r="F246" s="95">
        <v>0</v>
      </c>
      <c r="G246" s="95">
        <v>0</v>
      </c>
      <c r="H246" s="96">
        <f t="shared" si="18"/>
        <v>0</v>
      </c>
      <c r="I246" s="96">
        <f>IF(D246&lt;&gt;"",D246,IFERROR(E246/(IFERROR(SUM(Sales!C:C),0))*(IFERROR(SUM(Purchases!C:C),0)),0))</f>
        <v>628</v>
      </c>
      <c r="J246" s="96">
        <f t="shared" si="19"/>
        <v>0</v>
      </c>
      <c r="K246" s="96">
        <f t="shared" si="20"/>
        <v>0</v>
      </c>
      <c r="L246" s="59" t="s">
        <v>608</v>
      </c>
      <c r="M246" s="59"/>
      <c r="N246" s="62" t="s">
        <v>504</v>
      </c>
      <c r="P246" s="9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7">
      <c r="A247" s="55" t="s">
        <v>1224</v>
      </c>
      <c r="B247" s="55" t="s">
        <v>1234</v>
      </c>
      <c r="C247" s="55" t="s">
        <v>95</v>
      </c>
      <c r="D247" s="56">
        <v>629</v>
      </c>
      <c r="E247" s="56">
        <v>980</v>
      </c>
      <c r="F247" s="64">
        <v>0</v>
      </c>
      <c r="G247" s="64">
        <v>3</v>
      </c>
      <c r="H247" s="63">
        <f t="shared" si="18"/>
        <v>3</v>
      </c>
      <c r="I247" s="63">
        <f>IF(D247&lt;&gt;"",D247,IFERROR(E247/(IFERROR(SUM(Sales!C:C),0))*(IFERROR(SUM(Purchases!C:C),0)),0))</f>
        <v>629</v>
      </c>
      <c r="J247" s="63">
        <f t="shared" si="19"/>
        <v>0</v>
      </c>
      <c r="K247" s="63">
        <f t="shared" si="20"/>
        <v>1887</v>
      </c>
      <c r="L247" s="55"/>
      <c r="M247" s="55"/>
      <c r="N247" s="47" t="s">
        <v>677</v>
      </c>
      <c r="P247" s="86" t="s">
        <v>1243</v>
      </c>
      <c r="S247" s="47"/>
      <c r="T247" s="47"/>
    </row>
    <row r="248" spans="1:246" ht="17">
      <c r="A248" s="52" t="s">
        <v>1225</v>
      </c>
      <c r="B248" s="52" t="s">
        <v>1322</v>
      </c>
      <c r="C248" s="52" t="s">
        <v>95</v>
      </c>
      <c r="D248" s="53">
        <v>882</v>
      </c>
      <c r="E248" s="53">
        <v>1380</v>
      </c>
      <c r="F248" s="66">
        <v>0</v>
      </c>
      <c r="G248" s="66">
        <v>3</v>
      </c>
      <c r="H248" s="65">
        <f t="shared" si="18"/>
        <v>3</v>
      </c>
      <c r="I248" s="65">
        <f>IF(D248&lt;&gt;"",D248,IFERROR(E248/(IFERROR(SUM(Sales!C:C),0))*(IFERROR(SUM(Purchases!C:C),0)),0))</f>
        <v>882</v>
      </c>
      <c r="J248" s="65">
        <f t="shared" si="19"/>
        <v>0</v>
      </c>
      <c r="K248" s="65">
        <f t="shared" si="20"/>
        <v>2646</v>
      </c>
      <c r="L248" s="52"/>
      <c r="M248" s="52"/>
      <c r="N248" s="47" t="s">
        <v>677</v>
      </c>
      <c r="P248" s="86" t="s">
        <v>1312</v>
      </c>
      <c r="S248" s="47"/>
      <c r="T248" s="47"/>
    </row>
    <row r="249" spans="1:246" ht="17">
      <c r="A249" s="55" t="s">
        <v>1309</v>
      </c>
      <c r="B249" s="55" t="s">
        <v>1323</v>
      </c>
      <c r="C249" s="55" t="s">
        <v>95</v>
      </c>
      <c r="D249" s="56">
        <v>400</v>
      </c>
      <c r="E249" s="56">
        <v>699</v>
      </c>
      <c r="F249" s="64">
        <v>0</v>
      </c>
      <c r="G249" s="64">
        <v>1</v>
      </c>
      <c r="H249" s="63">
        <f t="shared" si="18"/>
        <v>1</v>
      </c>
      <c r="I249" s="63">
        <f>IF(D249&lt;&gt;"",D249,IFERROR(E249/(IFERROR(SUM(Sales!C:C),0))*(IFERROR(SUM(Purchases!C:C),0)),0))</f>
        <v>400</v>
      </c>
      <c r="J249" s="63">
        <f t="shared" si="19"/>
        <v>0</v>
      </c>
      <c r="K249" s="63">
        <f t="shared" si="20"/>
        <v>400</v>
      </c>
      <c r="L249" s="55"/>
      <c r="M249" s="55"/>
      <c r="N249" s="47" t="s">
        <v>677</v>
      </c>
      <c r="P249" s="86" t="s">
        <v>1311</v>
      </c>
      <c r="S249" s="47"/>
      <c r="T249" s="47"/>
    </row>
    <row r="250" spans="1:246" ht="16">
      <c r="A250" s="52" t="s">
        <v>1310</v>
      </c>
      <c r="B250" s="52" t="s">
        <v>1313</v>
      </c>
      <c r="C250" s="52" t="s">
        <v>96</v>
      </c>
      <c r="D250" s="53">
        <v>1090</v>
      </c>
      <c r="E250" s="53"/>
      <c r="F250" s="66">
        <v>0</v>
      </c>
      <c r="G250" s="66">
        <v>3</v>
      </c>
      <c r="H250" s="65">
        <f t="shared" si="18"/>
        <v>3</v>
      </c>
      <c r="I250" s="65">
        <f>IF(D250&lt;&gt;"",D250,IFERROR(E250/(IFERROR(SUM(Sales!C:C),0))*(IFERROR(SUM(Purchases!C:C),0)),0))</f>
        <v>1090</v>
      </c>
      <c r="J250" s="65">
        <f t="shared" si="19"/>
        <v>0</v>
      </c>
      <c r="K250" s="65">
        <f t="shared" si="20"/>
        <v>3270</v>
      </c>
      <c r="L250" s="52"/>
      <c r="M250" s="52"/>
      <c r="N250" s="47" t="s">
        <v>677</v>
      </c>
      <c r="O250" s="47" t="s">
        <v>1314</v>
      </c>
      <c r="P250" s="86"/>
      <c r="S250" s="47"/>
      <c r="T250" s="47"/>
    </row>
    <row r="251" spans="1:246" ht="16">
      <c r="A251" s="55" t="s">
        <v>1315</v>
      </c>
      <c r="B251" s="55" t="s">
        <v>1316</v>
      </c>
      <c r="C251" s="55" t="s">
        <v>96</v>
      </c>
      <c r="D251" s="56">
        <v>1049</v>
      </c>
      <c r="E251" s="56"/>
      <c r="F251" s="64">
        <v>0</v>
      </c>
      <c r="G251" s="64">
        <v>4</v>
      </c>
      <c r="H251" s="63">
        <f t="shared" si="18"/>
        <v>4</v>
      </c>
      <c r="I251" s="63">
        <f>IF(D251&lt;&gt;"",D251,IFERROR(E251/(IFERROR(SUM(Sales!C:C),0))*(IFERROR(SUM(Purchases!C:C),0)),0))</f>
        <v>1049</v>
      </c>
      <c r="J251" s="63">
        <f t="shared" si="19"/>
        <v>0</v>
      </c>
      <c r="K251" s="63">
        <f t="shared" si="20"/>
        <v>4196</v>
      </c>
      <c r="L251" s="55"/>
      <c r="M251" s="55"/>
      <c r="N251" s="47" t="s">
        <v>677</v>
      </c>
      <c r="O251" s="47" t="s">
        <v>1317</v>
      </c>
      <c r="P251" s="86"/>
      <c r="S251" s="47"/>
      <c r="T251" s="47"/>
    </row>
    <row r="252" spans="1:246" ht="16">
      <c r="A252" s="52" t="s">
        <v>1318</v>
      </c>
      <c r="B252" s="52" t="s">
        <v>1319</v>
      </c>
      <c r="C252" s="52" t="s">
        <v>96</v>
      </c>
      <c r="D252" s="53">
        <v>1049</v>
      </c>
      <c r="E252" s="53"/>
      <c r="F252" s="66">
        <v>0</v>
      </c>
      <c r="G252" s="66">
        <v>4</v>
      </c>
      <c r="H252" s="65">
        <f t="shared" si="18"/>
        <v>4</v>
      </c>
      <c r="I252" s="65">
        <f>IF(D252&lt;&gt;"",D252,IFERROR(E252/(IFERROR(SUM(Sales!C:C),0))*(IFERROR(SUM(Purchases!C:C),0)),0))</f>
        <v>1049</v>
      </c>
      <c r="J252" s="65">
        <f t="shared" si="19"/>
        <v>0</v>
      </c>
      <c r="K252" s="65">
        <f t="shared" si="20"/>
        <v>4196</v>
      </c>
      <c r="L252" s="52"/>
      <c r="M252" s="52"/>
      <c r="N252" s="47" t="s">
        <v>677</v>
      </c>
      <c r="O252" s="47" t="s">
        <v>1317</v>
      </c>
      <c r="P252" s="86"/>
      <c r="S252" s="47"/>
      <c r="T252" s="47"/>
    </row>
    <row r="253" spans="1:246" ht="16">
      <c r="A253" s="55" t="s">
        <v>1320</v>
      </c>
      <c r="B253" s="55" t="s">
        <v>1321</v>
      </c>
      <c r="C253" s="55" t="s">
        <v>96</v>
      </c>
      <c r="D253" s="56">
        <v>1322</v>
      </c>
      <c r="E253" s="56"/>
      <c r="F253" s="64">
        <v>0</v>
      </c>
      <c r="G253" s="64">
        <v>3</v>
      </c>
      <c r="H253" s="63">
        <f t="shared" si="18"/>
        <v>3</v>
      </c>
      <c r="I253" s="63">
        <f>IF(D253&lt;&gt;"",D253,IFERROR(E253/(IFERROR(SUM(Sales!C:C),0))*(IFERROR(SUM(Purchases!C:C),0)),0))</f>
        <v>1322</v>
      </c>
      <c r="J253" s="63">
        <f t="shared" si="19"/>
        <v>0</v>
      </c>
      <c r="K253" s="63">
        <f t="shared" si="20"/>
        <v>3966</v>
      </c>
      <c r="L253" s="55"/>
      <c r="M253" s="55"/>
      <c r="N253" s="47" t="s">
        <v>677</v>
      </c>
      <c r="O253" s="47" t="s">
        <v>1314</v>
      </c>
      <c r="P253" s="86"/>
      <c r="S253" s="47"/>
      <c r="T253" s="47"/>
    </row>
    <row r="254" spans="1:246" ht="16">
      <c r="A254" s="52" t="s">
        <v>1324</v>
      </c>
      <c r="B254" s="52" t="s">
        <v>1346</v>
      </c>
      <c r="C254" s="52" t="s">
        <v>95</v>
      </c>
      <c r="D254" s="53">
        <v>891</v>
      </c>
      <c r="E254" s="53">
        <v>1380</v>
      </c>
      <c r="F254" s="66">
        <v>1</v>
      </c>
      <c r="G254" s="66">
        <v>4</v>
      </c>
      <c r="H254" s="65">
        <f t="shared" si="18"/>
        <v>5</v>
      </c>
      <c r="I254" s="65">
        <f>IF(D254&lt;&gt;"",D254,IFERROR(E254/(IFERROR(SUM(Sales!C:C),0))*(IFERROR(SUM(Purchases!C:C),0)),0))</f>
        <v>891</v>
      </c>
      <c r="J254" s="65">
        <f t="shared" si="19"/>
        <v>891</v>
      </c>
      <c r="K254" s="65">
        <f t="shared" si="20"/>
        <v>3564</v>
      </c>
      <c r="L254" s="52" t="s">
        <v>1325</v>
      </c>
      <c r="M254" s="52"/>
      <c r="N254" s="47" t="s">
        <v>589</v>
      </c>
      <c r="P254" s="86"/>
      <c r="S254" s="47"/>
      <c r="T254" s="47"/>
    </row>
    <row r="255" spans="1:246" ht="16">
      <c r="A255" s="55" t="s">
        <v>1327</v>
      </c>
      <c r="B255" s="55" t="s">
        <v>1347</v>
      </c>
      <c r="C255" s="55" t="s">
        <v>95</v>
      </c>
      <c r="D255" s="56">
        <v>891</v>
      </c>
      <c r="E255" s="56">
        <v>1380</v>
      </c>
      <c r="F255" s="64">
        <v>2</v>
      </c>
      <c r="G255" s="64">
        <v>1</v>
      </c>
      <c r="H255" s="63">
        <f t="shared" si="18"/>
        <v>3</v>
      </c>
      <c r="I255" s="63">
        <f>IF(D255&lt;&gt;"",D255,IFERROR(E255/(IFERROR(SUM(Sales!C:C),0))*(IFERROR(SUM(Purchases!C:C),0)),0))</f>
        <v>891</v>
      </c>
      <c r="J255" s="63">
        <f t="shared" si="19"/>
        <v>1782</v>
      </c>
      <c r="K255" s="63">
        <f t="shared" si="20"/>
        <v>891</v>
      </c>
      <c r="L255" s="55" t="s">
        <v>1380</v>
      </c>
      <c r="M255" s="55"/>
      <c r="N255" s="47" t="s">
        <v>589</v>
      </c>
      <c r="P255" s="86"/>
      <c r="S255" s="47"/>
      <c r="T255" s="47"/>
    </row>
    <row r="256" spans="1:246" ht="16">
      <c r="A256" s="52" t="s">
        <v>1343</v>
      </c>
      <c r="B256" s="52" t="s">
        <v>1348</v>
      </c>
      <c r="C256" s="52" t="s">
        <v>95</v>
      </c>
      <c r="D256" s="53">
        <v>891</v>
      </c>
      <c r="E256" s="53">
        <v>1380</v>
      </c>
      <c r="F256" s="66">
        <v>0</v>
      </c>
      <c r="G256" s="66">
        <v>1</v>
      </c>
      <c r="H256" s="65">
        <f t="shared" si="18"/>
        <v>1</v>
      </c>
      <c r="I256" s="65">
        <f>IF(D256&lt;&gt;"",D256,IFERROR(E256/(IFERROR(SUM(Sales!C:C),0))*(IFERROR(SUM(Purchases!C:C),0)),0))</f>
        <v>891</v>
      </c>
      <c r="J256" s="65">
        <f t="shared" si="19"/>
        <v>0</v>
      </c>
      <c r="K256" s="65">
        <f t="shared" si="20"/>
        <v>891</v>
      </c>
      <c r="L256" s="52"/>
      <c r="M256" s="52"/>
      <c r="N256" s="47" t="s">
        <v>677</v>
      </c>
      <c r="P256" s="86"/>
      <c r="S256" s="47"/>
      <c r="T256" s="47"/>
    </row>
    <row r="257" spans="1:20" ht="16">
      <c r="A257" s="55" t="s">
        <v>1344</v>
      </c>
      <c r="B257" s="55" t="s">
        <v>1349</v>
      </c>
      <c r="C257" s="55" t="s">
        <v>95</v>
      </c>
      <c r="D257" s="56">
        <v>922</v>
      </c>
      <c r="E257" s="56">
        <v>1380</v>
      </c>
      <c r="F257" s="64">
        <v>0</v>
      </c>
      <c r="G257" s="64">
        <v>1</v>
      </c>
      <c r="H257" s="63">
        <f t="shared" si="18"/>
        <v>1</v>
      </c>
      <c r="I257" s="63">
        <f>IF(D257&lt;&gt;"",D257,IFERROR(E257/(IFERROR(SUM(Sales!C:C),0))*(IFERROR(SUM(Purchases!C:C),0)),0))</f>
        <v>922</v>
      </c>
      <c r="J257" s="63">
        <f t="shared" si="19"/>
        <v>0</v>
      </c>
      <c r="K257" s="63">
        <f t="shared" si="20"/>
        <v>922</v>
      </c>
      <c r="L257" s="55"/>
      <c r="M257" s="55"/>
      <c r="N257" s="47" t="s">
        <v>677</v>
      </c>
      <c r="P257" s="86"/>
      <c r="S257" s="47"/>
      <c r="T257" s="47"/>
    </row>
    <row r="258" spans="1:20" ht="16">
      <c r="A258" s="52" t="s">
        <v>1345</v>
      </c>
      <c r="B258" s="52" t="s">
        <v>1350</v>
      </c>
      <c r="C258" s="52" t="s">
        <v>95</v>
      </c>
      <c r="D258" s="53">
        <v>891</v>
      </c>
      <c r="E258" s="53">
        <v>1380</v>
      </c>
      <c r="F258" s="66">
        <v>0</v>
      </c>
      <c r="G258" s="66">
        <v>1</v>
      </c>
      <c r="H258" s="65">
        <f t="shared" si="18"/>
        <v>1</v>
      </c>
      <c r="I258" s="65">
        <f>IF(D258&lt;&gt;"",D258,IFERROR(E258/(IFERROR(SUM(Sales!C:C),0))*(IFERROR(SUM(Purchases!C:C),0)),0))</f>
        <v>891</v>
      </c>
      <c r="J258" s="65">
        <f t="shared" si="19"/>
        <v>0</v>
      </c>
      <c r="K258" s="65">
        <f t="shared" si="20"/>
        <v>891</v>
      </c>
      <c r="L258" s="52"/>
      <c r="M258" s="52"/>
      <c r="N258" s="47" t="s">
        <v>677</v>
      </c>
      <c r="P258" s="86"/>
      <c r="S258" s="47"/>
      <c r="T258" s="47"/>
    </row>
    <row r="259" spans="1:20" ht="17">
      <c r="A259" s="55" t="s">
        <v>1352</v>
      </c>
      <c r="B259" s="55" t="s">
        <v>1364</v>
      </c>
      <c r="C259" s="55" t="s">
        <v>95</v>
      </c>
      <c r="D259" s="56">
        <v>645</v>
      </c>
      <c r="E259" s="56">
        <v>999</v>
      </c>
      <c r="F259" s="64">
        <v>0</v>
      </c>
      <c r="G259" s="64">
        <v>5</v>
      </c>
      <c r="H259" s="63">
        <f t="shared" si="18"/>
        <v>5</v>
      </c>
      <c r="I259" s="63">
        <f>IF(D259&lt;&gt;"",D259,IFERROR(E259/(IFERROR(SUM(Sales!C:C),0))*(IFERROR(SUM(Purchases!C:C),0)),0))</f>
        <v>645</v>
      </c>
      <c r="J259" s="63">
        <f t="shared" si="19"/>
        <v>0</v>
      </c>
      <c r="K259" s="63">
        <f t="shared" si="20"/>
        <v>3225</v>
      </c>
      <c r="L259" s="55"/>
      <c r="M259" s="55"/>
      <c r="N259" s="47" t="s">
        <v>677</v>
      </c>
      <c r="P259" s="86" t="s">
        <v>1365</v>
      </c>
      <c r="S259" s="47"/>
      <c r="T259" s="47"/>
    </row>
    <row r="260" spans="1:20" ht="17">
      <c r="A260" s="52" t="s">
        <v>1353</v>
      </c>
      <c r="B260" s="52" t="s">
        <v>1366</v>
      </c>
      <c r="C260" s="52" t="s">
        <v>95</v>
      </c>
      <c r="D260" s="53">
        <v>871</v>
      </c>
      <c r="E260" s="53">
        <v>1250</v>
      </c>
      <c r="F260" s="66">
        <v>0</v>
      </c>
      <c r="G260" s="66">
        <v>3</v>
      </c>
      <c r="H260" s="65">
        <f t="shared" si="18"/>
        <v>3</v>
      </c>
      <c r="I260" s="65">
        <f>IF(D260&lt;&gt;"",D260,IFERROR(E260/(IFERROR(SUM(Sales!C:C),0))*(IFERROR(SUM(Purchases!C:C),0)),0))</f>
        <v>871</v>
      </c>
      <c r="J260" s="65">
        <f t="shared" si="19"/>
        <v>0</v>
      </c>
      <c r="K260" s="65">
        <f t="shared" si="20"/>
        <v>2613</v>
      </c>
      <c r="L260" s="52"/>
      <c r="M260" s="52"/>
      <c r="N260" s="47" t="s">
        <v>677</v>
      </c>
      <c r="P260" s="86" t="s">
        <v>1369</v>
      </c>
      <c r="S260" s="47"/>
      <c r="T260" s="47"/>
    </row>
    <row r="261" spans="1:20" ht="17">
      <c r="A261" s="55" t="s">
        <v>1354</v>
      </c>
      <c r="B261" s="55" t="s">
        <v>1360</v>
      </c>
      <c r="C261" s="55" t="s">
        <v>95</v>
      </c>
      <c r="D261" s="56">
        <v>730</v>
      </c>
      <c r="E261" s="56">
        <v>1150</v>
      </c>
      <c r="F261" s="64">
        <v>0</v>
      </c>
      <c r="G261" s="64">
        <v>5</v>
      </c>
      <c r="H261" s="63">
        <f t="shared" ref="H261:H272" si="21">F261+IF(LEN(G261)=0,0,G261)</f>
        <v>5</v>
      </c>
      <c r="I261" s="63">
        <f>IF(D261&lt;&gt;"",D261,IFERROR(E261/(IFERROR(SUM(Sales!C:C),0))*(IFERROR(SUM(Purchases!C:C),0)),0))</f>
        <v>730</v>
      </c>
      <c r="J261" s="63">
        <f t="shared" ref="J261:J272" si="22">F261*I261</f>
        <v>0</v>
      </c>
      <c r="K261" s="63">
        <f t="shared" ref="K261:K272" si="23">IF(LEN(G261)=0,0,G261)*I261</f>
        <v>3650</v>
      </c>
      <c r="L261" s="55"/>
      <c r="M261" s="55"/>
      <c r="N261" s="47" t="s">
        <v>677</v>
      </c>
      <c r="P261" s="86" t="s">
        <v>1361</v>
      </c>
      <c r="S261" s="47"/>
      <c r="T261" s="47"/>
    </row>
    <row r="262" spans="1:20" ht="17">
      <c r="A262" s="52" t="s">
        <v>1355</v>
      </c>
      <c r="B262" s="52" t="s">
        <v>1358</v>
      </c>
      <c r="C262" s="52" t="s">
        <v>95</v>
      </c>
      <c r="D262" s="53">
        <v>1024</v>
      </c>
      <c r="E262" s="53">
        <v>1499</v>
      </c>
      <c r="F262" s="66">
        <v>0</v>
      </c>
      <c r="G262" s="66">
        <v>3</v>
      </c>
      <c r="H262" s="65">
        <f t="shared" si="21"/>
        <v>3</v>
      </c>
      <c r="I262" s="65">
        <f>IF(D262&lt;&gt;"",D262,IFERROR(E262/(IFERROR(SUM(Sales!C:C),0))*(IFERROR(SUM(Purchases!C:C),0)),0))</f>
        <v>1024</v>
      </c>
      <c r="J262" s="65">
        <f t="shared" si="22"/>
        <v>0</v>
      </c>
      <c r="K262" s="65">
        <f t="shared" si="23"/>
        <v>3072</v>
      </c>
      <c r="L262" s="52"/>
      <c r="M262" s="52"/>
      <c r="N262" s="47" t="s">
        <v>677</v>
      </c>
      <c r="P262" s="86" t="s">
        <v>1359</v>
      </c>
      <c r="S262" s="47"/>
      <c r="T262" s="47"/>
    </row>
    <row r="263" spans="1:20" ht="17">
      <c r="A263" s="55" t="s">
        <v>1356</v>
      </c>
      <c r="B263" s="55" t="s">
        <v>1362</v>
      </c>
      <c r="C263" s="55" t="s">
        <v>95</v>
      </c>
      <c r="D263" s="56">
        <v>887</v>
      </c>
      <c r="E263" s="56">
        <v>1380</v>
      </c>
      <c r="F263" s="64">
        <v>0</v>
      </c>
      <c r="G263" s="64">
        <v>1</v>
      </c>
      <c r="H263" s="63">
        <f t="shared" si="21"/>
        <v>1</v>
      </c>
      <c r="I263" s="63">
        <f>IF(D263&lt;&gt;"",D263,IFERROR(E263/(IFERROR(SUM(Sales!C:C),0))*(IFERROR(SUM(Purchases!C:C),0)),0))</f>
        <v>887</v>
      </c>
      <c r="J263" s="63">
        <f t="shared" si="22"/>
        <v>0</v>
      </c>
      <c r="K263" s="63">
        <f t="shared" si="23"/>
        <v>887</v>
      </c>
      <c r="L263" s="55"/>
      <c r="M263" s="55"/>
      <c r="N263" s="47" t="s">
        <v>677</v>
      </c>
      <c r="P263" s="86" t="s">
        <v>1363</v>
      </c>
      <c r="S263" s="47"/>
      <c r="T263" s="47"/>
    </row>
    <row r="264" spans="1:20" ht="34">
      <c r="A264" s="52" t="s">
        <v>1357</v>
      </c>
      <c r="B264" s="52" t="s">
        <v>1367</v>
      </c>
      <c r="C264" s="52" t="s">
        <v>95</v>
      </c>
      <c r="D264" s="53">
        <v>593</v>
      </c>
      <c r="E264" s="53">
        <v>999</v>
      </c>
      <c r="F264" s="66">
        <v>0</v>
      </c>
      <c r="G264" s="66">
        <v>4</v>
      </c>
      <c r="H264" s="65">
        <f t="shared" si="21"/>
        <v>4</v>
      </c>
      <c r="I264" s="65">
        <f>IF(D264&lt;&gt;"",D264,IFERROR(E264/(IFERROR(SUM(Sales!C:C),0))*(IFERROR(SUM(Purchases!C:C),0)),0))</f>
        <v>593</v>
      </c>
      <c r="J264" s="65">
        <f t="shared" si="22"/>
        <v>0</v>
      </c>
      <c r="K264" s="65">
        <f t="shared" si="23"/>
        <v>2372</v>
      </c>
      <c r="L264" s="52"/>
      <c r="M264" s="52"/>
      <c r="N264" s="47" t="s">
        <v>677</v>
      </c>
      <c r="P264" s="86" t="s">
        <v>1368</v>
      </c>
      <c r="S264" s="47"/>
      <c r="T264" s="47"/>
    </row>
    <row r="265" spans="1:20" ht="16">
      <c r="A265" s="55"/>
      <c r="B265" s="55"/>
      <c r="C265" s="55" t="s">
        <v>95</v>
      </c>
      <c r="D265" s="56">
        <v>2001</v>
      </c>
      <c r="E265" s="56">
        <v>2505</v>
      </c>
      <c r="F265" s="64">
        <v>0</v>
      </c>
      <c r="G265" s="64">
        <v>-7</v>
      </c>
      <c r="H265" s="63">
        <f t="shared" si="21"/>
        <v>-7</v>
      </c>
      <c r="I265" s="63">
        <f>IF(D265&lt;&gt;"",D265,IFERROR(E265/(IFERROR(SUM(Sales!C:C),0))*(IFERROR(SUM(Purchases!C:C),0)),0))</f>
        <v>2001</v>
      </c>
      <c r="J265" s="63">
        <f t="shared" si="22"/>
        <v>0</v>
      </c>
      <c r="K265" s="63">
        <f t="shared" si="23"/>
        <v>-14007</v>
      </c>
      <c r="L265" s="55"/>
      <c r="M265" s="55"/>
      <c r="P265" s="86"/>
      <c r="S265" s="47"/>
      <c r="T265" s="47"/>
    </row>
    <row r="266" spans="1:20" ht="16">
      <c r="A266" s="52"/>
      <c r="B266" s="52"/>
      <c r="C266" s="52" t="s">
        <v>95</v>
      </c>
      <c r="D266" s="53">
        <v>2227</v>
      </c>
      <c r="E266" s="53">
        <v>2756</v>
      </c>
      <c r="F266" s="66">
        <v>0</v>
      </c>
      <c r="G266" s="66">
        <v>-9</v>
      </c>
      <c r="H266" s="65">
        <f t="shared" si="21"/>
        <v>-9</v>
      </c>
      <c r="I266" s="65">
        <f>IF(D266&lt;&gt;"",D266,IFERROR(E266/(IFERROR(SUM(Sales!C:C),0))*(IFERROR(SUM(Purchases!C:C),0)),0))</f>
        <v>2227</v>
      </c>
      <c r="J266" s="65">
        <f t="shared" si="22"/>
        <v>0</v>
      </c>
      <c r="K266" s="65">
        <f t="shared" si="23"/>
        <v>-20043</v>
      </c>
      <c r="L266" s="52"/>
      <c r="M266" s="52"/>
      <c r="P266" s="86"/>
      <c r="S266" s="47"/>
      <c r="T266" s="47"/>
    </row>
    <row r="267" spans="1:20" ht="16">
      <c r="A267" s="55"/>
      <c r="B267" s="55"/>
      <c r="C267" s="55" t="s">
        <v>95</v>
      </c>
      <c r="D267" s="56">
        <v>2453</v>
      </c>
      <c r="E267" s="56">
        <v>3007</v>
      </c>
      <c r="F267" s="64">
        <v>0</v>
      </c>
      <c r="G267" s="64">
        <v>-11</v>
      </c>
      <c r="H267" s="63">
        <f t="shared" si="21"/>
        <v>-11</v>
      </c>
      <c r="I267" s="63">
        <f>IF(D267&lt;&gt;"",D267,IFERROR(E267/(IFERROR(SUM(Sales!C:C),0))*(IFERROR(SUM(Purchases!C:C),0)),0))</f>
        <v>2453</v>
      </c>
      <c r="J267" s="63">
        <f t="shared" si="22"/>
        <v>0</v>
      </c>
      <c r="K267" s="63">
        <f t="shared" si="23"/>
        <v>-26983</v>
      </c>
      <c r="L267" s="55"/>
      <c r="M267" s="55"/>
      <c r="P267" s="86"/>
      <c r="S267" s="47"/>
      <c r="T267" s="47"/>
    </row>
    <row r="268" spans="1:20" ht="16">
      <c r="A268" s="52"/>
      <c r="B268" s="52"/>
      <c r="C268" s="52" t="s">
        <v>95</v>
      </c>
      <c r="D268" s="53">
        <v>2679</v>
      </c>
      <c r="E268" s="53">
        <v>3258</v>
      </c>
      <c r="F268" s="66">
        <v>0</v>
      </c>
      <c r="G268" s="66">
        <v>-13</v>
      </c>
      <c r="H268" s="65">
        <f t="shared" si="21"/>
        <v>-13</v>
      </c>
      <c r="I268" s="65">
        <f>IF(D268&lt;&gt;"",D268,IFERROR(E268/(IFERROR(SUM(Sales!C:C),0))*(IFERROR(SUM(Purchases!C:C),0)),0))</f>
        <v>2679</v>
      </c>
      <c r="J268" s="65">
        <f t="shared" si="22"/>
        <v>0</v>
      </c>
      <c r="K268" s="65">
        <f t="shared" si="23"/>
        <v>-34827</v>
      </c>
      <c r="L268" s="52"/>
      <c r="M268" s="52"/>
      <c r="P268" s="86"/>
      <c r="S268" s="47"/>
      <c r="T268" s="47"/>
    </row>
    <row r="269" spans="1:20" ht="16">
      <c r="A269" s="55"/>
      <c r="B269" s="55"/>
      <c r="C269" s="55" t="s">
        <v>95</v>
      </c>
      <c r="D269" s="56">
        <v>2905</v>
      </c>
      <c r="E269" s="56">
        <v>3509</v>
      </c>
      <c r="F269" s="64">
        <v>0</v>
      </c>
      <c r="G269" s="64">
        <v>-15</v>
      </c>
      <c r="H269" s="63">
        <f t="shared" si="21"/>
        <v>-15</v>
      </c>
      <c r="I269" s="63">
        <f>IF(D269&lt;&gt;"",D269,IFERROR(E269/(IFERROR(SUM(Sales!C:C),0))*(IFERROR(SUM(Purchases!C:C),0)),0))</f>
        <v>2905</v>
      </c>
      <c r="J269" s="63">
        <f t="shared" si="22"/>
        <v>0</v>
      </c>
      <c r="K269" s="63">
        <f t="shared" si="23"/>
        <v>-43575</v>
      </c>
      <c r="L269" s="55"/>
      <c r="M269" s="55"/>
      <c r="P269" s="86"/>
      <c r="S269" s="47"/>
      <c r="T269" s="47"/>
    </row>
    <row r="270" spans="1:20" ht="16">
      <c r="A270" s="52"/>
      <c r="B270" s="52"/>
      <c r="C270" s="52" t="s">
        <v>95</v>
      </c>
      <c r="D270" s="53">
        <v>3131</v>
      </c>
      <c r="E270" s="53">
        <v>3760</v>
      </c>
      <c r="F270" s="66">
        <v>0</v>
      </c>
      <c r="G270" s="66">
        <v>-17</v>
      </c>
      <c r="H270" s="65">
        <f t="shared" si="21"/>
        <v>-17</v>
      </c>
      <c r="I270" s="65">
        <f>IF(D270&lt;&gt;"",D270,IFERROR(E270/(IFERROR(SUM(Sales!C:C),0))*(IFERROR(SUM(Purchases!C:C),0)),0))</f>
        <v>3131</v>
      </c>
      <c r="J270" s="65">
        <f t="shared" si="22"/>
        <v>0</v>
      </c>
      <c r="K270" s="65">
        <f t="shared" si="23"/>
        <v>-53227</v>
      </c>
      <c r="L270" s="52"/>
      <c r="M270" s="52"/>
      <c r="P270" s="86"/>
      <c r="S270" s="47"/>
      <c r="T270" s="47"/>
    </row>
    <row r="271" spans="1:20" ht="16">
      <c r="A271" s="55"/>
      <c r="B271" s="55"/>
      <c r="C271" s="55" t="s">
        <v>95</v>
      </c>
      <c r="D271" s="56">
        <v>3357</v>
      </c>
      <c r="E271" s="56">
        <v>4011</v>
      </c>
      <c r="F271" s="64">
        <v>0</v>
      </c>
      <c r="G271" s="64">
        <v>-19</v>
      </c>
      <c r="H271" s="63">
        <f t="shared" si="21"/>
        <v>-19</v>
      </c>
      <c r="I271" s="63">
        <f>IF(D271&lt;&gt;"",D271,IFERROR(E271/(IFERROR(SUM(Sales!C:C),0))*(IFERROR(SUM(Purchases!C:C),0)),0))</f>
        <v>3357</v>
      </c>
      <c r="J271" s="63">
        <f t="shared" si="22"/>
        <v>0</v>
      </c>
      <c r="K271" s="63">
        <f t="shared" si="23"/>
        <v>-63783</v>
      </c>
      <c r="L271" s="55"/>
      <c r="M271" s="55"/>
      <c r="P271" s="86"/>
      <c r="S271" s="47"/>
      <c r="T271" s="47"/>
    </row>
    <row r="272" spans="1:20" ht="16">
      <c r="A272" s="52"/>
      <c r="B272" s="52"/>
      <c r="C272" s="52" t="s">
        <v>95</v>
      </c>
      <c r="D272" s="53">
        <v>3583</v>
      </c>
      <c r="E272" s="53">
        <v>4262</v>
      </c>
      <c r="F272" s="66">
        <v>0</v>
      </c>
      <c r="G272" s="66">
        <v>-21</v>
      </c>
      <c r="H272" s="65">
        <f t="shared" si="21"/>
        <v>-21</v>
      </c>
      <c r="I272" s="65">
        <f>IF(D272&lt;&gt;"",D272,IFERROR(E272/(IFERROR(SUM(Sales!C:C),0))*(IFERROR(SUM(Purchases!C:C),0)),0))</f>
        <v>3583</v>
      </c>
      <c r="J272" s="65">
        <f t="shared" si="22"/>
        <v>0</v>
      </c>
      <c r="K272" s="65">
        <f t="shared" si="23"/>
        <v>-75243</v>
      </c>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sheetData>
  <autoFilter ref="A1:T272" xr:uid="{00000000-0009-0000-0000-000005000000}"/>
  <phoneticPr fontId="30" type="noConversion"/>
  <dataValidations count="1">
    <dataValidation type="list" allowBlank="1" showInputMessage="1" showErrorMessage="1" sqref="N2:N986"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3" t="s">
        <v>1035</v>
      </c>
      <c r="B1" s="93"/>
    </row>
    <row r="2" spans="1:8" ht="13.5" customHeight="1">
      <c r="A2" s="8" t="s">
        <v>42</v>
      </c>
      <c r="B2" s="8" t="s">
        <v>1036</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1037</v>
      </c>
      <c r="C7" s="71" t="s">
        <v>1038</v>
      </c>
      <c r="D7" s="71" t="s">
        <v>1039</v>
      </c>
      <c r="E7" s="71" t="s">
        <v>1040</v>
      </c>
      <c r="F7" s="71" t="s">
        <v>1041</v>
      </c>
      <c r="G7" s="71" t="s">
        <v>1042</v>
      </c>
      <c r="H7" s="71" t="s">
        <v>1043</v>
      </c>
    </row>
    <row r="8" spans="1:8" ht="13.5" customHeight="1">
      <c r="A8" s="9" t="s">
        <v>49</v>
      </c>
      <c r="B8" s="9">
        <f>IFERROR(SUMIF(Purchases!$B:$B,$A8,Purchases!$C:$C),0)</f>
        <v>261321</v>
      </c>
      <c r="C8" s="9">
        <f>SUM($B$8:$B$10)/3</f>
        <v>198839</v>
      </c>
      <c r="D8" s="9">
        <f>B8-C8</f>
        <v>62482</v>
      </c>
      <c r="E8" s="9">
        <f>IF(Summary!$B$6&gt;0, Summary!$B$6*VLOOKUP($A8,$A$3:$B$5,2,FALSE()),0)</f>
        <v>0</v>
      </c>
      <c r="F8" s="9">
        <f>D8+E8</f>
        <v>62482</v>
      </c>
      <c r="G8" s="9">
        <f>IFERROR(SUMIFS($E$13:$E$499,$D$13:$D$499,$A8,$B$13:$B$499,"Contribution"),0)+IFERROR(SUMIFS($E$13:$E$499,$D$13:$D$499,$A8,$B$13:$B$499,"Profit"),0)-IFERROR(SUMIFS($E$13:$E$499,$C$13:$C$499,$A8,$B$13:$B$499,"Contribution"),0)-IFERROR(SUMIFS($E$13:$E$499,$C$13:$C$499,$A8,$B$13:$B$499,"Profit"),0)</f>
        <v>18303.34</v>
      </c>
      <c r="H8" s="73">
        <f>F8-G8</f>
        <v>44178.66</v>
      </c>
    </row>
    <row r="9" spans="1:8" ht="13.5" customHeight="1">
      <c r="A9" s="11" t="s">
        <v>50</v>
      </c>
      <c r="B9" s="11">
        <f>IFERROR(SUMIF(Purchases!$B:$B,$A9,Purchases!$C:$C),0)</f>
        <v>302596</v>
      </c>
      <c r="C9" s="11">
        <f>SUM($B$8:$B$10)/3</f>
        <v>198839</v>
      </c>
      <c r="D9" s="11">
        <f>B9-C9</f>
        <v>103757</v>
      </c>
      <c r="E9" s="11">
        <f>IF(Summary!$B$6&gt;0, Summary!$B$6*VLOOKUP($A9,$A$3:$B$5,2,FALSE()),0)</f>
        <v>0</v>
      </c>
      <c r="F9" s="11">
        <f>D9+E9</f>
        <v>103757</v>
      </c>
      <c r="G9" s="11">
        <f>IFERROR(SUMIFS($E$13:$E$499,$D$13:$D$499,$A9,$B$13:$B$499,"Contribution"),0)+IFERROR(SUMIFS($E$13:$E$499,$D$13:$D$499,$A9,$B$13:$B$499,"Profit"),0)-IFERROR(SUMIFS($E$13:$E$499,$C$13:$C$499,$A9,$B$13:$B$499,"Contribution"),0)-IFERROR(SUMIFS($E$13:$E$499,$C$13:$C$499,$A9,$B$13:$B$499,"Profit"),0)</f>
        <v>41639.33</v>
      </c>
      <c r="H9" s="74">
        <f>F9-G9</f>
        <v>62117.67</v>
      </c>
    </row>
    <row r="10" spans="1:8" ht="13.5" customHeight="1">
      <c r="A10" s="9" t="s">
        <v>51</v>
      </c>
      <c r="B10" s="9">
        <f>IFERROR(SUMIF(Purchases!$B:$B,$A10,Purchases!$C:$C),0)</f>
        <v>32600</v>
      </c>
      <c r="C10" s="9">
        <f>SUM($B$8:$B$10)/3</f>
        <v>198839</v>
      </c>
      <c r="D10" s="9">
        <f>B10-C10</f>
        <v>-166239</v>
      </c>
      <c r="E10" s="9">
        <f>IF(Summary!$B$6&gt;0, Summary!$B$6*VLOOKUP($A10,$A$3:$B$5,2,FALSE()),0)</f>
        <v>0</v>
      </c>
      <c r="F10" s="9">
        <f>D10+E10</f>
        <v>-166239</v>
      </c>
      <c r="G10" s="9">
        <f>IFERROR(SUMIFS($E$13:$E$499,$D$13:$D$499,$A10,$B$13:$B$499,"Contribution"),0)+IFERROR(SUMIFS($E$13:$E$499,$D$13:$D$499,$A10,$B$13:$B$499,"Profit"),0)-IFERROR(SUMIFS($E$13:$E$499,$C$13:$C$499,$A10,$B$13:$B$499,"Contribution"),0)-IFERROR(SUMIFS($E$13:$E$499,$C$13:$C$499,$A10,$B$13:$B$499,"Profit"),0)</f>
        <v>-59942.67</v>
      </c>
      <c r="H10" s="73">
        <f>F10-G10</f>
        <v>-106296.33</v>
      </c>
    </row>
    <row r="12" spans="1:8" s="75" customFormat="1" ht="15.75" customHeight="1">
      <c r="A12" s="94" t="s">
        <v>1044</v>
      </c>
      <c r="B12" s="94"/>
      <c r="C12" s="94"/>
      <c r="D12" s="94"/>
      <c r="E12" s="94"/>
      <c r="F12" s="94"/>
    </row>
    <row r="13" spans="1:8" s="72" customFormat="1" ht="13.5" customHeight="1">
      <c r="A13" s="71" t="s">
        <v>98</v>
      </c>
      <c r="B13" s="71" t="s">
        <v>1045</v>
      </c>
      <c r="C13" s="71" t="s">
        <v>1046</v>
      </c>
      <c r="D13" s="71" t="s">
        <v>1047</v>
      </c>
      <c r="E13" s="71" t="s">
        <v>99</v>
      </c>
      <c r="F13" s="71" t="s">
        <v>100</v>
      </c>
    </row>
    <row r="14" spans="1:8" ht="13.5" customHeight="1">
      <c r="A14" s="76">
        <v>45952</v>
      </c>
      <c r="B14" s="9" t="s">
        <v>1048</v>
      </c>
      <c r="C14" s="9" t="s">
        <v>51</v>
      </c>
      <c r="D14" s="9" t="s">
        <v>49</v>
      </c>
      <c r="E14" s="69">
        <v>16032</v>
      </c>
      <c r="F14" s="9"/>
    </row>
    <row r="15" spans="1:8" ht="13.5" customHeight="1">
      <c r="A15" s="77">
        <v>45952</v>
      </c>
      <c r="B15" s="11" t="s">
        <v>1048</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1048</v>
      </c>
      <c r="C18" s="9" t="s">
        <v>50</v>
      </c>
      <c r="D18" s="9" t="s">
        <v>51</v>
      </c>
      <c r="E18" s="69">
        <v>3209.34</v>
      </c>
      <c r="F18" s="9"/>
    </row>
    <row r="19" spans="1:6" ht="13.5" customHeight="1">
      <c r="A19" s="77">
        <v>45970</v>
      </c>
      <c r="B19" s="11" t="s">
        <v>1048</v>
      </c>
      <c r="C19" s="11" t="s">
        <v>50</v>
      </c>
      <c r="D19" s="11" t="s">
        <v>49</v>
      </c>
      <c r="E19" s="70">
        <v>411</v>
      </c>
      <c r="F19" s="11"/>
    </row>
    <row r="20" spans="1:6" ht="13.5" customHeight="1">
      <c r="A20" s="76">
        <v>45973</v>
      </c>
      <c r="B20" s="9" t="s">
        <v>1048</v>
      </c>
      <c r="C20" s="9" t="s">
        <v>50</v>
      </c>
      <c r="D20" s="9" t="s">
        <v>51</v>
      </c>
      <c r="E20" s="69">
        <v>905</v>
      </c>
      <c r="F20" s="9"/>
    </row>
    <row r="21" spans="1:6" ht="13.5" customHeight="1">
      <c r="A21" s="77">
        <v>45973</v>
      </c>
      <c r="B21" s="11" t="s">
        <v>1048</v>
      </c>
      <c r="C21" s="11" t="s">
        <v>49</v>
      </c>
      <c r="D21" s="11" t="s">
        <v>51</v>
      </c>
      <c r="E21" s="70">
        <v>904</v>
      </c>
      <c r="F21" s="11"/>
    </row>
    <row r="22" spans="1:6" ht="13.5" customHeight="1">
      <c r="A22" s="76">
        <v>46058</v>
      </c>
      <c r="B22" s="9" t="s">
        <v>1048</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1048</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1048</v>
      </c>
      <c r="C26" s="9" t="s">
        <v>50</v>
      </c>
      <c r="D26" s="9" t="s">
        <v>49</v>
      </c>
      <c r="E26" s="69">
        <v>4933.33</v>
      </c>
      <c r="F26" s="9"/>
    </row>
    <row r="27" spans="1:6" ht="13.5" customHeight="1">
      <c r="A27" s="77">
        <v>46093</v>
      </c>
      <c r="B27" s="11" t="s">
        <v>1048</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1049</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1050</v>
      </c>
    </row>
    <row r="3" spans="1:7" s="72" customFormat="1" ht="13.5" customHeight="1">
      <c r="A3" s="71" t="s">
        <v>42</v>
      </c>
      <c r="B3" s="71" t="s">
        <v>1051</v>
      </c>
      <c r="C3" s="71" t="s">
        <v>1036</v>
      </c>
      <c r="D3" s="71" t="s">
        <v>1052</v>
      </c>
      <c r="E3" s="71" t="s">
        <v>1053</v>
      </c>
      <c r="F3" s="71" t="s">
        <v>1054</v>
      </c>
      <c r="G3" s="71" t="s">
        <v>1055</v>
      </c>
    </row>
    <row r="4" spans="1:7" ht="13.5" customHeight="1">
      <c r="A4" s="9" t="s">
        <v>49</v>
      </c>
      <c r="B4" s="9">
        <f>IFERROR(SUMIFS(Sales!$C:$C,Sales!$E:$E,$A4,Sales!$I:$I,"Completed"),0)</f>
        <v>493648</v>
      </c>
      <c r="C4" s="9">
        <f>VLOOKUP($A4,PartnerShares!$A$3:$B$5,2,FALSE())</f>
        <v>0.33339999999999997</v>
      </c>
      <c r="D4" s="9">
        <f>Summary!$B$4*C4</f>
        <v>188588.0434</v>
      </c>
      <c r="E4" s="9">
        <f>B4-D4</f>
        <v>305059.95660000003</v>
      </c>
      <c r="F4" s="9">
        <f>IFERROR(SUMIFS(PartnerShares!$E$13:$E$499,PartnerShares!$D$13:$D$499,$A4,PartnerShares!$B$13:$B$499,"Cash"),0)-IFERROR(SUMIFS(PartnerShares!$E$13:$E$499,PartnerShares!$C$13:$C$499,$A4,PartnerShares!$B$13:$B$499,"Cash"),0)</f>
        <v>-137310.02600000001</v>
      </c>
      <c r="G4" s="73">
        <f>E4+F4</f>
        <v>167749.93060000002</v>
      </c>
    </row>
    <row r="5" spans="1:7" ht="13.5" customHeight="1">
      <c r="A5" s="11" t="s">
        <v>50</v>
      </c>
      <c r="B5" s="11">
        <f>IFERROR(SUMIFS(Sales!$C:$C,Sales!$E:$E,$A5,Sales!$I:$I,"Completed"),0)</f>
        <v>58473</v>
      </c>
      <c r="C5" s="11">
        <f>VLOOKUP($A5,PartnerShares!$A$3:$B$5,2,FALSE())</f>
        <v>0.3332</v>
      </c>
      <c r="D5" s="11">
        <f>Summary!$B$4*C5</f>
        <v>188474.91320000001</v>
      </c>
      <c r="E5" s="11">
        <f>B5-D5</f>
        <v>-130001.91320000001</v>
      </c>
      <c r="F5" s="11">
        <f>IFERROR(SUMIFS(PartnerShares!$E$13:$E$499,PartnerShares!$D$13:$D$499,$A5,PartnerShares!$B$13:$B$499,"Cash"),0)-IFERROR(SUMIFS(PartnerShares!$E$13:$E$499,PartnerShares!$C$13:$C$499,$A5,PartnerShares!$B$13:$B$499,"Cash"),0)</f>
        <v>71587.042000000001</v>
      </c>
      <c r="G5" s="74">
        <f>E5+F5</f>
        <v>-58414.871200000009</v>
      </c>
    </row>
    <row r="6" spans="1:7" ht="13.5" customHeight="1">
      <c r="A6" s="9" t="s">
        <v>51</v>
      </c>
      <c r="B6" s="9">
        <f>IFERROR(SUMIFS(Sales!$C:$C,Sales!$E:$E,$A6,Sales!$I:$I,"Completed"),0)</f>
        <v>12530</v>
      </c>
      <c r="C6" s="9">
        <f>VLOOKUP($A6,PartnerShares!$A$3:$B$5,2,FALSE())</f>
        <v>0.33339999999999997</v>
      </c>
      <c r="D6" s="9">
        <f>Summary!$B$4*C6</f>
        <v>188588.0434</v>
      </c>
      <c r="E6" s="9">
        <f>B6-D6</f>
        <v>-176058.0434</v>
      </c>
      <c r="F6" s="9">
        <f>IFERROR(SUMIFS(PartnerShares!$E$13:$E$499,PartnerShares!$D$13:$D$499,$A6,PartnerShares!$B$13:$B$499,"Cash"),0)-IFERROR(SUMIFS(PartnerShares!$E$13:$E$499,PartnerShares!$C$13:$C$499,$A6,PartnerShares!$B$13:$B$499,"Cash"),0)</f>
        <v>65722.984000000011</v>
      </c>
      <c r="G6" s="73">
        <f>E6+F6</f>
        <v>-110335.05939999998</v>
      </c>
    </row>
    <row r="9" spans="1:7" ht="13.5" customHeight="1">
      <c r="A9" s="6" t="s">
        <v>0</v>
      </c>
    </row>
    <row r="10" spans="1:7" ht="13.5" customHeight="1">
      <c r="A10" s="6" t="s">
        <v>1056</v>
      </c>
    </row>
    <row r="11" spans="1:7" ht="13.5" customHeight="1">
      <c r="A11" s="6" t="s">
        <v>1057</v>
      </c>
    </row>
    <row r="12" spans="1:7" ht="13.5" customHeight="1">
      <c r="A12" s="6" t="s">
        <v>1058</v>
      </c>
    </row>
    <row r="13" spans="1:7" ht="13.5" customHeight="1">
      <c r="A13" s="6" t="s">
        <v>1059</v>
      </c>
    </row>
    <row r="14" spans="1:7" ht="13.5" customHeight="1">
      <c r="A14" s="6" t="s">
        <v>1060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2026-09-11T21:42:12Z</dcterms:modified>
  <dc:language>en-US</dc:language>
</cp:coreProperties>
</file>