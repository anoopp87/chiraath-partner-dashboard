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ABC88D0A-F7CD-8844-87D4-99D4D4BD461E}" xr6:coauthVersionLast="47" xr6:coauthVersionMax="47" xr10:uidLastSave="{00000000-0000-0000-0000-000000000000}"/>
  <bookViews>
    <workbookView xWindow="0" yWindow="0" windowWidth="28800" windowHeight="18000" tabRatio="500" activeTab="4"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INVENTORY!$A$1:$T$188</definedName>
    <definedName name="_xlnm._FilterDatabase" localSheetId="3" hidden="1">Purchases!$A$1:$D$32</definedName>
    <definedName name="_xlnm._FilterDatabase" localSheetId="4" hidden="1">Sales!$A$1:$I$303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34" i="6" l="1"/>
  <c r="H239" i="6"/>
  <c r="I239" i="6"/>
  <c r="J239" i="6" s="1"/>
  <c r="K239" i="6"/>
  <c r="H240" i="6"/>
  <c r="I240" i="6"/>
  <c r="J240" i="6" s="1"/>
  <c r="K240" i="6"/>
  <c r="H241" i="6"/>
  <c r="I241" i="6"/>
  <c r="J241" i="6"/>
  <c r="K241" i="6"/>
  <c r="H242" i="6"/>
  <c r="I242" i="6"/>
  <c r="J242" i="6"/>
  <c r="K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59" i="6"/>
  <c r="I259" i="6"/>
  <c r="H260" i="6"/>
  <c r="I260" i="6"/>
  <c r="H261" i="6"/>
  <c r="I261" i="6"/>
  <c r="H262" i="6"/>
  <c r="I262" i="6"/>
  <c r="H263" i="6"/>
  <c r="I263" i="6"/>
  <c r="H227" i="6"/>
  <c r="I227" i="6"/>
  <c r="J227" i="6"/>
  <c r="K227" i="6"/>
  <c r="H228" i="6"/>
  <c r="I228" i="6"/>
  <c r="J228" i="6"/>
  <c r="K228" i="6"/>
  <c r="H229" i="6"/>
  <c r="I229" i="6"/>
  <c r="J229" i="6"/>
  <c r="K229" i="6"/>
  <c r="H230" i="6"/>
  <c r="I230" i="6"/>
  <c r="J230" i="6"/>
  <c r="K230" i="6"/>
  <c r="H231" i="6"/>
  <c r="I231" i="6"/>
  <c r="J231" i="6"/>
  <c r="K231" i="6"/>
  <c r="H232" i="6"/>
  <c r="I232" i="6"/>
  <c r="J232" i="6"/>
  <c r="K232" i="6"/>
  <c r="H233" i="6"/>
  <c r="I233" i="6"/>
  <c r="J233" i="6"/>
  <c r="K233" i="6"/>
  <c r="I234" i="6"/>
  <c r="J234" i="6"/>
  <c r="K234" i="6"/>
  <c r="H235" i="6"/>
  <c r="I235" i="6"/>
  <c r="J235" i="6"/>
  <c r="K235" i="6"/>
  <c r="H236" i="6"/>
  <c r="I236" i="6"/>
  <c r="H237" i="6"/>
  <c r="I237" i="6"/>
  <c r="J237" i="6"/>
  <c r="K237" i="6"/>
  <c r="H238" i="6"/>
  <c r="I238" i="6"/>
  <c r="H223" i="6"/>
  <c r="I223" i="6"/>
  <c r="J223" i="6"/>
  <c r="K223" i="6"/>
  <c r="H224" i="6"/>
  <c r="I224" i="6"/>
  <c r="H225" i="6"/>
  <c r="I225" i="6"/>
  <c r="J225" i="6"/>
  <c r="K225" i="6"/>
  <c r="H226" i="6"/>
  <c r="I226" i="6"/>
  <c r="J226" i="6"/>
  <c r="K226" i="6"/>
  <c r="F6" i="8"/>
  <c r="C6" i="8"/>
  <c r="B6" i="8"/>
  <c r="B28" i="2" s="1"/>
  <c r="F5" i="8"/>
  <c r="C5" i="8"/>
  <c r="B5" i="8"/>
  <c r="B27" i="2" s="1"/>
  <c r="F4" i="8"/>
  <c r="C4" i="8"/>
  <c r="B4" i="8"/>
  <c r="B26" i="2" s="1"/>
  <c r="G10" i="7"/>
  <c r="B10" i="7"/>
  <c r="B20" i="2" s="1"/>
  <c r="G9" i="7"/>
  <c r="B9" i="7"/>
  <c r="B19" i="2" s="1"/>
  <c r="G8" i="7"/>
  <c r="B8" i="7"/>
  <c r="B18" i="2" s="1"/>
  <c r="I222" i="6"/>
  <c r="J222" i="6" s="1"/>
  <c r="H222" i="6"/>
  <c r="I221" i="6"/>
  <c r="K221" i="6" s="1"/>
  <c r="H221" i="6"/>
  <c r="I220" i="6"/>
  <c r="J220" i="6" s="1"/>
  <c r="H220" i="6"/>
  <c r="I219" i="6"/>
  <c r="K219" i="6" s="1"/>
  <c r="H219" i="6"/>
  <c r="I218" i="6"/>
  <c r="J218" i="6" s="1"/>
  <c r="H218" i="6"/>
  <c r="I217" i="6"/>
  <c r="K217" i="6" s="1"/>
  <c r="H217" i="6"/>
  <c r="I216" i="6"/>
  <c r="J216" i="6" s="1"/>
  <c r="H216" i="6"/>
  <c r="I215" i="6"/>
  <c r="K215" i="6" s="1"/>
  <c r="H215" i="6"/>
  <c r="I214" i="6"/>
  <c r="J214" i="6" s="1"/>
  <c r="H214" i="6"/>
  <c r="I213" i="6"/>
  <c r="K213" i="6" s="1"/>
  <c r="H213" i="6"/>
  <c r="I212" i="6"/>
  <c r="J212" i="6" s="1"/>
  <c r="H212" i="6"/>
  <c r="I211" i="6"/>
  <c r="K211" i="6" s="1"/>
  <c r="H211" i="6"/>
  <c r="I210" i="6"/>
  <c r="J210" i="6" s="1"/>
  <c r="H210" i="6"/>
  <c r="I209" i="6"/>
  <c r="K209" i="6" s="1"/>
  <c r="H209" i="6"/>
  <c r="I208" i="6"/>
  <c r="J208" i="6" s="1"/>
  <c r="H208" i="6"/>
  <c r="I207" i="6"/>
  <c r="K207" i="6" s="1"/>
  <c r="H207" i="6"/>
  <c r="I206" i="6"/>
  <c r="J206" i="6" s="1"/>
  <c r="H206" i="6"/>
  <c r="I205" i="6"/>
  <c r="K205" i="6" s="1"/>
  <c r="H205" i="6"/>
  <c r="I204" i="6"/>
  <c r="J204" i="6" s="1"/>
  <c r="H204" i="6"/>
  <c r="I203" i="6"/>
  <c r="K203" i="6" s="1"/>
  <c r="H203" i="6"/>
  <c r="I202" i="6"/>
  <c r="J202" i="6" s="1"/>
  <c r="H202" i="6"/>
  <c r="I201" i="6"/>
  <c r="K201" i="6" s="1"/>
  <c r="H201" i="6"/>
  <c r="I200" i="6"/>
  <c r="J200" i="6" s="1"/>
  <c r="H200" i="6"/>
  <c r="I199" i="6"/>
  <c r="K199" i="6" s="1"/>
  <c r="H199" i="6"/>
  <c r="I198" i="6"/>
  <c r="J198" i="6" s="1"/>
  <c r="H198" i="6"/>
  <c r="I197" i="6"/>
  <c r="K197" i="6" s="1"/>
  <c r="H197" i="6"/>
  <c r="I196" i="6"/>
  <c r="J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K224" i="6" l="1"/>
  <c r="J224" i="6"/>
  <c r="K243" i="6"/>
  <c r="J243" i="6"/>
  <c r="J244" i="6"/>
  <c r="K244" i="6"/>
  <c r="J245" i="6"/>
  <c r="K245" i="6"/>
  <c r="K246" i="6"/>
  <c r="J246" i="6"/>
  <c r="K247" i="6"/>
  <c r="J247" i="6"/>
  <c r="J248" i="6"/>
  <c r="K248" i="6"/>
  <c r="K249" i="6"/>
  <c r="J249" i="6"/>
  <c r="K250" i="6"/>
  <c r="J250" i="6"/>
  <c r="J251" i="6"/>
  <c r="K251" i="6"/>
  <c r="K252" i="6"/>
  <c r="J252" i="6"/>
  <c r="K253" i="6"/>
  <c r="J253" i="6"/>
  <c r="J254" i="6"/>
  <c r="K254" i="6"/>
  <c r="K255" i="6"/>
  <c r="J255" i="6"/>
  <c r="K256" i="6"/>
  <c r="J256" i="6"/>
  <c r="K257" i="6"/>
  <c r="J257" i="6"/>
  <c r="K258" i="6"/>
  <c r="J258" i="6"/>
  <c r="J259" i="6"/>
  <c r="K259" i="6"/>
  <c r="K260" i="6"/>
  <c r="J260" i="6"/>
  <c r="K261" i="6"/>
  <c r="J261" i="6"/>
  <c r="J262" i="6"/>
  <c r="K262" i="6"/>
  <c r="J263" i="6"/>
  <c r="K263" i="6"/>
  <c r="J236" i="6"/>
  <c r="K236" i="6"/>
  <c r="K238" i="6"/>
  <c r="J238"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6" i="6"/>
  <c r="K198" i="6"/>
  <c r="K200" i="6"/>
  <c r="K202" i="6"/>
  <c r="K204" i="6"/>
  <c r="K206" i="6"/>
  <c r="K208" i="6"/>
  <c r="K210" i="6"/>
  <c r="K212" i="6"/>
  <c r="K214" i="6"/>
  <c r="K216" i="6"/>
  <c r="K218" i="6"/>
  <c r="K220" i="6"/>
  <c r="K222" i="6"/>
  <c r="C10" i="7"/>
  <c r="C20" i="2" s="1"/>
  <c r="D4" i="8"/>
  <c r="C26" i="2" s="1"/>
  <c r="C9" i="7"/>
  <c r="C8" i="7"/>
  <c r="C18" i="2" s="1"/>
  <c r="J183" i="6"/>
  <c r="J185" i="6"/>
  <c r="J187" i="6"/>
  <c r="J189" i="6"/>
  <c r="J191" i="6"/>
  <c r="J193" i="6"/>
  <c r="J195" i="6"/>
  <c r="J197" i="6"/>
  <c r="J199" i="6"/>
  <c r="J201" i="6"/>
  <c r="J203" i="6"/>
  <c r="J205" i="6"/>
  <c r="J207" i="6"/>
  <c r="J209" i="6"/>
  <c r="J211" i="6"/>
  <c r="J213" i="6"/>
  <c r="J215" i="6"/>
  <c r="J217" i="6"/>
  <c r="J219" i="6"/>
  <c r="J221"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<sst xmlns="http://schemas.openxmlformats.org/spreadsheetml/2006/main" count="3300" uniqueCount="1318">
  <si>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</si>
  <si>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</si>
  <si>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</si>
  <si>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</si>
  <si>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</si>
  <si>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</si>
  <si>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</si>
  <si>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</si>
  <si>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</si>
  <si>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</si>
  <si>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</si>
  <si>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</si>
  <si>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</si>
  <si>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</si>
  <si>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</si>
  <si>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</si>
  <si>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</si>
  <si>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</si>
  <si>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</si>
  <si>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</si>
  <si>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</si>
  <si>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</si>
  <si>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</si>
  <si>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</si>
  <si>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</si>
  <si>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</si>
  <si>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</si>
  <si>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</si>
  <si>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</si>
  <si>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</si>
  <si>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</si>
  <si>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</si>
  <si>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</si>
  <si>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</si>
  <si>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</si>
  <si>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</si>
  <si>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</si>
  <si>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</si>
  <si>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</si>
  <si>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</si>
  <si>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</si>
  <si>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</si>
  <si>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</si>
  <si>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</si>
  <si>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</si>
  <si>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</si>
  <si>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</si>
  <si>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</si>
  <si>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</si>
  <si>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</si>
  <si>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</si>
  <si>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</si>
  <si>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</si>
  <si>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</si>
  <si>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</si>
  <si>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</si>
  <si>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</si>
  <si>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</si>
  <si>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</si>
  <si>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</si>
  <si>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</si>
  <si>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</si>
  <si>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</si>
  <si>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</si>
  <si>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</si>
  <si>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</si>
  <si>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</si>
  <si>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</si>
  <si>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</si>
  <si>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</si>
  <si>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</si>
  <si>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</si>
  <si>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</si>
  <si>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</si>
  <si>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</si>
  <si>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</si>
  <si>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</si>
  <si>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</si>
  <si>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</si>
  <si>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</si>
  <si>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</si>
  <si>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</si>
  <si>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</si>
  <si>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</si>
  <si>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</si>
  <si>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</si>
  <si>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</si>
  <si>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</si>
  <si>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</si>
  <si>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</si>
  <si>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</si>
  <si>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</si>
  <si>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</si>
  <si>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</si>
  <si>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</si>
  <si>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</si>
  <si>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</si>
  <si>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</si>
  <si>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</si>
  <si>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</si>
  <si>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</si>
  <si>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</si>
  <si>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</si>
  <si>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</si>
  <si>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</si>
  <si>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</si>
  <si>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</si>
  <si>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</si>
  <si>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</si>
  <si>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</si>
  <si>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</si>
  <si>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</si>
  <si>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</si>
  <si>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</si>
  <si>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</si>
  <si>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</si>
  <si>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</si>
  <si>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</si>
  <si>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</si>
  <si>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</si>
  <si>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</si>
  <si>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</si>
  <si>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</si>
  <si>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</si>
  <si>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</si>
  <si>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</si>
  <si>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</si>
  <si>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</si>
  <si>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</si>
  <si>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</si>
  <si>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</si>
  <si>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</si>
  <si>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</si>
  <si>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</si>
  <si>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</si>
  <si>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</si>
  <si>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</si>
  <si>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</si>
  <si>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</si>
  <si>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</si>
  <si>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</si>
  <si>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</si>
  <si>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</si>
  <si>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</si>
  <si>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</si>
  <si>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</si>
  <si>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</si>
  <si>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</si>
  <si>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</si>
  <si>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</si>
  <si>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</si>
  <si>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</si>
  <si>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</si>
  <si>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</si>
  <si>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</si>
  <si>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</si>
  <si>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</si>
  <si>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</si>
  <si>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</si>
  <si>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</si>
  <si>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</si>
  <si>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</si>
  <si>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</si>
  <si>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</si>
  <si>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</si>
  <si>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</si>
  <si>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</si>
  <si>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</si>
  <si>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</si>
  <si>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</si>
  <si>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</si>
  <si>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</si>
  <si>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</si>
  <si>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</si>
  <si>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</si>
  <si>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</si>
  <si>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</si>
  <si>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</si>
  <si>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</si>
  <si>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</si>
  <si>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</si>
  <si>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</si>
  <si>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</si>
  <si>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</si>
  <si>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</si>
  <si>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</si>
  <si>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</si>
  <si>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</si>
  <si>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</si>
  <si>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</si>
  <si>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</si>
  <si>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</si>
  <si>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</si>
  <si>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</si>
  <si>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</si>
  <si>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</si>
  <si>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</si>
  <si>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</si>
  <si>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</si>
  <si>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</si>
  <si>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</si>
  <si>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</si>
  <si>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</si>
  <si>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</si>
  <si>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</si>
  <si>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</si>
  <si>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</si>
  <si>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</si>
  <si>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</si>
  <si>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</si>
  <si>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</si>
  <si>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</si>
  <si>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</si>
  <si>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</si>
  <si>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</si>
  <si>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</si>
  <si>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</si>
  <si>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</si>
  <si>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</si>
  <si>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</si>
  <si>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</si>
  <si>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</si>
  <si>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</si>
  <si>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</si>
  <si>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</si>
  <si>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</si>
  <si>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</si>
  <si>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</si>
  <si>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</si>
  <si>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</si>
  <si>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</si>
  <si>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</si>
  <si>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</si>
  <si>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</si>
  <si>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</si>
  <si>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</si>
  <si>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</si>
  <si>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</si>
  <si>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</si>
  <si>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</si>
  <si>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</si>
  <si>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</si>
  <si>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</si>
  <si>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</si>
  <si>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</si>
  <si>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</si>
  <si>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</si>
  <si>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</si>
  <si>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</si>
  <si>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</si>
  <si>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</si>
  <si>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</si>
  <si>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</si>
  <si>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</si>
  <si>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</si>
  <si>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</si>
  <si>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</si>
  <si>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</si>
  <si>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</si>
  <si>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</si>
  <si>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</si>
  <si>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</si>
  <si>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</si>
  <si>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</si>
  <si>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</si>
  <si>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</si>
  <si>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</si>
  <si>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</si>
  <si>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</si>
  <si>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</si>
  <si>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</si>
  <si>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</si>
  <si>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</si>
  <si>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</si>
  <si>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</si>
  <si>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</si>
  <si>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</si>
  <si>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</si>
  <si>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</si>
  <si>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</si>
  <si>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</si>
  <si>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</si>
  <si>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</si>
  <si>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</si>
  <si>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</si>
  <si>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</si>
  <si>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</si>
  <si>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</si>
  <si>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</si>
  <si>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</si>
  <si>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</si>
  <si>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</si>
  <si>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</si>
  <si>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</si>
  <si>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</si>
  <si>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</si>
  <si>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</si>
  <si>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</si>
  <si>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</si>
  <si>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</si>
  <si>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</si>
  <si>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</si>
  <si>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</si>
  <si>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</si>
  <si>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</si>
  <si>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</si>
  <si>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</si>
  <si>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</si>
  <si>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</si>
  <si>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</si>
  <si>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</si>
  <si>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</si>
  <si>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</si>
  <si>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</si>
  <si>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</si>
  <si>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</si>
  <si>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</si>
  <si>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</si>
  <si>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</si>
  <si>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</si>
  <si>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</si>
  <si>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</si>
  <si>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</si>
  <si>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</si>
  <si>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</si>
  <si>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</si>
  <si>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</si>
  <si>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</si>
  <si>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</si>
  <si>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</si>
  <si>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</si>
  <si>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</si>
  <si>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</si>
  <si>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</si>
  <si>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</si>
  <si>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</si>
  <si>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</si>
  <si>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</si>
  <si>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</si>
  <si>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</si>
  <si>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</si>
  <si>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</si>
  <si>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</si>
  <si>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</si>
  <si>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</si>
  <si>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</si>
  <si>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</si>
  <si>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</si>
  <si>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</si>
  <si>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</si>
  <si>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</si>
  <si>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</si>
  <si>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</si>
  <si>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</si>
  <si>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</si>
  <si>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</si>
  <si>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</si>
  <si>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</si>
  <si>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</si>
  <si>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</si>
  <si>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</si>
  <si>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</si>
  <si>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</si>
  <si>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</si>
  <si>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</si>
  <si>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</si>
  <si>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</si>
  <si>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</si>
  <si>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</si>
  <si>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</si>
  <si>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</si>
  <si>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</si>
  <si>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</si>
  <si>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</si>
  <si>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</si>
  <si>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</si>
  <si>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</si>
  <si>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</si>
  <si>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</si>
  <si>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</si>
  <si>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</si>
  <si>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</si>
  <si>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</si>
  <si>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</si>
  <si>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</si>
  <si>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</si>
  <si>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</si>
  <si>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</si>
  <si>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</si>
  <si>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</si>
  <si>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</si>
  <si>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</si>
  <si>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</si>
  <si>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</si>
  <si>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</si>
  <si>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</si>
  <si>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</si>
  <si>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</si>
  <si>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</si>
  <si>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</si>
  <si>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</si>
  <si>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</si>
  <si>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</si>
  <si>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</si>
  <si>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</si>
  <si>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</si>
  <si>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</si>
  <si>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</si>
  <si>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</si>
  <si>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</si>
  <si>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</si>
  <si>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</si>
  <si>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</si>
  <si>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</si>
  <si>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</si>
  <si>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</si>
  <si>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</si>
  <si>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</si>
  <si>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</si>
  <si>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</si>
  <si>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</si>
  <si>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</si>
  <si>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</si>
  <si>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</si>
  <si>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</si>
  <si>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</si>
  <si>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</si>
  <si>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</si>
  <si>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</si>
  <si>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</si>
  <si>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</si>
  <si>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</si>
  <si>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</si>
  <si>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</si>
  <si>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</si>
  <si>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</si>
  <si>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</si>
  <si>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</si>
  <si>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</si>
  <si>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</si>
  <si>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</si>
  <si>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</si>
  <si>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</si>
  <si>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</si>
  <si>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</si>
  <si>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</si>
  <si>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</si>
  <si>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</si>
  <si>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</si>
  <si>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</si>
  <si>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</si>
  <si>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</si>
  <si>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</si>
  <si>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</si>
  <si>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</si>
  <si>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</si>
  <si>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</si>
  <si>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</si>
  <si>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</si>
  <si>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</si>
  <si>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</si>
  <si>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</si>
  <si>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</si>
  <si>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</si>
  <si>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</si>
  <si>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</si>
  <si>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</si>
  <si>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</si>
  <si>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</si>
  <si>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</si>
  <si>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</si>
  <si>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</si>
  <si>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</si>
  <si>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</si>
  <si>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</si>
  <si>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</si>
  <si>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</si>
  <si>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</si>
  <si>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</si>
  <si>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</si>
  <si>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</si>
  <si>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</si>
  <si>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</si>
  <si>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</si>
  <si>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</si>
  <si>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</si>
  <si>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</si>
  <si>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</si>
  <si>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</si>
  <si>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</si>
  <si>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</si>
  <si>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</si>
  <si>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</si>
  <si>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</si>
  <si>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</si>
  <si>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</si>
  <si>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</si>
  <si>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</si>
  <si>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</si>
  <si>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</si>
  <si>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</si>
  <si>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</si>
  <si>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</si>
  <si>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</si>
  <si>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</si>
  <si>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</si>
  <si>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</si>
  <si>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</si>
  <si>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</si>
  <si>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</si>
  <si>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</si>
  <si>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</si>
  <si>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</si>
  <si>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</si>
  <si>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</si>
  <si>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</si>
  <si>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</si>
  <si>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</si>
  <si>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</si>
  <si>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</si>
  <si>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</si>
  <si>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</si>
  <si>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</si>
  <si>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</si>
  <si>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</si>
  <si>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</si>
  <si>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</si>
  <si>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</si>
  <si>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</si>
  <si>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</si>
  <si>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</si>
  <si>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</si>
  <si>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</si>
  <si>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</si>
  <si>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</si>
  <si>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</si>
  <si>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</si>
  <si>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</si>
  <si>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</si>
  <si>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</si>
  <si>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</si>
  <si>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</si>
  <si>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</si>
  <si>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</si>
  <si>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</si>
  <si>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</si>
  <si>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</si>
  <si>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</si>
  <si>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</si>
  <si>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</si>
  <si>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</si>
  <si>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</si>
  <si>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</si>
  <si>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</si>
  <si>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</si>
  <si>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</si>
  <si>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</si>
  <si>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</si>
  <si>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</si>
  <si>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</si>
  <si>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</si>
  <si>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</si>
  <si>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</si>
  <si>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</si>
  <si>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</si>
  <si>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</si>
  <si>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</si>
  <si>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</si>
  <si>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</si>
  <si>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</si>
  <si>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</si>
  <si>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</si>
  <si>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</si>
  <si>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</si>
  <si>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</si>
  <si>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</si>
  <si>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</si>
  <si>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</si>
  <si>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</si>
  <si>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</si>
  <si>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</si>
  <si>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</si>
  <si>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</si>
  <si>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</si>
  <si>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</si>
  <si>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</si>
  <si>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</si>
  <si>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</si>
  <si>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</si>
  <si>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</si>
  <si>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</si>
  <si>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</si>
  <si>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</si>
  <si>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</si>
  <si>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</si>
  <si>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</si>
  <si>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</si>
  <si>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</si>
  <si>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</si>
  <si>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</si>
  <si>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</si>
  <si>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</si>
  <si>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</si>
  <si>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</si>
  <si>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</si>
  <si>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</si>
  <si>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</si>
  <si>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</si>
  <si>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</si>
  <si>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</si>
  <si>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</si>
  <si>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</si>
  <si>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</si>
  <si>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</si>
  <si>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</si>
  <si>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</si>
  <si>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</si>
  <si>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</si>
  <si>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</si>
  <si>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</si>
  <si>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</si>
  <si>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</si>
  <si>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</si>
  <si>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</si>
  <si>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</si>
  <si>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</si>
  <si>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</si>
  <si>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</si>
  <si>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</si>
  <si>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</si>
  <si>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</si>
  <si>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</si>
  <si>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</si>
  <si>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</si>
  <si>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</si>
  <si>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</si>
  <si>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</si>
  <si>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</si>
  <si>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</si>
  <si>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</si>
  <si>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</si>
  <si>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</si>
  <si>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</si>
  <si>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</si>
  <si>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</si>
  <si>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</si>
  <si>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</si>
  <si>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</si>
  <si>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</si>
  <si>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</si>
  <si>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</si>
  <si>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</si>
  <si>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</si>
  <si>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</si>
  <si>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</si>
  <si>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</si>
  <si>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</si>
  <si>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</si>
  <si>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</si>
  <si>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</si>
  <si>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</si>
  <si>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</si>
  <si>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</si>
  <si>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</si>
  <si>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</si>
  <si>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</si>
  <si>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</si>
  <si>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</si>
  <si>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</si>
  <si>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</si>
  <si>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</si>
  <si>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</si>
  <si>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</si>
  <si>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Saida (1400), Binija (1560), Shinoob Cousin(1000)</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</si>
  <si>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</si>
  <si>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</si>
  <si>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</si>
  <si>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</si>
  <si>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</si>
  <si>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</si>
  <si>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</si>
  <si>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</si>
  <si>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</si>
  <si>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</si>
  <si>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</si>
  <si>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</si>
  <si>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</si>
  <si>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</si>
  <si>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</si>
  <si>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</si>
  <si>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</si>
  <si>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</si>
  <si>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</si>
  <si>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</si>
  <si>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</si>
  <si>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Silpa (600) - M</t>
  </si>
  <si>
    <t>Size: L, XL</t>
  </si>
  <si>
    <t>CHR-84</t>
  </si>
  <si>
    <t>Soft cotton salwar 3 piece set (Indigo/royal blue) Ajrakh print</t>
  </si>
  <si>
    <t>Susmi (M), Susheela(Kannur)XL-950, Indu(XXL)-650</t>
  </si>
  <si>
    <t>CHR-85</t>
  </si>
  <si>
    <t>Linen Blend cotton Salwar Set- 3 piece (lavender with ajrakh print)</t>
  </si>
  <si>
    <t>Baby Khadeeja - 1400, Rameez Relative(XXL): 900</t>
  </si>
  <si>
    <t>Size: M, L</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</si>
  <si>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</si>
  <si>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</si>
  <si>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</si>
  <si>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</si>
  <si>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</si>
  <si>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</si>
  <si>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</si>
  <si>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</si>
  <si>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</si>
  <si>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</si>
  <si>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</si>
  <si>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</si>
  <si>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</si>
  <si>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</si>
  <si>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</si>
  <si>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</si>
  <si>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</si>
  <si>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</si>
  <si>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</si>
  <si>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</si>
  <si>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</si>
  <si>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</si>
  <si>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</si>
  <si>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</si>
  <si>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</si>
  <si>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</si>
  <si>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</si>
  <si>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</si>
  <si>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</si>
  <si>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</si>
  <si>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</si>
  <si>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</si>
  <si>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</si>
  <si>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</si>
  <si>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</si>
  <si>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</si>
  <si>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</si>
  <si>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</si>
  <si>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</si>
  <si>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</si>
  <si>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</si>
  <si>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</si>
  <si>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</si>
  <si>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</si>
  <si>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</si>
  <si>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</si>
  <si>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</si>
  <si>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</si>
  <si>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</si>
  <si>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</si>
  <si>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</si>
  <si>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</si>
  <si>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</si>
  <si>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</si>
  <si>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</si>
  <si>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</si>
  <si>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</si>
  <si>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</si>
  <si>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</si>
  <si>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</si>
  <si>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</si>
  <si>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</si>
  <si>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</si>
  <si>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</si>
  <si>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</si>
  <si>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</si>
  <si>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</si>
  <si>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</si>
  <si>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</si>
  <si>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</si>
  <si>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</si>
  <si>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</si>
  <si>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</si>
  <si>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</si>
  <si>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</si>
  <si>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</si>
  <si>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</si>
  <si>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</si>
  <si>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</si>
  <si>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</si>
  <si>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</si>
  <si>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</si>
  <si>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</si>
  <si>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</si>
  <si>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</si>
  <si>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</si>
  <si>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</si>
  <si>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</si>
  <si>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</si>
  <si>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</si>
  <si>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</si>
  <si>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</si>
  <si>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</si>
  <si>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</si>
  <si>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</si>
  <si>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</si>
  <si>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</si>
  <si>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</si>
  <si>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</si>
  <si>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</si>
  <si>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</si>
  <si>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</si>
  <si>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</si>
  <si>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</si>
  <si>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</si>
  <si>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</si>
  <si>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</si>
  <si>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</si>
  <si>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</si>
  <si>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</si>
  <si>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</si>
  <si>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</si>
  <si>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</si>
  <si>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</si>
  <si>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</si>
  <si>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</si>
  <si>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</si>
  <si>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</si>
  <si>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</si>
  <si>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</si>
  <si>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</si>
  <si>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</si>
  <si>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</si>
  <si>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</si>
  <si>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</si>
  <si>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</si>
  <si>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</si>
  <si>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</si>
  <si>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</si>
  <si>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</si>
  <si>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</si>
  <si>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</si>
  <si>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</si>
  <si>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</si>
  <si>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</si>
  <si>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</si>
  <si>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</si>
  <si>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</si>
  <si>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</si>
  <si>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</si>
  <si>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</si>
  <si>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</si>
  <si>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</si>
  <si>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</si>
  <si>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</si>
  <si>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</si>
  <si>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</si>
  <si>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</si>
  <si>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</si>
  <si>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</si>
  <si>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</si>
  <si>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</si>
  <si>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</si>
  <si>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</si>
  <si>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</si>
  <si>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</si>
  <si>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</si>
  <si>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</si>
  <si>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</si>
  <si>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</si>
  <si>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</si>
  <si>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</si>
  <si>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</si>
  <si>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</si>
  <si>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</si>
  <si>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</si>
  <si>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</si>
  <si>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</si>
  <si>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</si>
  <si>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</si>
  <si>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</si>
  <si>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</si>
  <si>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</si>
  <si>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</si>
  <si>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</si>
  <si>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</si>
  <si>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</si>
  <si>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</si>
  <si>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</si>
  <si>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</si>
  <si>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</si>
  <si>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</si>
  <si>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</si>
  <si>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</si>
  <si>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</si>
  <si>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</si>
  <si>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</si>
  <si>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</si>
  <si>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</si>
  <si>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</si>
  <si>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</si>
  <si>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</si>
  <si>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</si>
  <si>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</si>
  <si>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</si>
  <si>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</si>
  <si>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</si>
  <si>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</si>
  <si>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</si>
  <si>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</si>
  <si>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</si>
  <si>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</si>
  <si>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</si>
  <si>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</si>
  <si>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</si>
  <si>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</si>
  <si>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</si>
  <si>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</si>
  <si>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</si>
  <si>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</si>
  <si>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</si>
  <si>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</si>
  <si>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</si>
  <si>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</si>
  <si>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</si>
  <si>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</si>
  <si>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</si>
  <si>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</si>
  <si>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</si>
  <si>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</si>
  <si>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</si>
  <si>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</si>
  <si>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</si>
  <si>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</si>
  <si>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</si>
  <si>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</si>
  <si>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</si>
  <si>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</si>
  <si>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</si>
  <si>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</si>
  <si>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</si>
  <si>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</si>
  <si>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</si>
  <si>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</si>
  <si>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</si>
  <si>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</si>
  <si>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</si>
  <si>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</si>
  <si>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</si>
  <si>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</si>
  <si>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</si>
  <si>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</si>
  <si>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</si>
  <si>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</si>
  <si>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</si>
  <si>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</si>
  <si>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</si>
  <si>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</si>
  <si>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</si>
  <si>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</si>
  <si>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</si>
  <si>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</si>
  <si>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</si>
  <si>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</si>
  <si>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</si>
  <si>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</si>
  <si>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</si>
  <si>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</si>
  <si>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</si>
  <si>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</si>
  <si>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</si>
  <si>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</si>
  <si>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</si>
  <si>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</si>
  <si>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</si>
  <si>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</si>
  <si>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</si>
  <si>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</si>
  <si>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</si>
  <si>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</si>
  <si>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</si>
  <si>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</si>
  <si>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</si>
  <si>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</si>
  <si>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</si>
  <si>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</si>
  <si>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</si>
  <si>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</si>
  <si>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</si>
  <si>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Cotton Saree Collections (Jari Check)</t>
  </si>
  <si>
    <t>Light blue/onion peel, brown/dark maroon, black/light green</t>
  </si>
  <si>
    <t>CHR-194</t>
  </si>
  <si>
    <t>Cotton Saree Collections (Tower Check)</t>
  </si>
  <si>
    <t>Denny - Light Blue</t>
  </si>
  <si>
    <t>Green, pink, navy blue, dark navy, dark maroon, red, orange</t>
  </si>
  <si>
    <t>CHR-195</t>
  </si>
  <si>
    <t>Cotton Saree Collections (Body Jergai)</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</si>
  <si>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</si>
  <si>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</si>
  <si>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</si>
  <si>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</si>
  <si>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</si>
  <si>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</si>
  <si>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</si>
  <si>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</si>
  <si>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</si>
  <si>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</si>
  <si>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</si>
  <si>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</si>
  <si>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</si>
  <si>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</si>
  <si>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</si>
  <si>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Tusser Silk Saree Collection</t>
  </si>
  <si>
    <t>CHR-202</t>
  </si>
  <si>
    <t>Linen Saree</t>
  </si>
  <si>
    <t>Latha, Nishida</t>
  </si>
  <si>
    <t>Yellow</t>
  </si>
  <si>
    <t>CHR-203</t>
  </si>
  <si>
    <t>Kalyani Cotton Sarees with check</t>
  </si>
  <si>
    <t>CHR-204</t>
  </si>
  <si>
    <t>Matka Saree Collections</t>
  </si>
  <si>
    <t>Navya - Black Orange</t>
  </si>
  <si>
    <t>Black/pink, black/orange, violet/bottle green</t>
  </si>
  <si>
    <t>CHR-205</t>
  </si>
  <si>
    <t>Matka Saree</t>
  </si>
  <si>
    <t>Golden yellow/bottle green</t>
  </si>
  <si>
    <t>CHR-206</t>
  </si>
  <si>
    <t>Cotton Saree Collection</t>
  </si>
  <si>
    <t>Denny - green temple/brown</t>
  </si>
  <si>
    <t>Grey/black, brown/navy, purple/blue, mustard/blue</t>
  </si>
  <si>
    <t>CHR-207</t>
  </si>
  <si>
    <t>Cotton Saree Collection ( Kabhali Check)</t>
  </si>
  <si>
    <t>Navy/blue, yellow/peacock blue, violet/mustard, turquoise/violet</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</si>
  <si>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</si>
  <si>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</si>
  <si>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</si>
  <si>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</si>
  <si>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</si>
  <si>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</si>
  <si>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</si>
  <si>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</si>
  <si>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</si>
  <si>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</si>
  <si>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</si>
  <si>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</si>
  <si>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</si>
  <si>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</si>
  <si>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</si>
  <si>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</si>
  <si>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</si>
  <si>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</si>
  <si>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</si>
  <si>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</si>
  <si>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</si>
  <si>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CHR-225</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</si>
  <si>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</si>
  <si>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</si>
  <si>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</si>
  <si>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</si>
  <si>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</si>
  <si>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</si>
  <si>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</si>
  <si>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</si>
  <si>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</si>
  <si>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</si>
  <si>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</si>
  <si>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</si>
  <si>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</si>
  <si>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</si>
  <si>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</si>
  <si>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</si>
  <si>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</si>
  <si>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</si>
  <si>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</si>
  <si>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</si>
  <si>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</si>
  <si>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</si>
  <si>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</si>
  <si>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</si>
  <si>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</si>
  <si>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</si>
  <si>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</si>
  <si>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</si>
  <si>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</si>
  <si>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</si>
  <si>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</si>
  <si>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</si>
  <si>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</si>
  <si>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</si>
  <si>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</si>
  <si>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</si>
  <si>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</si>
  <si>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</si>
  <si>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</si>
  <si>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</si>
  <si>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Navy/blue &amp; maroon/grey - Navya</t>
  </si>
  <si>
    <t>Green/Navy, Red/maroon, Dark green/Navy</t>
  </si>
  <si>
    <t>Cotton 2-piece set with blue floral prints-M (CHR-156), Short Kurti(CHR-151)-L, Dusty Rose Salwar(CHR-77)-L, Chanderis Silk Saree(Yellow-CHR-119), Matka - Lavender/Violet(CHR-174), Chikku Maroon new design(CHR-188)</t>
  </si>
  <si>
    <t>Dison Jose</t>
  </si>
  <si>
    <t>Albert (Kattapana)</t>
  </si>
  <si>
    <t>CHR-165 (Chocolate Brown)</t>
  </si>
  <si>
    <t>Chocolate Brown - Albert</t>
  </si>
  <si>
    <t xml:space="preserve">Violet, Bottle Green  </t>
  </si>
  <si>
    <t>Irene Anna Reji</t>
  </si>
  <si>
    <t>CHR-182 (Yellow Linen Saree with Lotus)</t>
  </si>
  <si>
    <t>Shinoob School</t>
  </si>
  <si>
    <t>CHR-180 - Cotton Salwar (XXL)</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</si>
  <si>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</si>
  <si>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</si>
  <si>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</si>
  <si>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</si>
  <si>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</si>
  <si>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</si>
  <si>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</si>
  <si>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</si>
  <si>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</si>
  <si>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</si>
  <si>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</si>
  <si>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</si>
  <si>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</si>
  <si>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</si>
  <si>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</si>
  <si>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</si>
  <si>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</si>
  <si>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</si>
  <si>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Bank of baroda customer 2</t>
  </si>
  <si>
    <t>Shylaja Bank</t>
  </si>
  <si>
    <t>Susmi (1200) - L
Sreelakshmi (1000) - XL, Prema (1000) - XXL, bank of baroda customer 2- M</t>
  </si>
  <si>
    <t>Parrot Green Banarasi bulk order advance</t>
  </si>
  <si>
    <t>Renju R S</t>
  </si>
  <si>
    <t>CHR-187 - Banarasi Silk (Golden Yellow Blue)</t>
  </si>
  <si>
    <t>CHR-76 (XXL Plus white salwar) - 1100 advance, 200 balance</t>
  </si>
  <si>
    <t>Urmila</t>
  </si>
  <si>
    <t>Preeha Rajeevan</t>
  </si>
  <si>
    <t>Chithra - XL, Shanu - XXL (1350)</t>
  </si>
  <si>
    <t>CHR-154 Dark Brown Salwar with mirrion work - XL</t>
  </si>
  <si>
    <t>Gokul</t>
  </si>
  <si>
    <t>CHR-201 Tusser Saree Maroon &amp; Blue</t>
  </si>
  <si>
    <t>Anjumol Canada</t>
  </si>
  <si>
    <t>Gincy Jibi</t>
  </si>
  <si>
    <t>Green/maroon - Rajitha Teacher,  chikku green - Razia Salim, Rust Orange/Coffee Brown - Nishida, Chikku Maroon(1200) - Nishida, Komalavalli - Red/green, peacock blue/navy - returned, mustard/blue - girija(1200)</t>
  </si>
  <si>
    <t>Golden yellow &amp; green triangle, Red &amp; Green</t>
  </si>
  <si>
    <t>mustard/blue CHR-188</t>
  </si>
  <si>
    <t>Courier Charges</t>
  </si>
  <si>
    <t>Butter paper, courier covers etc</t>
  </si>
  <si>
    <t>Sticker</t>
  </si>
  <si>
    <t>Latha(Yellow), Sari(Peach),</t>
  </si>
  <si>
    <t>Chris (Goldern with flowers), Indu Varrier, Nalini</t>
  </si>
  <si>
    <t>CHR-205 Matka, CHR-148 Tissue</t>
  </si>
  <si>
    <t>Linen Saree with elephant print</t>
  </si>
  <si>
    <t>purple - Malini, Olive green - Latha</t>
  </si>
  <si>
    <t>Navy, rani pink, olive green(2)</t>
  </si>
  <si>
    <t>Chithra- peacok blue, Indu Varier - Green, Susmi - Maroon, Jaimy - Purple/Bottle Green, Latha - Grey</t>
  </si>
  <si>
    <t>CHR-212-Red, CHR-195-Mustard,CHR-163 -Grey Narayanpet</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</si>
  <si>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</si>
  <si>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</si>
  <si>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</si>
  <si>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</si>
  <si>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</si>
  <si>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</si>
  <si>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</si>
  <si>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</si>
  <si>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</si>
  <si>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</si>
  <si>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</si>
  <si>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</si>
  <si>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Green, Pink</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</si>
  <si>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</si>
  <si>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</si>
  <si>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</si>
  <si>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</si>
  <si>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</si>
  <si>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</si>
  <si>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</si>
  <si>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</si>
  <si>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</si>
  <si>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</si>
  <si>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 xml:space="preserve">
White(3), maroon(3)</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</si>
  <si>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</si>
  <si>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</si>
  <si>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</si>
  <si>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</si>
  <si>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</si>
  <si>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</si>
  <si>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</si>
  <si>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</si>
  <si>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</si>
  <si>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</si>
  <si>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</si>
  <si>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</si>
  <si>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</si>
  <si>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Ranju Bank Staff</t>
  </si>
  <si>
    <t>Irene, Preetha Rajeevan, Gokul, Bank Staff (650)</t>
  </si>
  <si>
    <t>Bank Staff - cream/gold with stars and paisley(650)</t>
  </si>
  <si>
    <t>Cream/gold with leaves, cream/gold with flowers</t>
  </si>
  <si>
    <t>Shylaja - Green and maroon with golden design</t>
  </si>
  <si>
    <t>Green and maroon, deep purple and dark green, blue and dark green, rose pink and olive green, Red</t>
  </si>
  <si>
    <t>Latha - Red, Shylaja - Purple, Jisha - Red</t>
  </si>
  <si>
    <t>Yellow/Orange(4), Green, Blue</t>
  </si>
  <si>
    <t>CHR-111 white cotton salwar, Banarasi golden yellow blue</t>
  </si>
  <si>
    <t>Teena mathew - Paeach</t>
  </si>
  <si>
    <t>pink, light green, light blue</t>
  </si>
  <si>
    <t>Niroop</t>
  </si>
  <si>
    <t>Rust, Purple, Olive Green</t>
  </si>
  <si>
    <t>Dark Grey - returned</t>
  </si>
  <si>
    <t>Churi material with pant &amp; shawl</t>
  </si>
  <si>
    <t>Matka Silk Saree</t>
  </si>
  <si>
    <t>Matka Printed Saree</t>
  </si>
  <si>
    <t>Coffee Silk Saree</t>
  </si>
  <si>
    <t>Tussar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</si>
  <si>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</si>
  <si>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</si>
  <si>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</si>
  <si>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</si>
  <si>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</si>
  <si>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</si>
  <si>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</si>
  <si>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</si>
  <si>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</si>
  <si>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</si>
  <si>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</si>
  <si>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</si>
  <si>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</si>
  <si>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</si>
  <si>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</si>
  <si>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</si>
  <si>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</si>
  <si>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</si>
  <si>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</si>
  <si>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</si>
  <si>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</si>
  <si>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</si>
  <si>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</si>
  <si>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</si>
  <si>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</si>
  <si>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Black, Wine</t>
  </si>
  <si>
    <t>Jet Black</t>
  </si>
  <si>
    <t>Black/Silver</t>
  </si>
  <si>
    <t>Black, Maroon, Violet, Rani Pink, Olive Green, Navy Blue</t>
  </si>
  <si>
    <t>Golden (Different Designs)</t>
  </si>
  <si>
    <t>-</t>
  </si>
  <si>
    <t>White with Butterfly (Different Border Colors)</t>
  </si>
  <si>
    <t>Blue, Beige/Green, Orange/Maroon</t>
  </si>
  <si>
    <t>1479 - Jiji Fried</t>
  </si>
  <si>
    <t>CHR-214 - Yellow/Blue Chanderi Silk</t>
  </si>
  <si>
    <t>CHR-182 (Yellow Linen Saree with Lotus, CHR-217 cream/gold with stars and paisley &amp; cream/gold with flowers - 1000 advance, 900 - pending</t>
  </si>
  <si>
    <t>Parrot Green Banarasi - 6 pieces from bulk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</si>
  <si>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</si>
  <si>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</si>
  <si>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</si>
  <si>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</si>
  <si>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</si>
  <si>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</si>
  <si>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</si>
  <si>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</si>
  <si>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</si>
  <si>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Parrot Green Banarasi - 11 pieces from bulk</t>
  </si>
  <si>
    <t>1250 X 6, 1250 X 11</t>
  </si>
  <si>
    <t>Renju</t>
  </si>
  <si>
    <t>CHR-212 - Red, CHR-214 - Yellow/Blue Chanderi Silk - 1380 advance for the returned saree, 920 pending</t>
  </si>
  <si>
    <t>CHR-238</t>
  </si>
  <si>
    <t>1000 - Jiji friend</t>
  </si>
  <si>
    <t>CHR-238 - Kerala</t>
  </si>
  <si>
    <t>CHR-87 Red Salwar with Elephant print, CHR-58 Wine Red Salwar (2100 advance, 250 balance)</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</si>
  <si>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</si>
  <si>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</si>
  <si>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</si>
  <si>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</si>
  <si>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</si>
  <si>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</si>
  <si>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</si>
  <si>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</si>
  <si>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</si>
  <si>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</si>
  <si>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</si>
  <si>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</si>
  <si>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</si>
  <si>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</si>
  <si>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</si>
  <si>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</si>
  <si>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</si>
  <si>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</si>
  <si>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</si>
  <si>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</si>
  <si>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</si>
  <si>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Golden &amp; yellow with temple design, Golden &amp; Green with temple design</t>
  </si>
  <si>
    <t>Dark biege with floral digital print</t>
  </si>
  <si>
    <t>Aruna - 1</t>
  </si>
  <si>
    <t>leaf design - green &amp; red</t>
  </si>
  <si>
    <t>Floral design teal blue</t>
  </si>
  <si>
    <t>Return</t>
  </si>
  <si>
    <t>Madhubani</t>
  </si>
  <si>
    <t>Revathi, Simi Sudhir, Aruna</t>
  </si>
  <si>
    <t xml:space="preserve">Temple Design, CHR-240 New Kerala Golden Saree with flowers, CHR-242-Kerala Saree, CHR-230 - Jute Silk </t>
  </si>
  <si>
    <t>Pink, Black</t>
  </si>
  <si>
    <t>Blue - returned</t>
  </si>
  <si>
    <t>Red - retruned</t>
  </si>
  <si>
    <t>Green, Olive Green</t>
  </si>
  <si>
    <t>Prabha Chidambaram - Green, Wine red returned</t>
  </si>
  <si>
    <t>Blue</t>
  </si>
  <si>
    <t>2 - returned</t>
  </si>
  <si>
    <t>2 -return</t>
  </si>
  <si>
    <t>Shinoob School - 1500(XXL), Niroop - XL</t>
  </si>
  <si>
    <t>M, L</t>
  </si>
  <si>
    <t>Sruthi (1300) - L, Bank of baroda customer - M, Niroop - XL</t>
  </si>
  <si>
    <t>CHR-192 Small temple design, CHR-180 - Coffee Brown Cotton Salwar, CHR-58 wine red salwar, CHR-226 - Jet black semi jute</t>
  </si>
  <si>
    <t>CHR-212 - Purple, CHR-215 - Green and Maroon with golden design - 1000 advance, 750 pending</t>
  </si>
  <si>
    <t>CHR-153 (XXL)-Cotton whine 3 piece salwar, CHR-155 (XXL) -Cotton black 3 piece salwar, CHR-51(XXL)-Mul cotton floral salwar  - 1000 advance, 1500 pending</t>
  </si>
  <si>
    <t>Sumesh Hyderabad</t>
  </si>
  <si>
    <t>CHR-188 - Red/Green banarasi (Advance - 700)</t>
  </si>
  <si>
    <t>Dr.Rehna S</t>
  </si>
  <si>
    <t>CHR-235-Silk Saree - Yellow/Black</t>
  </si>
  <si>
    <t>Dr.Reshna - Yellow/Black</t>
  </si>
  <si>
    <t>Pink with Silver Butas, Black/Red, Wine/Green</t>
  </si>
  <si>
    <t>Nisha Shaju</t>
  </si>
  <si>
    <t>CHR-174 Matka Peacock blue/maroon</t>
  </si>
  <si>
    <t>Purple/Green - 1,
Navy Blue/Maroon - 2,
Grey/Blue - 1</t>
  </si>
  <si>
    <t>Sherin - Maroon/navy blue(1099), Lakshmi - Navy Blue &amp; Maroon, Jaimy - Peacok Blue/Maroon, Shinoob Cousin - Lavender/Violet, Shinoob friend - Peacok Blue/Maroon(1200), Nisha Shaji - Peacok Blue/Maroon(1250)</t>
  </si>
  <si>
    <t>DTDC parcel charges</t>
  </si>
  <si>
    <t>Asha Binu (Haritha Karma Sena Bulk Order)</t>
  </si>
  <si>
    <t>Asha Binu (Haritha Karma Sena Bulk - 6 pieces)</t>
  </si>
  <si>
    <t>Asha Binu (Haritha Karma Sena Bulk - 11 pieces)</t>
  </si>
  <si>
    <t>Asha Binu (Advance for Bulk 5 saree)</t>
  </si>
  <si>
    <t>Parrot Green Banarasi - advance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</si>
</sst>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2">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0">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325</c:v>
                </c:pt>
                <c:pt idx="1">
                  <c:v>98</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204</c:v>
                </c:pt>
                <c:pt idx="1">
                  <c:v>52</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54964</c:v>
                </c:pt>
                <c:pt idx="1">
                  <c:v>147887.64666666664</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9957</c:v>
                </c:pt>
                <c:pt idx="8">
                  <c:v>0</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54624</c:v>
                </c:pt>
                <c:pt idx="5">
                  <c:v>72885</c:v>
                </c:pt>
                <c:pt idx="6">
                  <c:v>63646</c:v>
                </c:pt>
                <c:pt idx="7">
                  <c:v>41999</c:v>
                </c:pt>
                <c:pt idx="8">
                  <c:v>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50175</c:v>
                </c:pt>
                <c:pt idx="5">
                  <c:v>-26158</c:v>
                </c:pt>
                <c:pt idx="6">
                  <c:v>-38554</c:v>
                </c:pt>
                <c:pt idx="7">
                  <c:v>32042</c:v>
                </c:pt>
                <c:pt idx="8">
                  <c:v>0</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428</c:v>
                </c:pt>
                <c:pt idx="1">
                  <c:v>301</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zoomScaleNormal="100" workbookViewId="0">
      <pane ySplit="9" topLeftCell="A10" activePane="bottomLeft" state="frozen"/>
      <selection pane="bottomLeft" activeCell="B41" sqref="B41"/>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4.6640625" style="6" bestFit="1" customWidth="1"/>
    <col min="8" max="16384" width="8.83203125" style="6"/>
  </cols>
  <sheetData>
    <row r="1" spans="1:6" ht="21" customHeight="1">
      <c r="A1" s="7" t="s">
        <v>40</v>
      </c>
    </row>
    <row r="3" spans="1:6" ht="13.5" customHeight="1">
      <c r="A3" s="8" t="s">
        <v>41</v>
      </c>
      <c r="B3" s="8">
        <f>SUM(Purchases!C:C)</f>
        <v>566304</v>
      </c>
      <c r="E3" s="8" t="s">
        <v>42</v>
      </c>
      <c r="F3" s="8" t="s">
        <v>43</v>
      </c>
    </row>
    <row r="4" spans="1:6" ht="13.5" customHeight="1">
      <c r="A4" s="9" t="s">
        <v>44</v>
      </c>
      <c r="B4" s="10">
        <f>SUMIFS(Sales!C:C, Sales!I:I, "Completed")</f>
        <v>509333</v>
      </c>
      <c r="E4" s="9" t="str">
        <f>PartnerShares!A3</f>
        <v>Rajna</v>
      </c>
      <c r="F4" s="10">
        <f>PartnerShares!B3</f>
        <v>0.33339999999999997</v>
      </c>
    </row>
    <row r="5" spans="1:6" ht="13.5" customHeight="1">
      <c r="A5" s="11" t="s">
        <v>45</v>
      </c>
      <c r="B5" s="12">
        <f>SUM(Sales!C:C)</f>
        <v>534143</v>
      </c>
      <c r="E5" s="11" t="str">
        <f>PartnerShares!A4</f>
        <v>Anoop</v>
      </c>
      <c r="F5" s="12">
        <f>PartnerShares!B4</f>
        <v>0.3332</v>
      </c>
    </row>
    <row r="6" spans="1:6" ht="13.5" customHeight="1">
      <c r="A6" s="9" t="s">
        <v>46</v>
      </c>
      <c r="B6" s="10">
        <f>B4-B3</f>
        <v>-56971</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55315.66</v>
      </c>
      <c r="C10" s="9"/>
    </row>
    <row r="11" spans="1:6" ht="13.5" customHeight="1">
      <c r="A11" s="11" t="s">
        <v>50</v>
      </c>
      <c r="B11" s="14">
        <f>PartnerShares!H9</f>
        <v>40909.67</v>
      </c>
      <c r="C11" s="11"/>
    </row>
    <row r="12" spans="1:6" ht="13.5" customHeight="1">
      <c r="A12" s="9" t="s">
        <v>51</v>
      </c>
      <c r="B12" s="13">
        <f>PartnerShares!H10</f>
        <v>-96225.33</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262387</v>
      </c>
      <c r="C18" s="10">
        <f>PartnerShares!C8</f>
        <v>188768</v>
      </c>
      <c r="D18" s="10">
        <f>PartnerShares!D8</f>
        <v>73619</v>
      </c>
      <c r="E18" s="10">
        <f>IFERROR(SUMIFS(PartnerShares!$E$14:$E$500,PartnerShares!$D$14:$D$500,$A18,PartnerShares!$B$14:$B$500,"Contribution"),0)-IFERROR(SUMIFS(PartnerShares!$E$14:$E$500,PartnerShares!$C$14:$C$500,$A18,PartnerShares!$B$14:$B$500,"Contribution"),0)</f>
        <v>18303.34</v>
      </c>
      <c r="F18" s="13">
        <f>D18-E18</f>
        <v>55315.66</v>
      </c>
      <c r="G18" s="16" t="str">
        <f>IF(ROUND(F18,0)&gt;0,"Receive ₹"&amp;TEXT(ABS(F18),"#,##0"),IF(ROUND(F18,0)&lt;0,"Pay ₹"&amp;TEXT(ABS(F18),"#,##0"),"✓ Settled"))</f>
        <v>Receive ₹55,316</v>
      </c>
    </row>
    <row r="19" spans="1:7" ht="13.5" customHeight="1">
      <c r="A19" s="11" t="str">
        <f>PartnerShares!A9</f>
        <v>Anoop</v>
      </c>
      <c r="B19" s="12">
        <f>PartnerShares!B9</f>
        <v>271317</v>
      </c>
      <c r="C19" s="12">
        <f>PartnerShares!C9</f>
        <v>188768</v>
      </c>
      <c r="D19" s="12">
        <f>PartnerShares!D9</f>
        <v>82549</v>
      </c>
      <c r="E19" s="12">
        <f>IFERROR(SUMIFS(PartnerShares!$E$14:$E$500,PartnerShares!$D$14:$D$500,$A19,PartnerShares!$B$14:$B$500,"Contribution"),0)-IFERROR(SUMIFS(PartnerShares!$E$14:$E$500,PartnerShares!$C$14:$C$500,$A19,PartnerShares!$B$14:$B$500,"Contribution"),0)</f>
        <v>41639.33</v>
      </c>
      <c r="F19" s="14">
        <f>D19-E19</f>
        <v>40909.67</v>
      </c>
      <c r="G19" s="17" t="str">
        <f>IF(ROUND(F19,0)&gt;0,"Receive ₹"&amp;TEXT(ABS(F19),"#,##0"),IF(ROUND(F19,0)&lt;0,"Pay ₹"&amp;TEXT(ABS(F19),"#,##0"),"✓ Settled"))</f>
        <v>Receive ₹40,910</v>
      </c>
    </row>
    <row r="20" spans="1:7" ht="13.5" customHeight="1">
      <c r="A20" s="9" t="str">
        <f>PartnerShares!A10</f>
        <v>Rameez</v>
      </c>
      <c r="B20" s="10">
        <f>PartnerShares!B10</f>
        <v>32600</v>
      </c>
      <c r="C20" s="10">
        <f>PartnerShares!C10</f>
        <v>188768</v>
      </c>
      <c r="D20" s="10">
        <f>PartnerShares!D10</f>
        <v>-156168</v>
      </c>
      <c r="E20" s="10">
        <f>IFERROR(SUMIFS(PartnerShares!$E$14:$E$500,PartnerShares!$D$14:$D$500,$A20,PartnerShares!$B$14:$B$500,"Contribution"),0)-IFERROR(SUMIFS(PartnerShares!$E$14:$E$500,PartnerShares!$C$14:$C$500,$A20,PartnerShares!$B$14:$B$500,"Contribution"),0)</f>
        <v>-59942.67</v>
      </c>
      <c r="F20" s="13">
        <f>D20-E20</f>
        <v>-96225.33</v>
      </c>
      <c r="G20" s="17" t="str">
        <f>IF(ROUND(F20,0)&gt;0,"Receive ₹"&amp;TEXT(ABS(F20),"#,##0"),IF(ROUND(F20,0)&lt;0,"Pay ₹"&amp;TEXT(ABS(F20),"#,##0"),"✓ Settled"))</f>
        <v>Pay ₹96,225</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441179</v>
      </c>
      <c r="C26" s="10">
        <f>'Cash Pool'!D4</f>
        <v>169811.62219999998</v>
      </c>
      <c r="D26" s="10">
        <f>'Cash Pool'!E4</f>
        <v>271367.37780000002</v>
      </c>
      <c r="E26" s="10">
        <f>'Cash Pool'!F4</f>
        <v>-137310.02600000001</v>
      </c>
      <c r="F26" s="13">
        <f>'Cash Pool'!G4</f>
        <v>134057.3518</v>
      </c>
      <c r="G26" s="17" t="str">
        <f>IF(ROUND(F26,0)&gt;0,"Pay ₹"&amp;TEXT(ABS(F26),"#,##0"),IF(ROUND(F26,0)&lt;0,"Receive ₹"&amp;TEXT(ABS(F26),"#,##0"),"✓ Settled"))</f>
        <v>Pay ₹134,057</v>
      </c>
    </row>
    <row r="27" spans="1:7" ht="13.5" customHeight="1">
      <c r="A27" s="11" t="str">
        <f>'Cash Pool'!A5</f>
        <v>Anoop</v>
      </c>
      <c r="B27" s="12">
        <f>'Cash Pool'!B5</f>
        <v>54624</v>
      </c>
      <c r="C27" s="12">
        <f>'Cash Pool'!D5</f>
        <v>169709.7556</v>
      </c>
      <c r="D27" s="12">
        <f>'Cash Pool'!E5</f>
        <v>-115085.7556</v>
      </c>
      <c r="E27" s="12">
        <f>'Cash Pool'!F5</f>
        <v>71587.042000000001</v>
      </c>
      <c r="F27" s="14">
        <f>'Cash Pool'!G5</f>
        <v>-43498.713600000003</v>
      </c>
      <c r="G27" s="18" t="str">
        <f>IF(ROUND(F27,0)&gt;0,"Pay ₹"&amp;TEXT(ABS(F27),"#,##0"),IF(ROUND(F27,0)&lt;0,"Receive ₹"&amp;TEXT(ABS(F27),"#,##0"),"✓ Settled"))</f>
        <v>Receive ₹43,499</v>
      </c>
    </row>
    <row r="28" spans="1:7" ht="13.5" customHeight="1">
      <c r="A28" s="9" t="str">
        <f>'Cash Pool'!A6</f>
        <v>Rameez</v>
      </c>
      <c r="B28" s="10">
        <f>'Cash Pool'!B6</f>
        <v>12530</v>
      </c>
      <c r="C28" s="10">
        <f>'Cash Pool'!D6</f>
        <v>169811.62219999998</v>
      </c>
      <c r="D28" s="10">
        <f>'Cash Pool'!E6</f>
        <v>-157281.62219999998</v>
      </c>
      <c r="E28" s="10">
        <f>'Cash Pool'!F6</f>
        <v>65722.984000000011</v>
      </c>
      <c r="F28" s="13">
        <f>'Cash Pool'!G6</f>
        <v>-91558.638199999972</v>
      </c>
      <c r="G28" s="16" t="str">
        <f>IF(ROUND(F28,0)&gt;0,"Pay ₹"&amp;TEXT(ABS(F28),"#,##0"),IF(ROUND(F28,0)&lt;0,"Receive ₹"&amp;TEXT(ABS(F28),"#,##0"),"✓ Settled"))</f>
        <v>Receive ₹91,559</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87" t="s">
        <v>67</v>
      </c>
      <c r="B1" s="87"/>
      <c r="C1" s="87"/>
      <c r="D1" s="87"/>
      <c r="E1" s="87"/>
      <c r="F1" s="87"/>
      <c r="G1" s="87"/>
      <c r="H1" s="87"/>
    </row>
    <row r="3" spans="1:8" ht="15" customHeight="1">
      <c r="A3" s="19" t="s">
        <v>68</v>
      </c>
      <c r="B3" s="20">
        <f ca="1">TODAY()</f>
        <v>46243</v>
      </c>
    </row>
    <row r="5" spans="1:8" ht="15" customHeight="1">
      <c r="A5" s="19" t="s">
        <v>41</v>
      </c>
      <c r="B5" s="21">
        <f>Summary!B3</f>
        <v>566304</v>
      </c>
      <c r="D5" s="19" t="s">
        <v>69</v>
      </c>
      <c r="E5" s="21">
        <f>Summary!B4</f>
        <v>509333</v>
      </c>
    </row>
    <row r="6" spans="1:8" ht="15" customHeight="1">
      <c r="A6" s="19" t="s">
        <v>70</v>
      </c>
      <c r="B6" s="21">
        <f>Summary!B6</f>
        <v>-56971</v>
      </c>
      <c r="D6" s="19" t="s">
        <v>71</v>
      </c>
      <c r="E6" s="21">
        <f>SUMIFS(INVENTORY!K:K, INVENTORY!N:N, "&lt;&gt;Sold Out")</f>
        <v>193042.84666666665</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IFERROR(SUMPRODUCT((TEXT(Sales!$A$2:$A$994,"MMM")=$A10)*(YEAR(Sales!$A$2:$A$994)=$B$7)*Sales!$C$2:$C$994),0)</f>
        <v>45448</v>
      </c>
      <c r="D10" s="21">
        <f t="shared" ref="D10:D21" si="0">C10-B10</f>
        <v>-1863</v>
      </c>
      <c r="F10" s="25" t="s">
        <v>80</v>
      </c>
      <c r="G10" s="21">
        <f>SUM(INVENTORY!F:F)</f>
        <v>428</v>
      </c>
    </row>
    <row r="11" spans="1:8" ht="15" customHeight="1">
      <c r="A11" s="26" t="s">
        <v>81</v>
      </c>
      <c r="B11" s="27">
        <f>IFERROR(SUMPRODUCT((TEXT(Purchases!$A$2:$A$998,"MMM")=$A11)*(YEAR(Purchases!$A$2:$A$998)=$B$7)*Purchases!$C$2:$C$998),0)</f>
        <v>5152</v>
      </c>
      <c r="C11" s="27">
        <f>IFERROR(SUMPRODUCT((TEXT(Sales!$A$2:$A$994,"MMM")=$A11)*(YEAR(Sales!$A$2:$A$994)=$B$7)*Sales!$C$2:$C$994),0)</f>
        <v>19089</v>
      </c>
      <c r="D11" s="27">
        <f t="shared" si="0"/>
        <v>13937</v>
      </c>
      <c r="F11" s="26" t="s">
        <v>82</v>
      </c>
      <c r="G11" s="27">
        <f>SUM(INVENTORY!G:G)</f>
        <v>301</v>
      </c>
    </row>
    <row r="12" spans="1:8" ht="15" customHeight="1">
      <c r="A12" s="25" t="s">
        <v>83</v>
      </c>
      <c r="B12" s="21">
        <f>IFERROR(SUMPRODUCT((TEXT(Purchases!$A$2:$A$998,"MMM")=$A12)*(YEAR(Purchases!$A$2:$A$998)=$B$7)*Purchases!$C$2:$C$998),0)</f>
        <v>22172</v>
      </c>
      <c r="C12" s="21">
        <f>IFERROR(SUMPRODUCT((TEXT(Sales!$A$2:$A$994,"MMM")=$A12)*(YEAR(Sales!$A$2:$A$994)=$B$7)*Sales!$C$2:$C$994),0)</f>
        <v>16248</v>
      </c>
      <c r="D12" s="21">
        <f t="shared" si="0"/>
        <v>-5924</v>
      </c>
    </row>
    <row r="13" spans="1:8" ht="15" customHeight="1">
      <c r="A13" s="26" t="s">
        <v>84</v>
      </c>
      <c r="B13" s="27">
        <f>IFERROR(SUMPRODUCT((TEXT(Purchases!$A$2:$A$998,"MMM")=$A13)*(YEAR(Purchases!$A$2:$A$998)=$B$7)*Purchases!$C$2:$C$998),0)</f>
        <v>71002</v>
      </c>
      <c r="C13" s="27">
        <f>IFERROR(SUMPRODUCT((TEXT(Sales!$A$2:$A$994,"MMM")=$A13)*(YEAR(Sales!$A$2:$A$994)=$B$7)*Sales!$C$2:$C$994),0)</f>
        <v>54177</v>
      </c>
      <c r="D13" s="27">
        <f t="shared" si="0"/>
        <v>-16825</v>
      </c>
    </row>
    <row r="14" spans="1:8" ht="15" customHeight="1">
      <c r="A14" s="25" t="s">
        <v>85</v>
      </c>
      <c r="B14" s="21">
        <f>IFERROR(SUMPRODUCT((TEXT(Purchases!$A$2:$A$998,"MMM")=$A14)*(YEAR(Purchases!$A$2:$A$998)=$B$7)*Purchases!$C$2:$C$998),0)</f>
        <v>4449</v>
      </c>
      <c r="C14" s="21">
        <f>IFERROR(SUMPRODUCT((TEXT(Sales!$A$2:$A$994,"MMM")=$A14)*(YEAR(Sales!$A$2:$A$994)=$B$7)*Sales!$C$2:$C$994),0)</f>
        <v>54624</v>
      </c>
      <c r="D14" s="21">
        <f t="shared" si="0"/>
        <v>50175</v>
      </c>
    </row>
    <row r="15" spans="1:8" ht="15" customHeight="1">
      <c r="A15" s="26" t="s">
        <v>86</v>
      </c>
      <c r="B15" s="27">
        <f>IFERROR(SUMPRODUCT((TEXT(Purchases!$A$2:$A$998,"MMM")=$A15)*(YEAR(Purchases!$A$2:$A$998)=$B$7)*Purchases!$C$2:$C$998),0)</f>
        <v>99043</v>
      </c>
      <c r="C15" s="27">
        <f>IFERROR(SUMPRODUCT((TEXT(Sales!$A$2:$A$994,"MMM")=$A15)*(YEAR(Sales!$A$2:$A$994)=$B$7)*Sales!$C$2:$C$994),0)</f>
        <v>72885</v>
      </c>
      <c r="D15" s="27">
        <f t="shared" si="0"/>
        <v>-26158</v>
      </c>
    </row>
    <row r="16" spans="1:8" ht="15" customHeight="1">
      <c r="A16" s="25" t="s">
        <v>87</v>
      </c>
      <c r="B16" s="21">
        <f>IFERROR(SUMPRODUCT((TEXT(Purchases!$A$2:$A$998,"MMM")=$A16)*(YEAR(Purchases!$A$2:$A$998)=$B$7)*Purchases!$C$2:$C$998),0)</f>
        <v>102200</v>
      </c>
      <c r="C16" s="21">
        <f>IFERROR(SUMPRODUCT((TEXT(Sales!$A$2:$A$994,"MMM")=$A16)*(YEAR(Sales!$A$2:$A$994)=$B$7)*Sales!$C$2:$C$994),0)</f>
        <v>63646</v>
      </c>
      <c r="D16" s="21">
        <f t="shared" si="0"/>
        <v>-38554</v>
      </c>
    </row>
    <row r="17" spans="1:4" ht="15" customHeight="1">
      <c r="A17" s="26" t="s">
        <v>88</v>
      </c>
      <c r="B17" s="27">
        <f>IFERROR(SUMPRODUCT((TEXT(Purchases!$A$2:$A$998,"MMM")=$A17)*(YEAR(Purchases!$A$2:$A$998)=$B$7)*Purchases!$C$2:$C$998),0)</f>
        <v>9957</v>
      </c>
      <c r="C17" s="27">
        <f>IFERROR(SUMPRODUCT((TEXT(Sales!$A$2:$A$994,"MMM")=$A17)*(YEAR(Sales!$A$2:$A$994)=$B$7)*Sales!$C$2:$C$994),0)</f>
        <v>41999</v>
      </c>
      <c r="D17" s="27">
        <f t="shared" si="0"/>
        <v>32042</v>
      </c>
    </row>
    <row r="18" spans="1:4" ht="15" customHeight="1">
      <c r="A18" s="25" t="s">
        <v>89</v>
      </c>
      <c r="B18" s="21">
        <f>IFERROR(SUMPRODUCT((TEXT(Purchases!$A$2:$A$998,"MMM")=$A18)*(YEAR(Purchases!$A$2:$A$998)=$B$7)*Purchases!$C$2:$C$998),0)</f>
        <v>0</v>
      </c>
      <c r="C18" s="21">
        <f>IFERROR(SUMPRODUCT((TEXT(Sales!$A$2:$A$994,"MMM")=$A18)*(YEAR(Sales!$A$2:$A$994)=$B$7)*Sales!$C$2:$C$994),0)</f>
        <v>0</v>
      </c>
      <c r="D18" s="21">
        <f t="shared" si="0"/>
        <v>0</v>
      </c>
    </row>
    <row r="19" spans="1:4" ht="15" customHeight="1">
      <c r="A19" s="26" t="s">
        <v>90</v>
      </c>
      <c r="B19" s="27">
        <f>IFERROR(SUMPRODUCT((TEXT(Purchases!$A$2:$A$998,"MMM")=$A19)*(YEAR(Purchases!$A$2:$A$998)=$B$7)*Purchases!$C$2:$C$998),0)</f>
        <v>0</v>
      </c>
      <c r="C19" s="27">
        <f>IFERROR(SUMPRODUCT((TEXT(Sales!$A$2:$A$994,"MMM")=$A19)*(YEAR(Sales!$A$2:$A$994)=$B$7)*Sales!$C$2:$C$994),0)</f>
        <v>0</v>
      </c>
      <c r="D19" s="27">
        <f t="shared" si="0"/>
        <v>0</v>
      </c>
    </row>
    <row r="20" spans="1:4" ht="15" customHeight="1">
      <c r="A20" s="25" t="s">
        <v>91</v>
      </c>
      <c r="B20" s="21">
        <f>IFERROR(SUMPRODUCT((TEXT(Purchases!$A$2:$A$998,"MMM")=$A20)*(YEAR(Purchases!$A$2:$A$998)=$B$7)*Purchases!$C$2:$C$998),0)</f>
        <v>0</v>
      </c>
      <c r="C20" s="21">
        <f>IFERROR(SUMPRODUCT((TEXT(Sales!$A$2:$A$994,"MMM")=$A20)*(YEAR(Sales!$A$2:$A$994)=$B$7)*Sales!$C$2:$C$994),0)</f>
        <v>0</v>
      </c>
      <c r="D20" s="21">
        <f t="shared" si="0"/>
        <v>0</v>
      </c>
    </row>
    <row r="21" spans="1:4" ht="15" customHeight="1">
      <c r="A21" s="26" t="s">
        <v>92</v>
      </c>
      <c r="B21" s="27">
        <f>IFERROR(SUMPRODUCT((TEXT(Purchases!$A$2:$A$998,"MMM")=$A21)*(YEAR(Purchases!$A$2:$A$998)=$B$7)*Purchases!$C$2:$C$998),0)</f>
        <v>0</v>
      </c>
      <c r="C21" s="27">
        <f>IFERROR(SUMPRODUCT((TEXT(Sales!$A$2:$A$994,"MMM")=$A21)*(YEAR(Sales!$A$2:$A$994)=$B$7)*Sales!$C$2:$C$994),0)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325</v>
      </c>
      <c r="H47" s="30">
        <f>SUMIF(INVENTORY!C:C, F47, INVENTORY!G:G)</f>
        <v>204</v>
      </c>
      <c r="J47" s="30" t="s">
        <v>96</v>
      </c>
      <c r="K47" s="31">
        <f t="array" ref="K47">SUMPRODUCT((INVENTORY!$C$2:$C$477=J47)*(INVENTORY!$D$2:$D$477)*(INVENTORY!$G$2:$G$477))</f>
        <v>54964</v>
      </c>
    </row>
    <row r="48" spans="6:11" ht="15" customHeight="1">
      <c r="F48" s="29" t="s">
        <v>96</v>
      </c>
      <c r="G48" s="30">
        <f>SUMIF(INVENTORY!C:C, F48, INVENTORY!F:F)</f>
        <v>98</v>
      </c>
      <c r="H48" s="30">
        <f>SUMIF(INVENTORY!C:C, F48, INVENTORY!G:G)</f>
        <v>52</v>
      </c>
      <c r="J48" s="30" t="s">
        <v>95</v>
      </c>
      <c r="K48" s="31">
        <f t="array" ref="K48">SUMPRODUCT((INVENTORY!$C$2:$C$477=J48)*(INVENTORY!$D$2:$D$477)*(INVENTORY!$G$2:$G$477))</f>
        <v>147887.64666666664</v>
      </c>
    </row>
    <row r="49" spans="5:12" ht="15" customHeight="1">
      <c r="F49" s="29" t="s">
        <v>97</v>
      </c>
      <c r="G49" s="30">
        <f>SUMIF(INVENTORY!C:C, F49, INVENTORY!F:F)</f>
        <v>5</v>
      </c>
      <c r="H49" s="30">
        <f>SUMIF(INVENTORY!C:C, F49, INVENTORY!G:G)</f>
        <v>3</v>
      </c>
      <c r="J49" s="30" t="s">
        <v>97</v>
      </c>
      <c r="K49" s="31">
        <f t="array" ref="K49">SUMPRODUCT((INVENTORY!$C$2:$C$477=J49)*(INVENTORY!$D$2:$D$477)*(INVENTORY!$G$2:$G$477))</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9" activePane="bottomLeft" state="frozen"/>
      <selection pane="bottomLeft" activeCell="D107" sqref="D107"/>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1104</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1137</v>
      </c>
    </row>
    <row r="97" spans="1:4" ht="15" customHeight="1">
      <c r="A97" s="38">
        <v>46218</v>
      </c>
      <c r="B97" s="39" t="s">
        <v>49</v>
      </c>
      <c r="C97" s="40">
        <v>1375</v>
      </c>
      <c r="D97" s="39" t="s">
        <v>1138</v>
      </c>
    </row>
    <row r="98" spans="1:4" ht="15" customHeight="1">
      <c r="A98" s="35">
        <v>46219</v>
      </c>
      <c r="B98" s="36" t="s">
        <v>49</v>
      </c>
      <c r="C98" s="37">
        <v>189</v>
      </c>
      <c r="D98" s="36" t="s">
        <v>1139</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v>46241</v>
      </c>
      <c r="B107" s="39" t="s">
        <v>49</v>
      </c>
      <c r="C107" s="40">
        <v>570</v>
      </c>
      <c r="D107" s="39" t="s">
        <v>1312</v>
      </c>
    </row>
    <row r="108" spans="1:4" ht="15" customHeight="1">
      <c r="A108" s="35"/>
      <c r="B108" s="36"/>
      <c r="C108" s="37"/>
      <c r="D108" s="36"/>
    </row>
    <row r="109" spans="1:4" ht="15" customHeight="1">
      <c r="A109" s="38"/>
      <c r="B109" s="39"/>
      <c r="C109" s="40"/>
      <c r="D109" s="39"/>
    </row>
    <row r="110" spans="1:4" ht="15" customHeight="1">
      <c r="A110" s="35"/>
      <c r="B110" s="36"/>
      <c r="C110" s="37"/>
      <c r="D110" s="36"/>
    </row>
    <row r="111" spans="1:4" ht="15" customHeight="1">
      <c r="A111" s="38"/>
      <c r="B111" s="39"/>
      <c r="C111" s="40"/>
      <c r="D111" s="39"/>
    </row>
    <row r="112" spans="1:4" ht="15" customHeight="1">
      <c r="A112" s="35"/>
      <c r="B112" s="36"/>
      <c r="C112" s="37"/>
      <c r="D112" s="36"/>
    </row>
    <row r="113" spans="1:4" ht="15" customHeight="1">
      <c r="A113" s="38"/>
      <c r="B113" s="39"/>
      <c r="C113" s="40"/>
      <c r="D113" s="39"/>
    </row>
    <row r="114" spans="1:4" ht="15" customHeight="1">
      <c r="A114" s="35"/>
      <c r="B114" s="36"/>
      <c r="C114" s="37"/>
      <c r="D114" s="36"/>
    </row>
    <row r="115" spans="1:4" ht="15" customHeight="1">
      <c r="A115" s="38"/>
      <c r="B115" s="39"/>
      <c r="C115" s="40"/>
      <c r="D115" s="39"/>
    </row>
    <row r="116" spans="1:4" ht="15" customHeight="1">
      <c r="A116" s="35"/>
      <c r="B116" s="36"/>
      <c r="C116" s="37"/>
      <c r="D116" s="36"/>
    </row>
    <row r="117" spans="1:4" ht="15" customHeight="1">
      <c r="A117" s="38"/>
      <c r="B117" s="39"/>
      <c r="C117" s="40"/>
      <c r="D117" s="39"/>
    </row>
    <row r="118" spans="1:4" ht="15" customHeight="1">
      <c r="A118" s="35"/>
      <c r="B118" s="36"/>
      <c r="C118" s="37"/>
      <c r="D118" s="36"/>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29"/>
  <sheetViews>
    <sheetView tabSelected="1" zoomScale="130" zoomScaleNormal="130" workbookViewId="0">
      <pane ySplit="1" topLeftCell="A288" activePane="bottomLeft" state="frozen"/>
      <selection pane="bottomLeft" activeCell="H307" sqref="H307"/>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c r="A2" s="82">
        <v>45900</v>
      </c>
      <c r="B2" s="44" t="s">
        <v>146</v>
      </c>
      <c r="C2" s="83">
        <v>1250</v>
      </c>
      <c r="D2" s="44" t="s">
        <v>147</v>
      </c>
      <c r="E2" s="44" t="s">
        <v>49</v>
      </c>
      <c r="F2" s="44"/>
      <c r="G2" s="44"/>
      <c r="H2" s="44"/>
      <c r="I2" s="44" t="s">
        <v>148</v>
      </c>
    </row>
    <row r="3" spans="1:9" ht="14">
      <c r="A3" s="84">
        <v>45900</v>
      </c>
      <c r="B3" s="45" t="s">
        <v>149</v>
      </c>
      <c r="C3" s="85">
        <v>1600</v>
      </c>
      <c r="D3" s="45" t="s">
        <v>150</v>
      </c>
      <c r="E3" s="45" t="s">
        <v>49</v>
      </c>
      <c r="F3" s="45"/>
      <c r="G3" s="45"/>
      <c r="H3" s="45"/>
      <c r="I3" s="45" t="s">
        <v>148</v>
      </c>
    </row>
    <row r="4" spans="1:9" ht="14">
      <c r="A4" s="82">
        <v>45900</v>
      </c>
      <c r="B4" s="44" t="s">
        <v>151</v>
      </c>
      <c r="C4" s="83">
        <v>1800</v>
      </c>
      <c r="D4" s="44" t="s">
        <v>150</v>
      </c>
      <c r="E4" s="44" t="s">
        <v>49</v>
      </c>
      <c r="F4" s="44"/>
      <c r="G4" s="44"/>
      <c r="H4" s="44"/>
      <c r="I4" s="44" t="s">
        <v>148</v>
      </c>
    </row>
    <row r="5" spans="1:9" ht="14">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c r="A7" s="84">
        <v>45900</v>
      </c>
      <c r="B7" s="45" t="s">
        <v>154</v>
      </c>
      <c r="C7" s="85">
        <v>750</v>
      </c>
      <c r="D7" s="45" t="s">
        <v>147</v>
      </c>
      <c r="E7" s="45" t="s">
        <v>49</v>
      </c>
      <c r="F7" s="45"/>
      <c r="G7" s="45"/>
      <c r="H7" s="45"/>
      <c r="I7" s="45" t="s">
        <v>148</v>
      </c>
    </row>
    <row r="8" spans="1:9" ht="14">
      <c r="A8" s="82">
        <v>45900</v>
      </c>
      <c r="B8" s="44" t="s">
        <v>155</v>
      </c>
      <c r="C8" s="83">
        <v>3600</v>
      </c>
      <c r="D8" s="44" t="s">
        <v>147</v>
      </c>
      <c r="E8" s="44" t="s">
        <v>49</v>
      </c>
      <c r="F8" s="44"/>
      <c r="G8" s="44"/>
      <c r="H8" s="44"/>
      <c r="I8" s="44" t="s">
        <v>148</v>
      </c>
    </row>
    <row r="9" spans="1:9" ht="14">
      <c r="A9" s="84">
        <v>45901</v>
      </c>
      <c r="B9" s="45" t="s">
        <v>155</v>
      </c>
      <c r="C9" s="85">
        <v>1000</v>
      </c>
      <c r="D9" s="45" t="s">
        <v>147</v>
      </c>
      <c r="E9" s="45" t="s">
        <v>49</v>
      </c>
      <c r="F9" s="45"/>
      <c r="G9" s="45"/>
      <c r="H9" s="45"/>
      <c r="I9" s="45" t="s">
        <v>148</v>
      </c>
    </row>
    <row r="10" spans="1:9" ht="14">
      <c r="A10" s="82">
        <v>45902</v>
      </c>
      <c r="B10" s="44" t="s">
        <v>156</v>
      </c>
      <c r="C10" s="83">
        <v>2000</v>
      </c>
      <c r="D10" s="44" t="s">
        <v>147</v>
      </c>
      <c r="E10" s="44" t="s">
        <v>49</v>
      </c>
      <c r="F10" s="44"/>
      <c r="G10" s="44"/>
      <c r="H10" s="44"/>
      <c r="I10" s="44" t="s">
        <v>148</v>
      </c>
    </row>
    <row r="11" spans="1:9" ht="14">
      <c r="A11" s="84">
        <v>45903</v>
      </c>
      <c r="B11" s="45" t="s">
        <v>157</v>
      </c>
      <c r="C11" s="85">
        <v>3400</v>
      </c>
      <c r="D11" s="45" t="s">
        <v>147</v>
      </c>
      <c r="E11" s="45" t="s">
        <v>49</v>
      </c>
      <c r="F11" s="45"/>
      <c r="G11" s="45"/>
      <c r="H11" s="45"/>
      <c r="I11" s="45" t="s">
        <v>148</v>
      </c>
    </row>
    <row r="12" spans="1:9" ht="14">
      <c r="A12" s="82">
        <v>45904</v>
      </c>
      <c r="B12" s="44" t="s">
        <v>158</v>
      </c>
      <c r="C12" s="83">
        <v>2500</v>
      </c>
      <c r="D12" s="44" t="s">
        <v>159</v>
      </c>
      <c r="E12" s="44" t="s">
        <v>49</v>
      </c>
      <c r="F12" s="44"/>
      <c r="G12" s="44"/>
      <c r="H12" s="44"/>
      <c r="I12" s="44" t="s">
        <v>148</v>
      </c>
    </row>
    <row r="13" spans="1:9" ht="14">
      <c r="A13" s="84">
        <v>45905</v>
      </c>
      <c r="B13" s="45" t="s">
        <v>160</v>
      </c>
      <c r="C13" s="85">
        <v>4000</v>
      </c>
      <c r="D13" s="45" t="s">
        <v>147</v>
      </c>
      <c r="E13" s="45" t="s">
        <v>49</v>
      </c>
      <c r="F13" s="45"/>
      <c r="G13" s="45"/>
      <c r="H13" s="45"/>
      <c r="I13" s="45" t="s">
        <v>148</v>
      </c>
    </row>
    <row r="14" spans="1:9" ht="14">
      <c r="A14" s="82">
        <v>45906</v>
      </c>
      <c r="B14" s="44" t="s">
        <v>161</v>
      </c>
      <c r="C14" s="83">
        <v>8000</v>
      </c>
      <c r="D14" s="44" t="s">
        <v>147</v>
      </c>
      <c r="E14" s="44" t="s">
        <v>49</v>
      </c>
      <c r="F14" s="44"/>
      <c r="G14" s="44"/>
      <c r="H14" s="44"/>
      <c r="I14" s="44" t="s">
        <v>148</v>
      </c>
    </row>
    <row r="15" spans="1:9" ht="14">
      <c r="A15" s="84">
        <v>45907</v>
      </c>
      <c r="B15" s="45" t="s">
        <v>152</v>
      </c>
      <c r="C15" s="85">
        <v>1300</v>
      </c>
      <c r="D15" s="45" t="s">
        <v>162</v>
      </c>
      <c r="E15" s="45" t="s">
        <v>49</v>
      </c>
      <c r="F15" s="45"/>
      <c r="G15" s="45"/>
      <c r="H15" s="45"/>
      <c r="I15" s="45" t="s">
        <v>148</v>
      </c>
    </row>
    <row r="16" spans="1:9" ht="14">
      <c r="A16" s="82">
        <v>45908</v>
      </c>
      <c r="B16" s="44" t="s">
        <v>163</v>
      </c>
      <c r="C16" s="83">
        <v>900</v>
      </c>
      <c r="D16" s="44" t="s">
        <v>150</v>
      </c>
      <c r="E16" s="44" t="s">
        <v>49</v>
      </c>
      <c r="F16" s="44"/>
      <c r="G16" s="44"/>
      <c r="H16" s="44"/>
      <c r="I16" s="44" t="s">
        <v>148</v>
      </c>
    </row>
    <row r="17" spans="1:9" ht="14">
      <c r="A17" s="84">
        <v>45909</v>
      </c>
      <c r="B17" s="45" t="s">
        <v>164</v>
      </c>
      <c r="C17" s="85">
        <v>750</v>
      </c>
      <c r="D17" s="45" t="s">
        <v>159</v>
      </c>
      <c r="E17" s="45" t="s">
        <v>49</v>
      </c>
      <c r="F17" s="45"/>
      <c r="G17" s="45"/>
      <c r="H17" s="45"/>
      <c r="I17" s="45" t="s">
        <v>148</v>
      </c>
    </row>
    <row r="18" spans="1:9" ht="14">
      <c r="A18" s="82">
        <v>45910</v>
      </c>
      <c r="B18" s="44" t="s">
        <v>165</v>
      </c>
      <c r="C18" s="83">
        <v>700</v>
      </c>
      <c r="D18" s="44" t="s">
        <v>159</v>
      </c>
      <c r="E18" s="44" t="s">
        <v>49</v>
      </c>
      <c r="F18" s="44"/>
      <c r="G18" s="44"/>
      <c r="H18" s="44"/>
      <c r="I18" s="44" t="s">
        <v>148</v>
      </c>
    </row>
    <row r="19" spans="1:9" ht="14">
      <c r="A19" s="84">
        <v>45911</v>
      </c>
      <c r="B19" s="45" t="s">
        <v>166</v>
      </c>
      <c r="C19" s="85">
        <v>2900</v>
      </c>
      <c r="D19" s="45" t="s">
        <v>147</v>
      </c>
      <c r="E19" s="45" t="s">
        <v>49</v>
      </c>
      <c r="F19" s="45"/>
      <c r="G19" s="45"/>
      <c r="H19" s="45"/>
      <c r="I19" s="45" t="s">
        <v>148</v>
      </c>
    </row>
    <row r="20" spans="1:9" ht="14">
      <c r="A20" s="82">
        <v>45912</v>
      </c>
      <c r="B20" s="44" t="s">
        <v>167</v>
      </c>
      <c r="C20" s="83">
        <v>2600</v>
      </c>
      <c r="D20" s="44" t="s">
        <v>159</v>
      </c>
      <c r="E20" s="44" t="s">
        <v>49</v>
      </c>
      <c r="F20" s="44"/>
      <c r="G20" s="44"/>
      <c r="H20" s="44"/>
      <c r="I20" s="44" t="s">
        <v>148</v>
      </c>
    </row>
    <row r="21" spans="1:9" ht="14">
      <c r="A21" s="84">
        <v>45913</v>
      </c>
      <c r="B21" s="45" t="s">
        <v>168</v>
      </c>
      <c r="C21" s="85">
        <v>900</v>
      </c>
      <c r="D21" s="45" t="s">
        <v>159</v>
      </c>
      <c r="E21" s="45" t="s">
        <v>49</v>
      </c>
      <c r="F21" s="45"/>
      <c r="G21" s="45"/>
      <c r="H21" s="45"/>
      <c r="I21" s="45" t="s">
        <v>148</v>
      </c>
    </row>
    <row r="22" spans="1:9" ht="14">
      <c r="A22" s="82">
        <v>45914</v>
      </c>
      <c r="B22" s="44" t="s">
        <v>169</v>
      </c>
      <c r="C22" s="83">
        <v>1000</v>
      </c>
      <c r="D22" s="44" t="s">
        <v>147</v>
      </c>
      <c r="E22" s="44" t="s">
        <v>49</v>
      </c>
      <c r="F22" s="44"/>
      <c r="G22" s="44"/>
      <c r="H22" s="44"/>
      <c r="I22" s="44" t="s">
        <v>148</v>
      </c>
    </row>
    <row r="23" spans="1:9" ht="14">
      <c r="A23" s="84">
        <v>45915</v>
      </c>
      <c r="B23" s="45" t="s">
        <v>170</v>
      </c>
      <c r="C23" s="85">
        <v>1800</v>
      </c>
      <c r="D23" s="45" t="s">
        <v>147</v>
      </c>
      <c r="E23" s="45" t="s">
        <v>49</v>
      </c>
      <c r="F23" s="45"/>
      <c r="G23" s="45"/>
      <c r="H23" s="45"/>
      <c r="I23" s="45" t="s">
        <v>148</v>
      </c>
    </row>
    <row r="24" spans="1:9" ht="14">
      <c r="A24" s="82">
        <v>45916</v>
      </c>
      <c r="B24" s="44" t="s">
        <v>171</v>
      </c>
      <c r="C24" s="83">
        <v>1600</v>
      </c>
      <c r="D24" s="44" t="s">
        <v>147</v>
      </c>
      <c r="E24" s="44" t="s">
        <v>49</v>
      </c>
      <c r="F24" s="44"/>
      <c r="G24" s="44"/>
      <c r="H24" s="44"/>
      <c r="I24" s="44" t="s">
        <v>148</v>
      </c>
    </row>
    <row r="25" spans="1:9" ht="14">
      <c r="A25" s="84">
        <v>45917</v>
      </c>
      <c r="B25" s="45" t="s">
        <v>172</v>
      </c>
      <c r="C25" s="85">
        <v>800</v>
      </c>
      <c r="D25" s="45" t="s">
        <v>150</v>
      </c>
      <c r="E25" s="45" t="s">
        <v>49</v>
      </c>
      <c r="F25" s="45"/>
      <c r="G25" s="45"/>
      <c r="H25" s="45"/>
      <c r="I25" s="45" t="s">
        <v>148</v>
      </c>
    </row>
    <row r="26" spans="1:9" ht="14">
      <c r="A26" s="82">
        <v>45917</v>
      </c>
      <c r="B26" s="44" t="s">
        <v>172</v>
      </c>
      <c r="C26" s="83">
        <v>1300</v>
      </c>
      <c r="D26" s="44" t="s">
        <v>150</v>
      </c>
      <c r="E26" s="44" t="s">
        <v>49</v>
      </c>
      <c r="F26" s="44"/>
      <c r="G26" s="44"/>
      <c r="H26" s="44"/>
      <c r="I26" s="44" t="s">
        <v>148</v>
      </c>
    </row>
    <row r="27" spans="1:9" ht="14">
      <c r="A27" s="84">
        <v>45918</v>
      </c>
      <c r="B27" s="45" t="s">
        <v>173</v>
      </c>
      <c r="C27" s="85">
        <v>1500</v>
      </c>
      <c r="D27" s="45" t="s">
        <v>147</v>
      </c>
      <c r="E27" s="45" t="s">
        <v>49</v>
      </c>
      <c r="F27" s="45"/>
      <c r="G27" s="45"/>
      <c r="H27" s="45"/>
      <c r="I27" s="45" t="s">
        <v>148</v>
      </c>
    </row>
    <row r="28" spans="1:9" ht="14">
      <c r="A28" s="82">
        <v>45919</v>
      </c>
      <c r="B28" s="44" t="s">
        <v>174</v>
      </c>
      <c r="C28" s="83">
        <v>1400</v>
      </c>
      <c r="D28" s="44" t="s">
        <v>147</v>
      </c>
      <c r="E28" s="44" t="s">
        <v>49</v>
      </c>
      <c r="F28" s="44"/>
      <c r="G28" s="44"/>
      <c r="H28" s="44"/>
      <c r="I28" s="44" t="s">
        <v>148</v>
      </c>
    </row>
    <row r="29" spans="1:9" ht="14">
      <c r="A29" s="84">
        <v>45920</v>
      </c>
      <c r="B29" s="45" t="s">
        <v>175</v>
      </c>
      <c r="C29" s="85">
        <v>3500</v>
      </c>
      <c r="D29" s="45" t="s">
        <v>147</v>
      </c>
      <c r="E29" s="45" t="s">
        <v>49</v>
      </c>
      <c r="F29" s="45"/>
      <c r="G29" s="45"/>
      <c r="H29" s="45"/>
      <c r="I29" s="45" t="s">
        <v>148</v>
      </c>
    </row>
    <row r="30" spans="1:9" ht="14">
      <c r="A30" s="82">
        <v>45921</v>
      </c>
      <c r="B30" s="44" t="s">
        <v>176</v>
      </c>
      <c r="C30" s="83">
        <v>2400</v>
      </c>
      <c r="D30" s="44" t="s">
        <v>150</v>
      </c>
      <c r="E30" s="44" t="s">
        <v>49</v>
      </c>
      <c r="F30" s="44"/>
      <c r="G30" s="44"/>
      <c r="H30" s="44"/>
      <c r="I30" s="44" t="s">
        <v>148</v>
      </c>
    </row>
    <row r="31" spans="1:9" ht="14">
      <c r="A31" s="84">
        <v>45922</v>
      </c>
      <c r="B31" s="45" t="s">
        <v>177</v>
      </c>
      <c r="C31" s="85">
        <v>1000</v>
      </c>
      <c r="D31" s="45" t="s">
        <v>150</v>
      </c>
      <c r="E31" s="45" t="s">
        <v>49</v>
      </c>
      <c r="F31" s="45"/>
      <c r="G31" s="45"/>
      <c r="H31" s="45"/>
      <c r="I31" s="45" t="s">
        <v>148</v>
      </c>
    </row>
    <row r="32" spans="1:9" ht="14">
      <c r="A32" s="82">
        <v>45924</v>
      </c>
      <c r="B32" s="44" t="s">
        <v>178</v>
      </c>
      <c r="C32" s="83">
        <v>2500</v>
      </c>
      <c r="D32" s="44" t="s">
        <v>162</v>
      </c>
      <c r="E32" s="44" t="s">
        <v>49</v>
      </c>
      <c r="F32" s="44"/>
      <c r="G32" s="44"/>
      <c r="H32" s="44"/>
      <c r="I32" s="44" t="s">
        <v>148</v>
      </c>
    </row>
    <row r="33" spans="1:9" ht="14">
      <c r="A33" s="84">
        <v>45924</v>
      </c>
      <c r="B33" s="45" t="s">
        <v>179</v>
      </c>
      <c r="C33" s="85">
        <v>9250</v>
      </c>
      <c r="D33" s="45" t="s">
        <v>162</v>
      </c>
      <c r="E33" s="45" t="s">
        <v>49</v>
      </c>
      <c r="F33" s="45"/>
      <c r="G33" s="45"/>
      <c r="H33" s="45"/>
      <c r="I33" s="45" t="s">
        <v>148</v>
      </c>
    </row>
    <row r="34" spans="1:9" ht="14">
      <c r="A34" s="82">
        <v>45930</v>
      </c>
      <c r="B34" s="44" t="s">
        <v>169</v>
      </c>
      <c r="C34" s="83">
        <v>3800</v>
      </c>
      <c r="D34" s="44" t="s">
        <v>180</v>
      </c>
      <c r="E34" s="44" t="s">
        <v>51</v>
      </c>
      <c r="F34" s="44"/>
      <c r="G34" s="44"/>
      <c r="H34" s="44"/>
      <c r="I34" s="44" t="s">
        <v>148</v>
      </c>
    </row>
    <row r="35" spans="1:9" ht="14">
      <c r="A35" s="84">
        <v>45933.931944444397</v>
      </c>
      <c r="B35" s="45" t="s">
        <v>181</v>
      </c>
      <c r="C35" s="85">
        <v>800</v>
      </c>
      <c r="D35" s="45" t="s">
        <v>162</v>
      </c>
      <c r="E35" s="45" t="s">
        <v>49</v>
      </c>
      <c r="F35" s="45"/>
      <c r="G35" s="45"/>
      <c r="H35" s="45"/>
      <c r="I35" s="45" t="s">
        <v>148</v>
      </c>
    </row>
    <row r="36" spans="1:9" ht="14">
      <c r="A36" s="82">
        <v>45934.931944386597</v>
      </c>
      <c r="B36" s="44" t="s">
        <v>182</v>
      </c>
      <c r="C36" s="83">
        <v>1600</v>
      </c>
      <c r="D36" s="44" t="s">
        <v>147</v>
      </c>
      <c r="E36" s="44" t="s">
        <v>49</v>
      </c>
      <c r="F36" s="44"/>
      <c r="G36" s="44"/>
      <c r="H36" s="44"/>
      <c r="I36" s="44" t="s">
        <v>148</v>
      </c>
    </row>
    <row r="37" spans="1:9" ht="14">
      <c r="A37" s="84">
        <v>45935.931944386597</v>
      </c>
      <c r="B37" s="45" t="s">
        <v>183</v>
      </c>
      <c r="C37" s="85">
        <v>5900</v>
      </c>
      <c r="D37" s="45" t="s">
        <v>162</v>
      </c>
      <c r="E37" s="45" t="s">
        <v>49</v>
      </c>
      <c r="F37" s="45"/>
      <c r="G37" s="45"/>
      <c r="H37" s="45"/>
      <c r="I37" s="45" t="s">
        <v>148</v>
      </c>
    </row>
    <row r="38" spans="1:9" ht="14">
      <c r="A38" s="82">
        <v>45939.931944444397</v>
      </c>
      <c r="B38" s="44" t="s">
        <v>175</v>
      </c>
      <c r="C38" s="83">
        <v>3000</v>
      </c>
      <c r="D38" s="44" t="s">
        <v>162</v>
      </c>
      <c r="E38" s="44" t="s">
        <v>49</v>
      </c>
      <c r="F38" s="44"/>
      <c r="G38" s="44"/>
      <c r="H38" s="44"/>
      <c r="I38" s="44" t="s">
        <v>148</v>
      </c>
    </row>
    <row r="39" spans="1:9" ht="14">
      <c r="A39" s="84">
        <v>45939.931944444397</v>
      </c>
      <c r="B39" s="45" t="s">
        <v>184</v>
      </c>
      <c r="C39" s="85">
        <v>800</v>
      </c>
      <c r="D39" s="45" t="s">
        <v>162</v>
      </c>
      <c r="E39" s="45" t="s">
        <v>49</v>
      </c>
      <c r="F39" s="45"/>
      <c r="G39" s="45"/>
      <c r="H39" s="45"/>
      <c r="I39" s="45" t="s">
        <v>148</v>
      </c>
    </row>
    <row r="40" spans="1:9" ht="14">
      <c r="A40" s="82">
        <v>45945</v>
      </c>
      <c r="B40" s="44" t="s">
        <v>185</v>
      </c>
      <c r="C40" s="83">
        <v>1560</v>
      </c>
      <c r="D40" s="44" t="s">
        <v>162</v>
      </c>
      <c r="E40" s="44" t="s">
        <v>49</v>
      </c>
      <c r="F40" s="44"/>
      <c r="G40" s="44"/>
      <c r="H40" s="44"/>
      <c r="I40" s="44" t="s">
        <v>148</v>
      </c>
    </row>
    <row r="41" spans="1:9" ht="14">
      <c r="A41" s="84">
        <v>45946</v>
      </c>
      <c r="B41" s="45" t="s">
        <v>186</v>
      </c>
      <c r="C41" s="85">
        <v>1400</v>
      </c>
      <c r="D41" s="45" t="s">
        <v>162</v>
      </c>
      <c r="E41" s="45" t="s">
        <v>49</v>
      </c>
      <c r="F41" s="45"/>
      <c r="G41" s="45"/>
      <c r="H41" s="45"/>
      <c r="I41" s="45" t="s">
        <v>148</v>
      </c>
    </row>
    <row r="42" spans="1:9" ht="14">
      <c r="A42" s="82">
        <v>45946</v>
      </c>
      <c r="B42" s="44" t="s">
        <v>151</v>
      </c>
      <c r="C42" s="83">
        <v>3000</v>
      </c>
      <c r="D42" s="44" t="s">
        <v>162</v>
      </c>
      <c r="E42" s="44" t="s">
        <v>49</v>
      </c>
      <c r="F42" s="44"/>
      <c r="G42" s="44"/>
      <c r="H42" s="44"/>
      <c r="I42" s="44" t="s">
        <v>148</v>
      </c>
    </row>
    <row r="43" spans="1:9" ht="14">
      <c r="A43" s="84">
        <v>45947</v>
      </c>
      <c r="B43" s="45" t="s">
        <v>187</v>
      </c>
      <c r="C43" s="85">
        <v>1799</v>
      </c>
      <c r="D43" s="45" t="s">
        <v>162</v>
      </c>
      <c r="E43" s="45" t="s">
        <v>49</v>
      </c>
      <c r="F43" s="45"/>
      <c r="G43" s="45"/>
      <c r="H43" s="45"/>
      <c r="I43" s="45" t="s">
        <v>148</v>
      </c>
    </row>
    <row r="44" spans="1:9" ht="14">
      <c r="A44" s="82">
        <v>45948</v>
      </c>
      <c r="B44" s="44" t="s">
        <v>158</v>
      </c>
      <c r="C44" s="83">
        <v>1400</v>
      </c>
      <c r="D44" s="44" t="s">
        <v>162</v>
      </c>
      <c r="E44" s="44" t="s">
        <v>49</v>
      </c>
      <c r="F44" s="44"/>
      <c r="G44" s="44"/>
      <c r="H44" s="44"/>
      <c r="I44" s="44" t="s">
        <v>148</v>
      </c>
    </row>
    <row r="45" spans="1:9" ht="14">
      <c r="A45" s="84">
        <v>45949</v>
      </c>
      <c r="B45" s="45" t="s">
        <v>188</v>
      </c>
      <c r="C45" s="85">
        <v>1400</v>
      </c>
      <c r="D45" s="45" t="s">
        <v>162</v>
      </c>
      <c r="E45" s="45" t="s">
        <v>49</v>
      </c>
      <c r="F45" s="45"/>
      <c r="G45" s="45"/>
      <c r="H45" s="45"/>
      <c r="I45" s="45" t="s">
        <v>148</v>
      </c>
    </row>
    <row r="46" spans="1:9" ht="14">
      <c r="A46" s="82">
        <v>45950</v>
      </c>
      <c r="B46" s="44" t="s">
        <v>189</v>
      </c>
      <c r="C46" s="83">
        <v>600</v>
      </c>
      <c r="D46" s="44" t="s">
        <v>162</v>
      </c>
      <c r="E46" s="44" t="s">
        <v>49</v>
      </c>
      <c r="F46" s="44"/>
      <c r="G46" s="44"/>
      <c r="H46" s="44"/>
      <c r="I46" s="44" t="s">
        <v>148</v>
      </c>
    </row>
    <row r="47" spans="1:9" ht="14">
      <c r="A47" s="84">
        <v>45951</v>
      </c>
      <c r="B47" s="45" t="s">
        <v>190</v>
      </c>
      <c r="C47" s="85">
        <v>1000</v>
      </c>
      <c r="D47" s="45" t="s">
        <v>162</v>
      </c>
      <c r="E47" s="45" t="s">
        <v>49</v>
      </c>
      <c r="F47" s="45"/>
      <c r="G47" s="45"/>
      <c r="H47" s="45"/>
      <c r="I47" s="45" t="s">
        <v>148</v>
      </c>
    </row>
    <row r="48" spans="1:9" ht="14">
      <c r="A48" s="82">
        <v>45964</v>
      </c>
      <c r="B48" s="44" t="s">
        <v>189</v>
      </c>
      <c r="C48" s="83">
        <v>1500</v>
      </c>
      <c r="D48" s="44" t="s">
        <v>147</v>
      </c>
      <c r="E48" s="44" t="s">
        <v>49</v>
      </c>
      <c r="F48" s="44"/>
      <c r="G48" s="44"/>
      <c r="H48" s="44"/>
      <c r="I48" s="44" t="s">
        <v>148</v>
      </c>
    </row>
    <row r="49" spans="1:9" ht="14">
      <c r="A49" s="84">
        <v>45963</v>
      </c>
      <c r="B49" s="45" t="s">
        <v>189</v>
      </c>
      <c r="C49" s="85">
        <v>1600</v>
      </c>
      <c r="D49" s="45" t="s">
        <v>162</v>
      </c>
      <c r="E49" s="45" t="s">
        <v>49</v>
      </c>
      <c r="F49" s="45"/>
      <c r="G49" s="45"/>
      <c r="H49" s="45"/>
      <c r="I49" s="45" t="s">
        <v>148</v>
      </c>
    </row>
    <row r="50" spans="1:9" ht="14">
      <c r="A50" s="82">
        <v>45982</v>
      </c>
      <c r="B50" s="44" t="s">
        <v>191</v>
      </c>
      <c r="C50" s="83">
        <v>1600</v>
      </c>
      <c r="D50" s="44" t="s">
        <v>162</v>
      </c>
      <c r="E50" s="44" t="s">
        <v>49</v>
      </c>
      <c r="F50" s="44"/>
      <c r="G50" s="44"/>
      <c r="H50" s="44"/>
      <c r="I50" s="44" t="s">
        <v>148</v>
      </c>
    </row>
    <row r="51" spans="1:9" ht="14">
      <c r="A51" s="84">
        <v>45983</v>
      </c>
      <c r="B51" s="45" t="s">
        <v>192</v>
      </c>
      <c r="C51" s="85">
        <v>1400</v>
      </c>
      <c r="D51" s="45" t="s">
        <v>162</v>
      </c>
      <c r="E51" s="45" t="s">
        <v>49</v>
      </c>
      <c r="F51" s="45"/>
      <c r="G51" s="45"/>
      <c r="H51" s="45"/>
      <c r="I51" s="45" t="s">
        <v>148</v>
      </c>
    </row>
    <row r="52" spans="1:9" ht="14">
      <c r="A52" s="82">
        <v>45984</v>
      </c>
      <c r="B52" s="44" t="s">
        <v>193</v>
      </c>
      <c r="C52" s="83">
        <v>1600</v>
      </c>
      <c r="D52" s="44" t="s">
        <v>162</v>
      </c>
      <c r="E52" s="44" t="s">
        <v>49</v>
      </c>
      <c r="F52" s="44"/>
      <c r="G52" s="44"/>
      <c r="H52" s="44"/>
      <c r="I52" s="44" t="s">
        <v>148</v>
      </c>
    </row>
    <row r="53" spans="1:9" ht="14">
      <c r="A53" s="84">
        <v>45985</v>
      </c>
      <c r="B53" s="45" t="s">
        <v>191</v>
      </c>
      <c r="C53" s="85">
        <v>1600</v>
      </c>
      <c r="D53" s="45" t="s">
        <v>162</v>
      </c>
      <c r="E53" s="45" t="s">
        <v>49</v>
      </c>
      <c r="F53" s="46"/>
      <c r="G53" s="46"/>
      <c r="H53" s="46"/>
      <c r="I53" s="45" t="s">
        <v>148</v>
      </c>
    </row>
    <row r="54" spans="1:9" ht="13.5" customHeight="1">
      <c r="A54" s="82">
        <v>45986</v>
      </c>
      <c r="B54" s="44" t="s">
        <v>194</v>
      </c>
      <c r="C54" s="83">
        <v>4900</v>
      </c>
      <c r="D54" s="44" t="s">
        <v>162</v>
      </c>
      <c r="E54" s="44" t="s">
        <v>49</v>
      </c>
      <c r="F54" s="44"/>
      <c r="G54" s="44"/>
      <c r="H54" s="44" t="s">
        <v>195</v>
      </c>
      <c r="I54" s="44" t="s">
        <v>148</v>
      </c>
    </row>
    <row r="55" spans="1:9" ht="15.75" customHeight="1">
      <c r="A55" s="84">
        <v>45992</v>
      </c>
      <c r="B55" s="45" t="s">
        <v>196</v>
      </c>
      <c r="C55" s="85">
        <v>4500</v>
      </c>
      <c r="D55" s="45" t="s">
        <v>162</v>
      </c>
      <c r="E55" s="45" t="s">
        <v>49</v>
      </c>
      <c r="F55" s="46"/>
      <c r="G55" s="46"/>
      <c r="H55" s="46" t="s">
        <v>195</v>
      </c>
      <c r="I55" s="45" t="s">
        <v>148</v>
      </c>
    </row>
    <row r="56" spans="1:9" ht="13.5" customHeight="1">
      <c r="A56" s="82">
        <v>45992</v>
      </c>
      <c r="B56" s="44" t="s">
        <v>197</v>
      </c>
      <c r="C56" s="83">
        <v>1600</v>
      </c>
      <c r="D56" s="44" t="s">
        <v>162</v>
      </c>
      <c r="E56" s="44" t="s">
        <v>49</v>
      </c>
      <c r="F56" s="44"/>
      <c r="G56" s="44"/>
      <c r="H56" s="44" t="s">
        <v>198</v>
      </c>
      <c r="I56" s="44" t="s">
        <v>148</v>
      </c>
    </row>
    <row r="57" spans="1:9" ht="15.75" customHeight="1">
      <c r="A57" s="84">
        <v>45996</v>
      </c>
      <c r="B57" s="45" t="s">
        <v>199</v>
      </c>
      <c r="C57" s="85">
        <v>1500</v>
      </c>
      <c r="D57" s="45" t="s">
        <v>162</v>
      </c>
      <c r="E57" s="45" t="s">
        <v>49</v>
      </c>
      <c r="F57" s="46"/>
      <c r="G57" s="46"/>
      <c r="H57" s="46" t="s">
        <v>200</v>
      </c>
      <c r="I57" s="45" t="s">
        <v>148</v>
      </c>
    </row>
    <row r="58" spans="1:9" ht="42" customHeight="1">
      <c r="A58" s="82">
        <v>45996</v>
      </c>
      <c r="B58" s="44" t="s">
        <v>201</v>
      </c>
      <c r="C58" s="83">
        <v>7500</v>
      </c>
      <c r="D58" s="44" t="s">
        <v>162</v>
      </c>
      <c r="E58" s="44" t="s">
        <v>49</v>
      </c>
      <c r="F58" s="44"/>
      <c r="G58" s="44"/>
      <c r="H58" s="44" t="s">
        <v>202</v>
      </c>
      <c r="I58" s="44" t="s">
        <v>148</v>
      </c>
    </row>
    <row r="59" spans="1:9" ht="15.75" customHeight="1">
      <c r="A59" s="84">
        <v>45996</v>
      </c>
      <c r="B59" s="45" t="s">
        <v>173</v>
      </c>
      <c r="C59" s="85">
        <v>1400</v>
      </c>
      <c r="D59" s="45" t="s">
        <v>150</v>
      </c>
      <c r="E59" s="45" t="s">
        <v>49</v>
      </c>
      <c r="F59" s="46"/>
      <c r="G59" s="46"/>
      <c r="H59" s="46" t="s">
        <v>203</v>
      </c>
      <c r="I59" s="45" t="s">
        <v>148</v>
      </c>
    </row>
    <row r="60" spans="1:9" ht="13.5" customHeight="1">
      <c r="A60" s="82">
        <v>46007</v>
      </c>
      <c r="B60" s="44" t="s">
        <v>204</v>
      </c>
      <c r="C60" s="83">
        <v>699</v>
      </c>
      <c r="D60" s="44" t="s">
        <v>205</v>
      </c>
      <c r="E60" s="44" t="s">
        <v>49</v>
      </c>
      <c r="F60" s="44"/>
      <c r="G60" s="44"/>
      <c r="H60" s="44" t="s">
        <v>206</v>
      </c>
      <c r="I60" s="44" t="s">
        <v>148</v>
      </c>
    </row>
    <row r="61" spans="1:9" ht="15.75" customHeight="1">
      <c r="A61" s="84">
        <v>46008</v>
      </c>
      <c r="B61" s="45" t="s">
        <v>151</v>
      </c>
      <c r="C61" s="85">
        <v>1400</v>
      </c>
      <c r="D61" s="45" t="s">
        <v>180</v>
      </c>
      <c r="E61" s="45" t="s">
        <v>49</v>
      </c>
      <c r="F61" s="46" t="s">
        <v>207</v>
      </c>
      <c r="G61" s="46"/>
      <c r="H61" s="46" t="s">
        <v>208</v>
      </c>
      <c r="I61" s="45" t="s">
        <v>148</v>
      </c>
    </row>
    <row r="62" spans="1:9" ht="13.5" customHeight="1">
      <c r="A62" s="82">
        <v>46008</v>
      </c>
      <c r="B62" s="44" t="s">
        <v>209</v>
      </c>
      <c r="C62" s="83">
        <v>1380</v>
      </c>
      <c r="D62" s="44" t="s">
        <v>162</v>
      </c>
      <c r="E62" s="44" t="s">
        <v>49</v>
      </c>
      <c r="F62" s="44"/>
      <c r="G62" s="44"/>
      <c r="H62" s="44" t="s">
        <v>210</v>
      </c>
      <c r="I62" s="44" t="s">
        <v>148</v>
      </c>
    </row>
    <row r="63" spans="1:9" ht="15.75" customHeight="1">
      <c r="A63" s="84">
        <v>46008</v>
      </c>
      <c r="B63" s="45" t="s">
        <v>191</v>
      </c>
      <c r="C63" s="85">
        <v>1380</v>
      </c>
      <c r="D63" s="45" t="s">
        <v>162</v>
      </c>
      <c r="E63" s="45" t="s">
        <v>49</v>
      </c>
      <c r="F63" s="46"/>
      <c r="G63" s="46"/>
      <c r="H63" s="46" t="s">
        <v>211</v>
      </c>
      <c r="I63" s="45" t="s">
        <v>148</v>
      </c>
    </row>
    <row r="64" spans="1:9" ht="15.75" customHeight="1">
      <c r="A64" s="84">
        <v>46008</v>
      </c>
      <c r="B64" s="45" t="s">
        <v>173</v>
      </c>
      <c r="C64" s="85">
        <v>700</v>
      </c>
      <c r="D64" s="45" t="s">
        <v>162</v>
      </c>
      <c r="E64" s="45" t="s">
        <v>49</v>
      </c>
      <c r="F64" s="46"/>
      <c r="G64" s="46"/>
      <c r="H64" s="46" t="s">
        <v>212</v>
      </c>
      <c r="I64" s="45" t="s">
        <v>148</v>
      </c>
    </row>
    <row r="65" spans="1:9" ht="13.5" customHeight="1">
      <c r="A65" s="82">
        <v>46009</v>
      </c>
      <c r="B65" s="44" t="s">
        <v>177</v>
      </c>
      <c r="C65" s="83">
        <v>2100</v>
      </c>
      <c r="D65" s="44" t="s">
        <v>150</v>
      </c>
      <c r="E65" s="44" t="s">
        <v>49</v>
      </c>
      <c r="F65" s="44"/>
      <c r="G65" s="44"/>
      <c r="H65" s="44" t="s">
        <v>213</v>
      </c>
      <c r="I65" s="44" t="s">
        <v>148</v>
      </c>
    </row>
    <row r="66" spans="1:9" ht="15.75" customHeight="1">
      <c r="A66" s="84">
        <v>46010</v>
      </c>
      <c r="B66" s="45" t="s">
        <v>214</v>
      </c>
      <c r="C66" s="85">
        <v>1380</v>
      </c>
      <c r="D66" s="45" t="s">
        <v>180</v>
      </c>
      <c r="E66" s="45" t="s">
        <v>49</v>
      </c>
      <c r="F66" s="46"/>
      <c r="G66" s="46"/>
      <c r="H66" s="46" t="s">
        <v>211</v>
      </c>
      <c r="I66" s="45" t="s">
        <v>148</v>
      </c>
    </row>
    <row r="67" spans="1:9" ht="13.5" customHeight="1">
      <c r="A67" s="82">
        <v>46010</v>
      </c>
      <c r="B67" s="44" t="s">
        <v>215</v>
      </c>
      <c r="C67" s="83">
        <v>1000</v>
      </c>
      <c r="D67" s="44" t="s">
        <v>162</v>
      </c>
      <c r="E67" s="44" t="s">
        <v>49</v>
      </c>
      <c r="F67" s="44" t="s">
        <v>216</v>
      </c>
      <c r="G67" s="44"/>
      <c r="H67" s="44" t="s">
        <v>217</v>
      </c>
      <c r="I67" s="44" t="s">
        <v>148</v>
      </c>
    </row>
    <row r="68" spans="1:9" ht="31.5" customHeight="1">
      <c r="A68" s="84">
        <v>46011</v>
      </c>
      <c r="B68" s="45" t="s">
        <v>218</v>
      </c>
      <c r="C68" s="85">
        <v>3900</v>
      </c>
      <c r="D68" s="45" t="s">
        <v>162</v>
      </c>
      <c r="E68" s="45" t="s">
        <v>49</v>
      </c>
      <c r="F68" s="46"/>
      <c r="G68" s="46"/>
      <c r="H68" s="46" t="s">
        <v>219</v>
      </c>
      <c r="I68" s="45" t="s">
        <v>148</v>
      </c>
    </row>
    <row r="69" spans="1:9" ht="13.5" customHeight="1">
      <c r="A69" s="82">
        <v>46011</v>
      </c>
      <c r="B69" s="44" t="s">
        <v>220</v>
      </c>
      <c r="C69" s="83">
        <v>1400</v>
      </c>
      <c r="D69" s="44" t="s">
        <v>162</v>
      </c>
      <c r="E69" s="44" t="s">
        <v>49</v>
      </c>
      <c r="F69" s="44"/>
      <c r="G69" s="44"/>
      <c r="H69" s="44" t="s">
        <v>221</v>
      </c>
      <c r="I69" s="44" t="s">
        <v>148</v>
      </c>
    </row>
    <row r="70" spans="1:9" ht="13.5" customHeight="1">
      <c r="A70" s="82">
        <v>46011</v>
      </c>
      <c r="B70" s="44" t="s">
        <v>50</v>
      </c>
      <c r="C70" s="83">
        <v>1400</v>
      </c>
      <c r="D70" s="44" t="s">
        <v>150</v>
      </c>
      <c r="E70" s="44" t="s">
        <v>50</v>
      </c>
      <c r="F70" s="44"/>
      <c r="G70" s="44"/>
      <c r="H70" s="44" t="s">
        <v>222</v>
      </c>
      <c r="I70" s="44" t="s">
        <v>148</v>
      </c>
    </row>
    <row r="71" spans="1:9" ht="15.75" customHeight="1">
      <c r="A71" s="84">
        <v>46011</v>
      </c>
      <c r="B71" s="45" t="s">
        <v>199</v>
      </c>
      <c r="C71" s="85">
        <v>1400</v>
      </c>
      <c r="D71" s="45" t="s">
        <v>150</v>
      </c>
      <c r="E71" s="45" t="s">
        <v>49</v>
      </c>
      <c r="F71" s="46"/>
      <c r="G71" s="46"/>
      <c r="H71" s="46" t="s">
        <v>223</v>
      </c>
      <c r="I71" s="45" t="s">
        <v>148</v>
      </c>
    </row>
    <row r="72" spans="1:9" ht="27.75" customHeight="1">
      <c r="A72" s="82">
        <v>46011</v>
      </c>
      <c r="B72" s="44" t="s">
        <v>224</v>
      </c>
      <c r="C72" s="83">
        <v>3700</v>
      </c>
      <c r="D72" s="44" t="s">
        <v>162</v>
      </c>
      <c r="E72" s="44" t="s">
        <v>49</v>
      </c>
      <c r="F72" s="44"/>
      <c r="G72" s="44"/>
      <c r="H72" s="44" t="s">
        <v>225</v>
      </c>
      <c r="I72" s="44" t="s">
        <v>148</v>
      </c>
    </row>
    <row r="73" spans="1:9" ht="31.5" customHeight="1">
      <c r="A73" s="84">
        <v>46011</v>
      </c>
      <c r="B73" s="45" t="s">
        <v>226</v>
      </c>
      <c r="C73" s="85">
        <v>4529</v>
      </c>
      <c r="D73" s="45" t="s">
        <v>150</v>
      </c>
      <c r="E73" s="45" t="s">
        <v>50</v>
      </c>
      <c r="F73" s="46"/>
      <c r="G73" s="46"/>
      <c r="H73" s="46" t="s">
        <v>227</v>
      </c>
      <c r="I73" s="45" t="s">
        <v>148</v>
      </c>
    </row>
    <row r="74" spans="1:9" ht="13.5" customHeight="1">
      <c r="A74" s="82">
        <v>46013</v>
      </c>
      <c r="B74" s="44" t="s">
        <v>228</v>
      </c>
      <c r="C74" s="83">
        <v>580</v>
      </c>
      <c r="D74" s="44" t="s">
        <v>162</v>
      </c>
      <c r="E74" s="44" t="s">
        <v>49</v>
      </c>
      <c r="F74" s="44" t="s">
        <v>229</v>
      </c>
      <c r="G74" s="44"/>
      <c r="H74" s="44" t="s">
        <v>230</v>
      </c>
      <c r="I74" s="44" t="s">
        <v>148</v>
      </c>
    </row>
    <row r="75" spans="1:9" ht="15.75" customHeight="1">
      <c r="A75" s="84">
        <v>46013</v>
      </c>
      <c r="B75" s="45" t="s">
        <v>231</v>
      </c>
      <c r="C75" s="85">
        <v>1380</v>
      </c>
      <c r="D75" s="45" t="s">
        <v>162</v>
      </c>
      <c r="E75" s="45" t="s">
        <v>49</v>
      </c>
      <c r="F75" s="46"/>
      <c r="G75" s="46"/>
      <c r="H75" s="46" t="s">
        <v>203</v>
      </c>
      <c r="I75" s="45" t="s">
        <v>148</v>
      </c>
    </row>
    <row r="76" spans="1:9" ht="15.75" customHeight="1">
      <c r="A76" s="84">
        <v>46017</v>
      </c>
      <c r="B76" s="45" t="s">
        <v>232</v>
      </c>
      <c r="C76" s="85">
        <v>1380</v>
      </c>
      <c r="D76" s="45" t="s">
        <v>162</v>
      </c>
      <c r="E76" s="45" t="s">
        <v>49</v>
      </c>
      <c r="F76" s="46"/>
      <c r="G76" s="46"/>
      <c r="H76" s="46" t="s">
        <v>233</v>
      </c>
      <c r="I76" s="45" t="s">
        <v>148</v>
      </c>
    </row>
    <row r="77" spans="1:9" ht="13.5" customHeight="1">
      <c r="A77" s="82">
        <v>46017</v>
      </c>
      <c r="B77" s="44" t="s">
        <v>234</v>
      </c>
      <c r="C77" s="83">
        <v>1380</v>
      </c>
      <c r="D77" s="44" t="s">
        <v>162</v>
      </c>
      <c r="E77" s="44" t="s">
        <v>49</v>
      </c>
      <c r="F77" s="44"/>
      <c r="G77" s="44"/>
      <c r="H77" s="44" t="s">
        <v>235</v>
      </c>
      <c r="I77" s="44" t="s">
        <v>148</v>
      </c>
    </row>
    <row r="78" spans="1:9" ht="15.75" customHeight="1">
      <c r="A78" s="84">
        <v>46017</v>
      </c>
      <c r="B78" s="45" t="s">
        <v>189</v>
      </c>
      <c r="C78" s="85">
        <v>690</v>
      </c>
      <c r="D78" s="45" t="s">
        <v>150</v>
      </c>
      <c r="E78" s="45" t="s">
        <v>49</v>
      </c>
      <c r="F78" s="46"/>
      <c r="G78" s="46"/>
      <c r="H78" s="46" t="s">
        <v>236</v>
      </c>
      <c r="I78" s="45" t="s">
        <v>148</v>
      </c>
    </row>
    <row r="79" spans="1:9" ht="13.5" customHeight="1">
      <c r="A79" s="82">
        <v>46017</v>
      </c>
      <c r="B79" s="44" t="s">
        <v>189</v>
      </c>
      <c r="C79" s="83">
        <v>690</v>
      </c>
      <c r="D79" s="44" t="s">
        <v>150</v>
      </c>
      <c r="E79" s="44" t="s">
        <v>50</v>
      </c>
      <c r="F79" s="44"/>
      <c r="G79" s="44"/>
      <c r="H79" s="44" t="s">
        <v>236</v>
      </c>
      <c r="I79" s="44" t="s">
        <v>148</v>
      </c>
    </row>
    <row r="80" spans="1:9" ht="15.75" customHeight="1">
      <c r="A80" s="84">
        <v>46020</v>
      </c>
      <c r="B80" s="45" t="s">
        <v>161</v>
      </c>
      <c r="C80" s="85">
        <v>3200</v>
      </c>
      <c r="D80" s="45" t="s">
        <v>162</v>
      </c>
      <c r="E80" s="45" t="s">
        <v>49</v>
      </c>
      <c r="F80" s="46"/>
      <c r="G80" s="46"/>
      <c r="H80" s="46" t="s">
        <v>237</v>
      </c>
      <c r="I80" s="45" t="s">
        <v>148</v>
      </c>
    </row>
    <row r="81" spans="1:9" ht="13.5" customHeight="1">
      <c r="A81" s="82">
        <v>46024</v>
      </c>
      <c r="B81" s="44" t="s">
        <v>238</v>
      </c>
      <c r="C81" s="83">
        <v>2750</v>
      </c>
      <c r="D81" s="44" t="s">
        <v>162</v>
      </c>
      <c r="E81" s="44" t="s">
        <v>49</v>
      </c>
      <c r="F81" s="44"/>
      <c r="G81" s="44"/>
      <c r="H81" s="44" t="s">
        <v>239</v>
      </c>
      <c r="I81" s="44" t="s">
        <v>148</v>
      </c>
    </row>
    <row r="82" spans="1:9" ht="15.75" customHeight="1">
      <c r="A82" s="84">
        <v>46024</v>
      </c>
      <c r="B82" s="45" t="s">
        <v>240</v>
      </c>
      <c r="C82" s="85">
        <v>1400</v>
      </c>
      <c r="D82" s="45" t="s">
        <v>162</v>
      </c>
      <c r="E82" s="45" t="s">
        <v>49</v>
      </c>
      <c r="F82" s="46"/>
      <c r="G82" s="46"/>
      <c r="H82" s="46" t="s">
        <v>241</v>
      </c>
      <c r="I82" s="45" t="s">
        <v>148</v>
      </c>
    </row>
    <row r="83" spans="1:9" ht="13.5" customHeight="1">
      <c r="A83" s="82">
        <v>46024</v>
      </c>
      <c r="B83" s="44" t="s">
        <v>242</v>
      </c>
      <c r="C83" s="83">
        <v>1600</v>
      </c>
      <c r="D83" s="44" t="s">
        <v>162</v>
      </c>
      <c r="E83" s="44" t="s">
        <v>49</v>
      </c>
      <c r="F83" s="44"/>
      <c r="G83" s="44"/>
      <c r="H83" s="44" t="s">
        <v>243</v>
      </c>
      <c r="I83" s="44" t="s">
        <v>148</v>
      </c>
    </row>
    <row r="84" spans="1:9" ht="15.75" customHeight="1">
      <c r="A84" s="84">
        <v>46024</v>
      </c>
      <c r="B84" s="45" t="s">
        <v>51</v>
      </c>
      <c r="C84" s="85">
        <v>1200</v>
      </c>
      <c r="D84" s="45" t="s">
        <v>162</v>
      </c>
      <c r="E84" s="45" t="s">
        <v>51</v>
      </c>
      <c r="F84" s="46"/>
      <c r="G84" s="46"/>
      <c r="H84" s="46" t="s">
        <v>244</v>
      </c>
      <c r="I84" s="45" t="s">
        <v>148</v>
      </c>
    </row>
    <row r="85" spans="1:9" ht="13.5" customHeight="1">
      <c r="A85" s="82">
        <v>46027</v>
      </c>
      <c r="B85" s="44" t="s">
        <v>245</v>
      </c>
      <c r="C85" s="83">
        <v>1250</v>
      </c>
      <c r="D85" s="44" t="s">
        <v>162</v>
      </c>
      <c r="E85" s="44" t="s">
        <v>49</v>
      </c>
      <c r="F85" s="44"/>
      <c r="G85" s="44"/>
      <c r="H85" s="44" t="s">
        <v>246</v>
      </c>
      <c r="I85" s="44" t="s">
        <v>148</v>
      </c>
    </row>
    <row r="86" spans="1:9" ht="13.5" customHeight="1">
      <c r="A86" s="82">
        <v>46028</v>
      </c>
      <c r="B86" s="44" t="s">
        <v>247</v>
      </c>
      <c r="C86" s="83">
        <v>1380</v>
      </c>
      <c r="D86" s="44" t="s">
        <v>162</v>
      </c>
      <c r="E86" s="44" t="s">
        <v>49</v>
      </c>
      <c r="F86" s="44"/>
      <c r="G86" s="44"/>
      <c r="H86" s="44" t="s">
        <v>248</v>
      </c>
      <c r="I86" s="44" t="s">
        <v>148</v>
      </c>
    </row>
    <row r="87" spans="1:9" ht="15.75" customHeight="1">
      <c r="A87" s="84">
        <v>46029</v>
      </c>
      <c r="B87" s="45" t="s">
        <v>249</v>
      </c>
      <c r="C87" s="85">
        <v>1380</v>
      </c>
      <c r="D87" s="45" t="s">
        <v>162</v>
      </c>
      <c r="E87" s="45" t="s">
        <v>49</v>
      </c>
      <c r="F87" s="46"/>
      <c r="G87" s="46"/>
      <c r="H87" s="46" t="s">
        <v>235</v>
      </c>
      <c r="I87" s="45" t="s">
        <v>148</v>
      </c>
    </row>
    <row r="88" spans="1:9" ht="13.5" customHeight="1">
      <c r="A88" s="82">
        <v>46032</v>
      </c>
      <c r="B88" s="44" t="s">
        <v>250</v>
      </c>
      <c r="C88" s="83">
        <v>1100</v>
      </c>
      <c r="D88" s="44" t="s">
        <v>162</v>
      </c>
      <c r="E88" s="44" t="s">
        <v>49</v>
      </c>
      <c r="F88" s="44"/>
      <c r="G88" s="44"/>
      <c r="H88" s="44" t="s">
        <v>251</v>
      </c>
      <c r="I88" s="44" t="s">
        <v>148</v>
      </c>
    </row>
    <row r="89" spans="1:9" ht="15.75" customHeight="1">
      <c r="A89" s="84">
        <v>46033</v>
      </c>
      <c r="B89" s="45" t="s">
        <v>252</v>
      </c>
      <c r="C89" s="85">
        <v>1380</v>
      </c>
      <c r="D89" s="45" t="s">
        <v>162</v>
      </c>
      <c r="E89" s="45" t="s">
        <v>49</v>
      </c>
      <c r="F89" s="46"/>
      <c r="G89" s="46"/>
      <c r="H89" s="46" t="s">
        <v>203</v>
      </c>
      <c r="I89" s="45" t="s">
        <v>148</v>
      </c>
    </row>
    <row r="90" spans="1:9" ht="13.5" customHeight="1">
      <c r="A90" s="82">
        <v>46033</v>
      </c>
      <c r="B90" s="44" t="s">
        <v>253</v>
      </c>
      <c r="C90" s="83">
        <v>1100</v>
      </c>
      <c r="D90" s="44" t="s">
        <v>162</v>
      </c>
      <c r="E90" s="44" t="s">
        <v>49</v>
      </c>
      <c r="F90" s="44"/>
      <c r="G90" s="44"/>
      <c r="H90" s="44" t="s">
        <v>251</v>
      </c>
      <c r="I90" s="44" t="s">
        <v>148</v>
      </c>
    </row>
    <row r="91" spans="1:9" ht="15.75" customHeight="1">
      <c r="A91" s="84">
        <v>46034</v>
      </c>
      <c r="B91" s="45" t="s">
        <v>254</v>
      </c>
      <c r="C91" s="85">
        <v>1100</v>
      </c>
      <c r="D91" s="45" t="s">
        <v>162</v>
      </c>
      <c r="E91" s="45" t="s">
        <v>49</v>
      </c>
      <c r="F91" s="46"/>
      <c r="G91" s="46"/>
      <c r="H91" s="46" t="s">
        <v>251</v>
      </c>
      <c r="I91" s="45" t="s">
        <v>148</v>
      </c>
    </row>
    <row r="92" spans="1:9" ht="27.75" customHeight="1">
      <c r="A92" s="82">
        <v>46034</v>
      </c>
      <c r="B92" s="44" t="s">
        <v>255</v>
      </c>
      <c r="C92" s="83">
        <v>3000</v>
      </c>
      <c r="D92" s="44" t="s">
        <v>150</v>
      </c>
      <c r="E92" s="44" t="s">
        <v>51</v>
      </c>
      <c r="F92" s="44"/>
      <c r="G92" s="44"/>
      <c r="H92" s="44" t="s">
        <v>256</v>
      </c>
      <c r="I92" s="44" t="s">
        <v>148</v>
      </c>
    </row>
    <row r="93" spans="1:9" ht="15.75" customHeight="1">
      <c r="A93" s="84">
        <v>46035</v>
      </c>
      <c r="B93" s="45" t="s">
        <v>257</v>
      </c>
      <c r="C93" s="85">
        <v>1450</v>
      </c>
      <c r="D93" s="45" t="s">
        <v>147</v>
      </c>
      <c r="E93" s="45" t="s">
        <v>49</v>
      </c>
      <c r="F93" s="46"/>
      <c r="G93" s="46"/>
      <c r="H93" s="46" t="s">
        <v>258</v>
      </c>
      <c r="I93" s="45" t="s">
        <v>148</v>
      </c>
    </row>
    <row r="94" spans="1:9" ht="13.5" customHeight="1">
      <c r="A94" s="82">
        <v>46036</v>
      </c>
      <c r="B94" s="44" t="s">
        <v>259</v>
      </c>
      <c r="C94" s="83">
        <v>1599</v>
      </c>
      <c r="D94" s="44" t="s">
        <v>162</v>
      </c>
      <c r="E94" s="44" t="s">
        <v>49</v>
      </c>
      <c r="F94" s="44"/>
      <c r="G94" s="44"/>
      <c r="H94" s="44" t="s">
        <v>260</v>
      </c>
      <c r="I94" s="44" t="s">
        <v>148</v>
      </c>
    </row>
    <row r="95" spans="1:9" ht="15.75" customHeight="1">
      <c r="A95" s="84">
        <v>46038</v>
      </c>
      <c r="B95" s="45" t="s">
        <v>261</v>
      </c>
      <c r="C95" s="85">
        <v>1100</v>
      </c>
      <c r="D95" s="45" t="s">
        <v>162</v>
      </c>
      <c r="E95" s="45" t="s">
        <v>49</v>
      </c>
      <c r="F95" s="46"/>
      <c r="G95" s="46"/>
      <c r="H95" s="46" t="s">
        <v>251</v>
      </c>
      <c r="I95" s="45" t="s">
        <v>148</v>
      </c>
    </row>
    <row r="96" spans="1:9" ht="13.5" customHeight="1">
      <c r="A96" s="82">
        <v>46038</v>
      </c>
      <c r="B96" s="44" t="s">
        <v>262</v>
      </c>
      <c r="C96" s="83">
        <v>1650</v>
      </c>
      <c r="D96" s="44" t="s">
        <v>162</v>
      </c>
      <c r="E96" s="44" t="s">
        <v>51</v>
      </c>
      <c r="F96" s="44"/>
      <c r="G96" s="44"/>
      <c r="H96" s="44" t="s">
        <v>263</v>
      </c>
      <c r="I96" s="44" t="s">
        <v>148</v>
      </c>
    </row>
    <row r="97" spans="1:9" ht="15.75" customHeight="1">
      <c r="A97" s="84">
        <v>46039</v>
      </c>
      <c r="B97" s="45" t="s">
        <v>264</v>
      </c>
      <c r="C97" s="85">
        <v>2300</v>
      </c>
      <c r="D97" s="45" t="s">
        <v>150</v>
      </c>
      <c r="E97" s="45" t="s">
        <v>51</v>
      </c>
      <c r="F97" s="46"/>
      <c r="G97" s="46"/>
      <c r="H97" s="46" t="s">
        <v>265</v>
      </c>
      <c r="I97" s="45" t="s">
        <v>148</v>
      </c>
    </row>
    <row r="98" spans="1:9" ht="13.5" customHeight="1">
      <c r="A98" s="82">
        <v>46040</v>
      </c>
      <c r="B98" s="44" t="s">
        <v>266</v>
      </c>
      <c r="C98" s="83">
        <v>1399</v>
      </c>
      <c r="D98" s="44" t="s">
        <v>162</v>
      </c>
      <c r="E98" s="44" t="s">
        <v>49</v>
      </c>
      <c r="F98" s="44"/>
      <c r="G98" s="44"/>
      <c r="H98" s="44" t="s">
        <v>267</v>
      </c>
      <c r="I98" s="44" t="s">
        <v>148</v>
      </c>
    </row>
    <row r="99" spans="1:9" ht="15.75" customHeight="1">
      <c r="A99" s="84">
        <v>46041</v>
      </c>
      <c r="B99" s="45" t="s">
        <v>268</v>
      </c>
      <c r="C99" s="85">
        <v>1100</v>
      </c>
      <c r="D99" s="45" t="s">
        <v>162</v>
      </c>
      <c r="E99" s="45" t="s">
        <v>49</v>
      </c>
      <c r="F99" s="46"/>
      <c r="G99" s="46"/>
      <c r="H99" s="46" t="s">
        <v>251</v>
      </c>
      <c r="I99" s="45" t="s">
        <v>148</v>
      </c>
    </row>
    <row r="100" spans="1:9" ht="13.5" customHeight="1">
      <c r="A100" s="82">
        <v>46042</v>
      </c>
      <c r="B100" s="44" t="s">
        <v>269</v>
      </c>
      <c r="C100" s="83">
        <v>1250</v>
      </c>
      <c r="D100" s="44" t="s">
        <v>162</v>
      </c>
      <c r="E100" s="44" t="s">
        <v>49</v>
      </c>
      <c r="F100" s="44"/>
      <c r="G100" s="44"/>
      <c r="H100" s="44" t="s">
        <v>270</v>
      </c>
      <c r="I100" s="44" t="s">
        <v>148</v>
      </c>
    </row>
    <row r="101" spans="1:9" ht="15.75" customHeight="1">
      <c r="A101" s="84">
        <v>46043</v>
      </c>
      <c r="B101" s="45" t="s">
        <v>271</v>
      </c>
      <c r="C101" s="85">
        <v>1380</v>
      </c>
      <c r="D101" s="45" t="s">
        <v>162</v>
      </c>
      <c r="E101" s="45" t="s">
        <v>49</v>
      </c>
      <c r="F101" s="46"/>
      <c r="G101" s="46"/>
      <c r="H101" s="46" t="s">
        <v>272</v>
      </c>
      <c r="I101" s="45" t="s">
        <v>148</v>
      </c>
    </row>
    <row r="102" spans="1:9" ht="13.5" customHeight="1">
      <c r="A102" s="82">
        <v>46046</v>
      </c>
      <c r="B102" s="44" t="s">
        <v>273</v>
      </c>
      <c r="C102" s="83">
        <v>950</v>
      </c>
      <c r="D102" s="44" t="s">
        <v>162</v>
      </c>
      <c r="E102" s="44" t="s">
        <v>49</v>
      </c>
      <c r="F102" s="44"/>
      <c r="G102" s="44"/>
      <c r="H102" s="44" t="s">
        <v>274</v>
      </c>
      <c r="I102" s="44" t="s">
        <v>148</v>
      </c>
    </row>
    <row r="103" spans="1:9" ht="13.5" customHeight="1">
      <c r="A103" s="84">
        <v>46048</v>
      </c>
      <c r="B103" s="45" t="s">
        <v>275</v>
      </c>
      <c r="C103" s="85">
        <v>1380</v>
      </c>
      <c r="D103" s="45" t="s">
        <v>162</v>
      </c>
      <c r="E103" s="45" t="s">
        <v>49</v>
      </c>
      <c r="F103" s="46"/>
      <c r="G103" s="46"/>
      <c r="H103" s="44" t="s">
        <v>248</v>
      </c>
      <c r="I103" s="45" t="s">
        <v>148</v>
      </c>
    </row>
    <row r="104" spans="1:9" ht="13.5" customHeight="1">
      <c r="A104" s="82">
        <v>46048</v>
      </c>
      <c r="B104" s="44" t="s">
        <v>276</v>
      </c>
      <c r="C104" s="83">
        <v>2700</v>
      </c>
      <c r="D104" s="44" t="s">
        <v>162</v>
      </c>
      <c r="E104" s="44" t="s">
        <v>49</v>
      </c>
      <c r="F104" s="44"/>
      <c r="G104" s="44"/>
      <c r="H104" s="44" t="s">
        <v>277</v>
      </c>
      <c r="I104" s="44" t="s">
        <v>148</v>
      </c>
    </row>
    <row r="105" spans="1:9" ht="15.75" customHeight="1">
      <c r="A105" s="84">
        <v>46049</v>
      </c>
      <c r="B105" s="45" t="s">
        <v>278</v>
      </c>
      <c r="C105" s="85">
        <v>1380</v>
      </c>
      <c r="D105" s="45" t="s">
        <v>162</v>
      </c>
      <c r="E105" s="45" t="s">
        <v>49</v>
      </c>
      <c r="F105" s="46"/>
      <c r="G105" s="46"/>
      <c r="H105" s="46" t="s">
        <v>235</v>
      </c>
      <c r="I105" s="45" t="s">
        <v>148</v>
      </c>
    </row>
    <row r="106" spans="1:9" ht="13.5" customHeight="1">
      <c r="A106" s="82">
        <v>46049</v>
      </c>
      <c r="B106" s="44" t="s">
        <v>279</v>
      </c>
      <c r="C106" s="83">
        <v>1380</v>
      </c>
      <c r="D106" s="44" t="s">
        <v>162</v>
      </c>
      <c r="E106" s="44" t="s">
        <v>49</v>
      </c>
      <c r="F106" s="44"/>
      <c r="G106" s="44"/>
      <c r="H106" s="44" t="s">
        <v>280</v>
      </c>
      <c r="I106" s="44" t="s">
        <v>148</v>
      </c>
    </row>
    <row r="107" spans="1:9" ht="15.75" customHeight="1">
      <c r="A107" s="84">
        <v>46049</v>
      </c>
      <c r="B107" s="45" t="s">
        <v>281</v>
      </c>
      <c r="C107" s="85">
        <v>1200</v>
      </c>
      <c r="D107" s="45" t="s">
        <v>162</v>
      </c>
      <c r="E107" s="45" t="s">
        <v>49</v>
      </c>
      <c r="F107" s="46"/>
      <c r="G107" s="46"/>
      <c r="H107" s="46" t="s">
        <v>282</v>
      </c>
      <c r="I107" s="45" t="s">
        <v>148</v>
      </c>
    </row>
    <row r="108" spans="1:9" ht="13.5" customHeight="1">
      <c r="A108" s="82">
        <v>46050</v>
      </c>
      <c r="B108" s="44" t="s">
        <v>283</v>
      </c>
      <c r="C108" s="83">
        <v>1250</v>
      </c>
      <c r="D108" s="44" t="s">
        <v>162</v>
      </c>
      <c r="E108" s="44" t="s">
        <v>49</v>
      </c>
      <c r="F108" s="44"/>
      <c r="G108" s="44"/>
      <c r="H108" s="44" t="s">
        <v>284</v>
      </c>
      <c r="I108" s="44" t="s">
        <v>148</v>
      </c>
    </row>
    <row r="109" spans="1:9" ht="15.75" customHeight="1">
      <c r="A109" s="84">
        <v>46051</v>
      </c>
      <c r="B109" s="45" t="s">
        <v>285</v>
      </c>
      <c r="C109" s="85">
        <v>1380</v>
      </c>
      <c r="D109" s="45" t="s">
        <v>162</v>
      </c>
      <c r="E109" s="45" t="s">
        <v>49</v>
      </c>
      <c r="F109" s="46"/>
      <c r="G109" s="46"/>
      <c r="H109" s="46" t="s">
        <v>248</v>
      </c>
      <c r="I109" s="45" t="s">
        <v>148</v>
      </c>
    </row>
    <row r="110" spans="1:9" ht="13.5" customHeight="1">
      <c r="A110" s="82">
        <v>46051</v>
      </c>
      <c r="B110" s="44" t="s">
        <v>286</v>
      </c>
      <c r="C110" s="83">
        <v>1380</v>
      </c>
      <c r="D110" s="44" t="s">
        <v>162</v>
      </c>
      <c r="E110" s="44" t="s">
        <v>49</v>
      </c>
      <c r="F110" s="44"/>
      <c r="G110" s="44"/>
      <c r="H110" s="44" t="s">
        <v>248</v>
      </c>
      <c r="I110" s="44" t="s">
        <v>148</v>
      </c>
    </row>
    <row r="111" spans="1:9" ht="15.75" customHeight="1">
      <c r="A111" s="84">
        <v>46051</v>
      </c>
      <c r="B111" s="45" t="s">
        <v>264</v>
      </c>
      <c r="C111" s="85">
        <v>580</v>
      </c>
      <c r="D111" s="45" t="s">
        <v>287</v>
      </c>
      <c r="E111" s="45" t="s">
        <v>51</v>
      </c>
      <c r="F111" s="46"/>
      <c r="G111" s="46"/>
      <c r="H111" s="46" t="s">
        <v>288</v>
      </c>
      <c r="I111" s="45" t="s">
        <v>148</v>
      </c>
    </row>
    <row r="112" spans="1:9" ht="27.75" customHeight="1">
      <c r="A112" s="82">
        <v>46054</v>
      </c>
      <c r="B112" s="44" t="s">
        <v>289</v>
      </c>
      <c r="C112" s="83">
        <v>1800</v>
      </c>
      <c r="D112" s="44" t="s">
        <v>162</v>
      </c>
      <c r="E112" s="44" t="s">
        <v>49</v>
      </c>
      <c r="F112" s="44"/>
      <c r="G112" s="44"/>
      <c r="H112" s="44" t="s">
        <v>290</v>
      </c>
      <c r="I112" s="44" t="s">
        <v>148</v>
      </c>
    </row>
    <row r="113" spans="1:9" ht="15.75" customHeight="1">
      <c r="A113" s="84">
        <v>46054</v>
      </c>
      <c r="B113" s="45" t="s">
        <v>291</v>
      </c>
      <c r="C113" s="85">
        <v>1550</v>
      </c>
      <c r="D113" s="45" t="s">
        <v>162</v>
      </c>
      <c r="E113" s="45" t="s">
        <v>49</v>
      </c>
      <c r="F113" s="46"/>
      <c r="G113" s="46"/>
      <c r="H113" s="46" t="s">
        <v>260</v>
      </c>
      <c r="I113" s="45" t="s">
        <v>148</v>
      </c>
    </row>
    <row r="114" spans="1:9" ht="13.5" customHeight="1">
      <c r="A114" s="82">
        <v>46055</v>
      </c>
      <c r="B114" s="44" t="s">
        <v>157</v>
      </c>
      <c r="C114" s="83">
        <v>1380</v>
      </c>
      <c r="D114" s="44" t="s">
        <v>162</v>
      </c>
      <c r="E114" s="44" t="s">
        <v>49</v>
      </c>
      <c r="F114" s="44"/>
      <c r="G114" s="44"/>
      <c r="H114" s="44" t="s">
        <v>235</v>
      </c>
      <c r="I114" s="44" t="s">
        <v>148</v>
      </c>
    </row>
    <row r="115" spans="1:9" ht="15.75" customHeight="1">
      <c r="A115" s="84">
        <v>46055</v>
      </c>
      <c r="B115" s="45" t="s">
        <v>170</v>
      </c>
      <c r="C115" s="85">
        <v>1380</v>
      </c>
      <c r="D115" s="45" t="s">
        <v>162</v>
      </c>
      <c r="E115" s="45" t="s">
        <v>49</v>
      </c>
      <c r="F115" s="46"/>
      <c r="G115" s="46"/>
      <c r="H115" s="46" t="s">
        <v>292</v>
      </c>
      <c r="I115" s="45" t="s">
        <v>148</v>
      </c>
    </row>
    <row r="116" spans="1:9" ht="13.5" customHeight="1">
      <c r="A116" s="82">
        <v>46060</v>
      </c>
      <c r="B116" s="44" t="s">
        <v>293</v>
      </c>
      <c r="C116" s="83">
        <v>1050</v>
      </c>
      <c r="D116" s="44" t="s">
        <v>162</v>
      </c>
      <c r="E116" s="44" t="s">
        <v>49</v>
      </c>
      <c r="F116" s="44"/>
      <c r="G116" s="44"/>
      <c r="H116" s="44" t="s">
        <v>294</v>
      </c>
      <c r="I116" s="44" t="s">
        <v>148</v>
      </c>
    </row>
    <row r="117" spans="1:9" ht="15.75" customHeight="1">
      <c r="A117" s="84">
        <v>46062</v>
      </c>
      <c r="B117" s="45" t="s">
        <v>295</v>
      </c>
      <c r="C117" s="85">
        <v>1000</v>
      </c>
      <c r="D117" s="45" t="s">
        <v>162</v>
      </c>
      <c r="E117" s="45" t="s">
        <v>49</v>
      </c>
      <c r="F117" s="46"/>
      <c r="G117" s="46"/>
      <c r="H117" s="46" t="s">
        <v>296</v>
      </c>
      <c r="I117" s="45" t="s">
        <v>148</v>
      </c>
    </row>
    <row r="118" spans="1:9" ht="13.5" customHeight="1">
      <c r="A118" s="82">
        <v>46065</v>
      </c>
      <c r="B118" s="44" t="s">
        <v>297</v>
      </c>
      <c r="C118" s="83">
        <v>799</v>
      </c>
      <c r="D118" s="44" t="s">
        <v>162</v>
      </c>
      <c r="E118" s="44" t="s">
        <v>49</v>
      </c>
      <c r="F118" s="44"/>
      <c r="G118" s="44"/>
      <c r="H118" s="44" t="s">
        <v>298</v>
      </c>
      <c r="I118" s="44" t="s">
        <v>148</v>
      </c>
    </row>
    <row r="119" spans="1:9" ht="15.75" customHeight="1">
      <c r="A119" s="84">
        <v>46055</v>
      </c>
      <c r="B119" s="45" t="s">
        <v>299</v>
      </c>
      <c r="C119" s="85">
        <v>500</v>
      </c>
      <c r="D119" s="45" t="s">
        <v>162</v>
      </c>
      <c r="E119" s="45" t="s">
        <v>49</v>
      </c>
      <c r="F119" s="46"/>
      <c r="G119" s="46"/>
      <c r="H119" s="46" t="s">
        <v>109</v>
      </c>
      <c r="I119" s="45" t="s">
        <v>148</v>
      </c>
    </row>
    <row r="120" spans="1:9" ht="27.75" customHeight="1">
      <c r="A120" s="82">
        <v>46070</v>
      </c>
      <c r="B120" s="44" t="s">
        <v>300</v>
      </c>
      <c r="C120" s="83">
        <v>1450</v>
      </c>
      <c r="D120" s="44" t="s">
        <v>301</v>
      </c>
      <c r="E120" s="44" t="s">
        <v>49</v>
      </c>
      <c r="F120" s="44"/>
      <c r="G120" s="44"/>
      <c r="H120" s="44" t="s">
        <v>302</v>
      </c>
      <c r="I120" s="44" t="s">
        <v>148</v>
      </c>
    </row>
    <row r="121" spans="1:9" ht="15.75" customHeight="1">
      <c r="A121" s="84">
        <v>46073</v>
      </c>
      <c r="B121" s="45" t="s">
        <v>183</v>
      </c>
      <c r="C121" s="85">
        <v>1200</v>
      </c>
      <c r="D121" s="45" t="s">
        <v>162</v>
      </c>
      <c r="E121" s="45" t="s">
        <v>49</v>
      </c>
      <c r="F121" s="46"/>
      <c r="G121" s="46"/>
      <c r="H121" s="46" t="s">
        <v>303</v>
      </c>
      <c r="I121" s="45" t="s">
        <v>148</v>
      </c>
    </row>
    <row r="122" spans="1:9" ht="13.5" customHeight="1">
      <c r="A122" s="82">
        <v>46074</v>
      </c>
      <c r="B122" s="44" t="s">
        <v>304</v>
      </c>
      <c r="C122" s="83">
        <v>1200</v>
      </c>
      <c r="D122" s="44" t="s">
        <v>162</v>
      </c>
      <c r="E122" s="44" t="s">
        <v>49</v>
      </c>
      <c r="F122" s="44"/>
      <c r="G122" s="44"/>
      <c r="H122" s="44" t="s">
        <v>305</v>
      </c>
      <c r="I122" s="44" t="s">
        <v>148</v>
      </c>
    </row>
    <row r="123" spans="1:9" ht="15.75" customHeight="1">
      <c r="A123" s="84">
        <v>46075</v>
      </c>
      <c r="B123" s="45" t="s">
        <v>306</v>
      </c>
      <c r="C123" s="85">
        <v>1380</v>
      </c>
      <c r="D123" s="45" t="s">
        <v>162</v>
      </c>
      <c r="E123" s="45" t="s">
        <v>49</v>
      </c>
      <c r="F123" s="46"/>
      <c r="G123" s="46"/>
      <c r="H123" s="46" t="s">
        <v>203</v>
      </c>
      <c r="I123" s="45" t="s">
        <v>148</v>
      </c>
    </row>
    <row r="124" spans="1:9" ht="13.5"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customHeight="1">
      <c r="A126" s="82">
        <v>46079</v>
      </c>
      <c r="B126" s="44" t="s">
        <v>310</v>
      </c>
      <c r="C126" s="83">
        <v>500</v>
      </c>
      <c r="D126" s="44" t="s">
        <v>162</v>
      </c>
      <c r="E126" s="44" t="s">
        <v>49</v>
      </c>
      <c r="F126" s="44"/>
      <c r="G126" s="44"/>
      <c r="H126" s="44" t="s">
        <v>311</v>
      </c>
      <c r="I126" s="44" t="s">
        <v>148</v>
      </c>
    </row>
    <row r="127" spans="1:9" ht="13.5" customHeight="1">
      <c r="A127" s="84">
        <v>46090</v>
      </c>
      <c r="B127" s="45" t="s">
        <v>312</v>
      </c>
      <c r="C127" s="85">
        <v>850</v>
      </c>
      <c r="D127" s="45" t="s">
        <v>162</v>
      </c>
      <c r="E127" s="45" t="s">
        <v>49</v>
      </c>
      <c r="F127" s="46"/>
      <c r="G127" s="46"/>
      <c r="H127" s="45" t="s">
        <v>313</v>
      </c>
      <c r="I127" s="45" t="s">
        <v>148</v>
      </c>
    </row>
    <row r="128" spans="1:9" ht="13.5" customHeight="1">
      <c r="A128" s="82">
        <v>46090</v>
      </c>
      <c r="B128" s="44" t="s">
        <v>314</v>
      </c>
      <c r="C128" s="83">
        <v>1100</v>
      </c>
      <c r="D128" s="44" t="s">
        <v>162</v>
      </c>
      <c r="E128" s="44" t="s">
        <v>49</v>
      </c>
      <c r="F128" s="44"/>
      <c r="G128" s="44"/>
      <c r="H128" s="44" t="s">
        <v>315</v>
      </c>
      <c r="I128" s="44" t="s">
        <v>148</v>
      </c>
    </row>
    <row r="129" spans="1:9" ht="13.5" customHeight="1">
      <c r="A129" s="82">
        <v>46090</v>
      </c>
      <c r="B129" s="44" t="s">
        <v>316</v>
      </c>
      <c r="C129" s="83">
        <v>800</v>
      </c>
      <c r="D129" s="44" t="s">
        <v>162</v>
      </c>
      <c r="E129" s="44" t="s">
        <v>49</v>
      </c>
      <c r="F129" s="44"/>
      <c r="G129" s="44"/>
      <c r="H129" s="44" t="s">
        <v>317</v>
      </c>
      <c r="I129" s="44" t="s">
        <v>148</v>
      </c>
    </row>
    <row r="130" spans="1:9" ht="15.75" customHeight="1">
      <c r="A130" s="84">
        <v>46091</v>
      </c>
      <c r="B130" s="45" t="s">
        <v>318</v>
      </c>
      <c r="C130" s="85">
        <v>1099</v>
      </c>
      <c r="D130" s="45" t="s">
        <v>162</v>
      </c>
      <c r="E130" s="45" t="s">
        <v>49</v>
      </c>
      <c r="F130" s="46"/>
      <c r="G130" s="46"/>
      <c r="H130" s="46" t="s">
        <v>319</v>
      </c>
      <c r="I130" s="45" t="s">
        <v>148</v>
      </c>
    </row>
    <row r="131" spans="1:9" ht="13.5" customHeight="1">
      <c r="A131" s="82">
        <v>46092</v>
      </c>
      <c r="B131" s="44" t="s">
        <v>307</v>
      </c>
      <c r="C131" s="83">
        <v>1200</v>
      </c>
      <c r="D131" s="44" t="s">
        <v>162</v>
      </c>
      <c r="E131" s="44" t="s">
        <v>49</v>
      </c>
      <c r="F131" s="44"/>
      <c r="G131" s="44"/>
      <c r="H131" s="44" t="s">
        <v>320</v>
      </c>
      <c r="I131" s="44" t="s">
        <v>148</v>
      </c>
    </row>
    <row r="132" spans="1:9" ht="15.75" customHeight="1">
      <c r="A132" s="84">
        <v>46092</v>
      </c>
      <c r="B132" s="45" t="s">
        <v>321</v>
      </c>
      <c r="C132" s="85">
        <v>1099</v>
      </c>
      <c r="D132" s="45" t="s">
        <v>162</v>
      </c>
      <c r="E132" s="45" t="s">
        <v>49</v>
      </c>
      <c r="F132" s="46"/>
      <c r="G132" s="46"/>
      <c r="H132" s="46" t="s">
        <v>322</v>
      </c>
      <c r="I132" s="45" t="s">
        <v>148</v>
      </c>
    </row>
    <row r="133" spans="1:9" ht="27.75" customHeight="1">
      <c r="A133" s="82">
        <v>46093</v>
      </c>
      <c r="B133" s="44" t="s">
        <v>215</v>
      </c>
      <c r="C133" s="83">
        <v>550</v>
      </c>
      <c r="D133" s="44" t="s">
        <v>162</v>
      </c>
      <c r="E133" s="44" t="s">
        <v>49</v>
      </c>
      <c r="F133" s="44"/>
      <c r="G133" s="44"/>
      <c r="H133" s="44" t="s">
        <v>323</v>
      </c>
      <c r="I133" s="44" t="s">
        <v>148</v>
      </c>
    </row>
    <row r="134" spans="1:9" ht="15.75" customHeight="1">
      <c r="A134" s="84">
        <v>46093</v>
      </c>
      <c r="B134" s="45" t="s">
        <v>201</v>
      </c>
      <c r="C134" s="85">
        <v>650</v>
      </c>
      <c r="D134" s="45" t="s">
        <v>162</v>
      </c>
      <c r="E134" s="45" t="s">
        <v>49</v>
      </c>
      <c r="F134" s="46"/>
      <c r="G134" s="46"/>
      <c r="H134" s="46" t="s">
        <v>324</v>
      </c>
      <c r="I134" s="45" t="s">
        <v>148</v>
      </c>
    </row>
    <row r="135" spans="1:9" ht="13.5" customHeight="1">
      <c r="A135" s="82">
        <v>46097</v>
      </c>
      <c r="B135" s="44" t="s">
        <v>325</v>
      </c>
      <c r="C135" s="83">
        <v>1550</v>
      </c>
      <c r="D135" s="44" t="s">
        <v>162</v>
      </c>
      <c r="E135" s="44" t="s">
        <v>49</v>
      </c>
      <c r="F135" s="44"/>
      <c r="G135" s="44"/>
      <c r="H135" s="44" t="s">
        <v>326</v>
      </c>
      <c r="I135" s="44" t="s">
        <v>148</v>
      </c>
    </row>
    <row r="136" spans="1:9" ht="15.75" customHeight="1">
      <c r="A136" s="84">
        <v>46097</v>
      </c>
      <c r="B136" s="45" t="s">
        <v>327</v>
      </c>
      <c r="C136" s="85">
        <v>850</v>
      </c>
      <c r="D136" s="45" t="s">
        <v>162</v>
      </c>
      <c r="E136" s="45" t="s">
        <v>49</v>
      </c>
      <c r="F136" s="46"/>
      <c r="G136" s="46"/>
      <c r="H136" s="46" t="s">
        <v>328</v>
      </c>
      <c r="I136" s="45" t="s">
        <v>148</v>
      </c>
    </row>
    <row r="137" spans="1:9" ht="13.5" customHeight="1">
      <c r="A137" s="82">
        <v>46100</v>
      </c>
      <c r="B137" s="44" t="s">
        <v>329</v>
      </c>
      <c r="C137" s="83">
        <v>1200</v>
      </c>
      <c r="D137" s="44" t="s">
        <v>162</v>
      </c>
      <c r="E137" s="44" t="s">
        <v>49</v>
      </c>
      <c r="F137" s="44"/>
      <c r="G137" s="44"/>
      <c r="H137" s="44" t="s">
        <v>114</v>
      </c>
      <c r="I137" s="44" t="s">
        <v>148</v>
      </c>
    </row>
    <row r="138" spans="1:9" ht="15.75" customHeight="1">
      <c r="A138" s="84">
        <v>46104</v>
      </c>
      <c r="B138" s="45" t="s">
        <v>226</v>
      </c>
      <c r="C138" s="85">
        <v>1800</v>
      </c>
      <c r="D138" s="45" t="s">
        <v>150</v>
      </c>
      <c r="E138" s="45" t="s">
        <v>50</v>
      </c>
      <c r="F138" s="46"/>
      <c r="G138" s="46"/>
      <c r="H138" s="46" t="s">
        <v>330</v>
      </c>
      <c r="I138" s="45" t="s">
        <v>148</v>
      </c>
    </row>
    <row r="139" spans="1:9" ht="27.75" customHeight="1">
      <c r="A139" s="82">
        <v>46105</v>
      </c>
      <c r="B139" s="44" t="s">
        <v>146</v>
      </c>
      <c r="C139" s="83">
        <v>3500</v>
      </c>
      <c r="D139" s="44" t="s">
        <v>162</v>
      </c>
      <c r="E139" s="44" t="s">
        <v>49</v>
      </c>
      <c r="F139" s="44"/>
      <c r="G139" s="44"/>
      <c r="H139" s="44" t="s">
        <v>331</v>
      </c>
      <c r="I139" s="44" t="s">
        <v>148</v>
      </c>
    </row>
    <row r="140" spans="1:9" ht="31.5" customHeight="1">
      <c r="A140" s="84">
        <v>46113</v>
      </c>
      <c r="B140" s="45" t="s">
        <v>332</v>
      </c>
      <c r="C140" s="85">
        <v>3000</v>
      </c>
      <c r="D140" s="45" t="s">
        <v>150</v>
      </c>
      <c r="E140" s="45" t="s">
        <v>49</v>
      </c>
      <c r="F140" s="46"/>
      <c r="G140" s="46"/>
      <c r="H140" s="46" t="s">
        <v>333</v>
      </c>
      <c r="I140" s="45" t="s">
        <v>148</v>
      </c>
    </row>
    <row r="141" spans="1:9" ht="13.5" customHeight="1">
      <c r="A141" s="82">
        <v>46118</v>
      </c>
      <c r="B141" s="44" t="s">
        <v>146</v>
      </c>
      <c r="C141" s="83">
        <v>1450</v>
      </c>
      <c r="D141" s="44" t="s">
        <v>162</v>
      </c>
      <c r="E141" s="44" t="s">
        <v>49</v>
      </c>
      <c r="F141" s="44"/>
      <c r="G141" s="44"/>
      <c r="H141" s="44" t="s">
        <v>334</v>
      </c>
      <c r="I141" s="44" t="s">
        <v>148</v>
      </c>
    </row>
    <row r="142" spans="1:9" ht="15.75" customHeight="1">
      <c r="A142" s="84">
        <v>46119</v>
      </c>
      <c r="B142" s="45" t="s">
        <v>335</v>
      </c>
      <c r="C142" s="85">
        <v>1200</v>
      </c>
      <c r="D142" s="45" t="s">
        <v>162</v>
      </c>
      <c r="E142" s="45" t="s">
        <v>49</v>
      </c>
      <c r="F142" s="46"/>
      <c r="G142" s="46"/>
      <c r="H142" s="46" t="s">
        <v>336</v>
      </c>
      <c r="I142" s="45" t="s">
        <v>148</v>
      </c>
    </row>
    <row r="143" spans="1:9" ht="13.5" customHeight="1">
      <c r="A143" s="82">
        <v>46120</v>
      </c>
      <c r="B143" s="44" t="s">
        <v>337</v>
      </c>
      <c r="C143" s="83">
        <v>1200</v>
      </c>
      <c r="D143" s="44" t="s">
        <v>162</v>
      </c>
      <c r="E143" s="44" t="s">
        <v>49</v>
      </c>
      <c r="F143" s="44"/>
      <c r="G143" s="44"/>
      <c r="H143" s="44" t="s">
        <v>338</v>
      </c>
      <c r="I143" s="44" t="s">
        <v>148</v>
      </c>
    </row>
    <row r="144" spans="1:9" ht="15.75" customHeight="1">
      <c r="A144" s="84">
        <v>46120</v>
      </c>
      <c r="B144" s="45" t="s">
        <v>339</v>
      </c>
      <c r="C144" s="85">
        <v>1500</v>
      </c>
      <c r="D144" s="45" t="s">
        <v>162</v>
      </c>
      <c r="E144" s="45" t="s">
        <v>49</v>
      </c>
      <c r="F144" s="46"/>
      <c r="G144" s="46"/>
      <c r="H144" s="46" t="s">
        <v>340</v>
      </c>
      <c r="I144" s="45" t="s">
        <v>148</v>
      </c>
    </row>
    <row r="145" spans="1:9" ht="13.5" customHeight="1">
      <c r="A145" s="82">
        <v>46120</v>
      </c>
      <c r="B145" s="44" t="s">
        <v>49</v>
      </c>
      <c r="C145" s="83">
        <v>730</v>
      </c>
      <c r="D145" s="44" t="s">
        <v>150</v>
      </c>
      <c r="E145" s="44" t="s">
        <v>49</v>
      </c>
      <c r="F145" s="44"/>
      <c r="G145" s="44"/>
      <c r="H145" s="44" t="s">
        <v>341</v>
      </c>
      <c r="I145" s="44" t="s">
        <v>148</v>
      </c>
    </row>
    <row r="146" spans="1:9" ht="31.5" customHeight="1">
      <c r="A146" s="84">
        <v>46122</v>
      </c>
      <c r="B146" s="45" t="s">
        <v>307</v>
      </c>
      <c r="C146" s="85">
        <v>950</v>
      </c>
      <c r="D146" s="45" t="s">
        <v>162</v>
      </c>
      <c r="E146" s="45" t="s">
        <v>49</v>
      </c>
      <c r="F146" s="46"/>
      <c r="G146" s="46"/>
      <c r="H146" s="46" t="s">
        <v>342</v>
      </c>
      <c r="I146" s="45" t="s">
        <v>148</v>
      </c>
    </row>
    <row r="147" spans="1:9" ht="13.5" customHeight="1">
      <c r="A147" s="82">
        <v>46122</v>
      </c>
      <c r="B147" s="44" t="s">
        <v>343</v>
      </c>
      <c r="C147" s="83">
        <v>650</v>
      </c>
      <c r="D147" s="44" t="s">
        <v>162</v>
      </c>
      <c r="E147" s="44" t="s">
        <v>49</v>
      </c>
      <c r="F147" s="44"/>
      <c r="G147" s="44"/>
      <c r="H147" s="44" t="s">
        <v>344</v>
      </c>
      <c r="I147" s="44" t="s">
        <v>148</v>
      </c>
    </row>
    <row r="148" spans="1:9" ht="15.75"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customHeight="1">
      <c r="A150" s="84">
        <v>46125</v>
      </c>
      <c r="B150" s="45" t="s">
        <v>218</v>
      </c>
      <c r="C150" s="85">
        <v>1100</v>
      </c>
      <c r="D150" s="45" t="s">
        <v>162</v>
      </c>
      <c r="E150" s="45" t="s">
        <v>49</v>
      </c>
      <c r="F150" s="46"/>
      <c r="G150" s="46"/>
      <c r="H150" s="46" t="s">
        <v>348</v>
      </c>
      <c r="I150" s="45" t="s">
        <v>148</v>
      </c>
    </row>
    <row r="151" spans="1:9" ht="13.5" customHeight="1">
      <c r="A151" s="82">
        <v>46125</v>
      </c>
      <c r="B151" s="44" t="s">
        <v>349</v>
      </c>
      <c r="C151" s="83">
        <v>1200</v>
      </c>
      <c r="D151" s="44" t="s">
        <v>162</v>
      </c>
      <c r="E151" s="44" t="s">
        <v>49</v>
      </c>
      <c r="F151" s="44"/>
      <c r="G151" s="44"/>
      <c r="H151" s="44" t="s">
        <v>350</v>
      </c>
      <c r="I151" s="44" t="s">
        <v>148</v>
      </c>
    </row>
    <row r="152" spans="1:9" ht="15.75" customHeight="1">
      <c r="A152" s="84">
        <v>46125</v>
      </c>
      <c r="B152" s="45" t="s">
        <v>173</v>
      </c>
      <c r="C152" s="85">
        <v>980</v>
      </c>
      <c r="D152" s="45" t="s">
        <v>162</v>
      </c>
      <c r="E152" s="45" t="s">
        <v>49</v>
      </c>
      <c r="F152" s="46"/>
      <c r="G152" s="46"/>
      <c r="H152" s="46" t="s">
        <v>341</v>
      </c>
      <c r="I152" s="45" t="s">
        <v>148</v>
      </c>
    </row>
    <row r="153" spans="1:9" ht="13.5" customHeight="1">
      <c r="A153" s="82">
        <v>46125</v>
      </c>
      <c r="B153" s="44" t="s">
        <v>186</v>
      </c>
      <c r="C153" s="83">
        <v>980</v>
      </c>
      <c r="D153" s="44" t="s">
        <v>162</v>
      </c>
      <c r="E153" s="44" t="s">
        <v>49</v>
      </c>
      <c r="F153" s="44"/>
      <c r="G153" s="44"/>
      <c r="H153" s="44" t="s">
        <v>341</v>
      </c>
      <c r="I153" s="44" t="s">
        <v>148</v>
      </c>
    </row>
    <row r="154" spans="1:9" ht="15.75" customHeight="1">
      <c r="A154" s="84">
        <v>46126</v>
      </c>
      <c r="B154" s="45" t="s">
        <v>199</v>
      </c>
      <c r="C154" s="85">
        <v>2000</v>
      </c>
      <c r="D154" s="45" t="s">
        <v>150</v>
      </c>
      <c r="E154" s="45" t="s">
        <v>49</v>
      </c>
      <c r="F154" s="46"/>
      <c r="G154" s="46"/>
      <c r="H154" s="46" t="s">
        <v>351</v>
      </c>
      <c r="I154" s="45" t="s">
        <v>148</v>
      </c>
    </row>
    <row r="155" spans="1:9" ht="13.5" customHeight="1">
      <c r="A155" s="82">
        <v>46127</v>
      </c>
      <c r="B155" s="44" t="s">
        <v>352</v>
      </c>
      <c r="C155" s="83">
        <v>1299</v>
      </c>
      <c r="D155" s="44" t="s">
        <v>162</v>
      </c>
      <c r="E155" s="44" t="s">
        <v>49</v>
      </c>
      <c r="F155" s="44"/>
      <c r="G155" s="44"/>
      <c r="H155" s="44" t="s">
        <v>353</v>
      </c>
      <c r="I155" s="44" t="s">
        <v>148</v>
      </c>
    </row>
    <row r="156" spans="1:9" ht="15.75" customHeight="1">
      <c r="A156" s="84">
        <v>46129</v>
      </c>
      <c r="B156" s="45" t="s">
        <v>354</v>
      </c>
      <c r="C156" s="85">
        <v>980</v>
      </c>
      <c r="D156" s="45" t="s">
        <v>162</v>
      </c>
      <c r="E156" s="45" t="s">
        <v>49</v>
      </c>
      <c r="F156" s="46"/>
      <c r="G156" s="46"/>
      <c r="H156" s="46" t="s">
        <v>341</v>
      </c>
      <c r="I156" s="45" t="s">
        <v>148</v>
      </c>
    </row>
    <row r="157" spans="1:9" ht="13.5" customHeight="1">
      <c r="A157" s="82">
        <v>46129</v>
      </c>
      <c r="B157" s="44" t="s">
        <v>355</v>
      </c>
      <c r="C157" s="83">
        <v>980</v>
      </c>
      <c r="D157" s="44" t="s">
        <v>162</v>
      </c>
      <c r="E157" s="44" t="s">
        <v>49</v>
      </c>
      <c r="F157" s="44"/>
      <c r="G157" s="44"/>
      <c r="H157" s="44" t="s">
        <v>341</v>
      </c>
      <c r="I157" s="44" t="s">
        <v>148</v>
      </c>
    </row>
    <row r="158" spans="1:9" ht="15.75" customHeight="1">
      <c r="A158" s="84">
        <v>46129</v>
      </c>
      <c r="B158" s="45" t="s">
        <v>187</v>
      </c>
      <c r="C158" s="85">
        <v>980</v>
      </c>
      <c r="D158" s="45" t="s">
        <v>301</v>
      </c>
      <c r="E158" s="45" t="s">
        <v>49</v>
      </c>
      <c r="F158" s="46"/>
      <c r="G158" s="46"/>
      <c r="H158" s="46" t="s">
        <v>341</v>
      </c>
      <c r="I158" s="45" t="s">
        <v>148</v>
      </c>
    </row>
    <row r="159" spans="1:9" ht="13.5" customHeight="1">
      <c r="A159" s="82">
        <v>46130</v>
      </c>
      <c r="B159" s="44" t="s">
        <v>357</v>
      </c>
      <c r="C159" s="83">
        <v>1280</v>
      </c>
      <c r="D159" s="44" t="s">
        <v>162</v>
      </c>
      <c r="E159" s="44" t="s">
        <v>49</v>
      </c>
      <c r="F159" s="44"/>
      <c r="G159" s="44"/>
      <c r="H159" s="44" t="s">
        <v>358</v>
      </c>
      <c r="I159" s="44" t="s">
        <v>148</v>
      </c>
    </row>
    <row r="160" spans="1:9" ht="15.75" customHeight="1">
      <c r="A160" s="84">
        <v>46131</v>
      </c>
      <c r="B160" s="45" t="s">
        <v>359</v>
      </c>
      <c r="C160" s="85">
        <v>1000</v>
      </c>
      <c r="D160" s="45" t="s">
        <v>162</v>
      </c>
      <c r="E160" s="45" t="s">
        <v>49</v>
      </c>
      <c r="F160" s="46"/>
      <c r="G160" s="46"/>
      <c r="H160" s="46" t="s">
        <v>360</v>
      </c>
      <c r="I160" s="45" t="s">
        <v>148</v>
      </c>
    </row>
    <row r="161" spans="1:9" ht="13.5" customHeight="1">
      <c r="A161" s="82">
        <v>46132</v>
      </c>
      <c r="B161" s="44" t="s">
        <v>361</v>
      </c>
      <c r="C161" s="83">
        <v>1100</v>
      </c>
      <c r="D161" s="44" t="s">
        <v>162</v>
      </c>
      <c r="E161" s="44" t="s">
        <v>49</v>
      </c>
      <c r="F161" s="44"/>
      <c r="G161" s="44"/>
      <c r="H161" s="44" t="s">
        <v>362</v>
      </c>
      <c r="I161" s="44" t="s">
        <v>148</v>
      </c>
    </row>
    <row r="162" spans="1:9" ht="42" customHeight="1">
      <c r="A162" s="84">
        <v>46132</v>
      </c>
      <c r="B162" s="45" t="s">
        <v>161</v>
      </c>
      <c r="C162" s="85">
        <v>5880</v>
      </c>
      <c r="D162" s="45" t="s">
        <v>162</v>
      </c>
      <c r="E162" s="45" t="s">
        <v>49</v>
      </c>
      <c r="F162" s="46"/>
      <c r="G162" s="46"/>
      <c r="H162" s="46" t="s">
        <v>363</v>
      </c>
      <c r="I162" s="45" t="s">
        <v>148</v>
      </c>
    </row>
    <row r="163" spans="1:9" ht="13.5" customHeight="1">
      <c r="A163" s="82">
        <v>46133</v>
      </c>
      <c r="B163" s="44" t="s">
        <v>364</v>
      </c>
      <c r="C163" s="83">
        <v>1350</v>
      </c>
      <c r="D163" s="44" t="s">
        <v>162</v>
      </c>
      <c r="E163" s="44" t="s">
        <v>49</v>
      </c>
      <c r="F163" s="44"/>
      <c r="G163" s="44"/>
      <c r="H163" s="44" t="s">
        <v>365</v>
      </c>
      <c r="I163" s="44" t="s">
        <v>148</v>
      </c>
    </row>
    <row r="164" spans="1:9" ht="13.5" customHeight="1">
      <c r="A164" s="84">
        <v>46133</v>
      </c>
      <c r="B164" s="45" t="s">
        <v>215</v>
      </c>
      <c r="C164" s="85">
        <v>1000</v>
      </c>
      <c r="D164" s="45" t="s">
        <v>162</v>
      </c>
      <c r="E164" s="45" t="s">
        <v>49</v>
      </c>
      <c r="F164" s="46"/>
      <c r="G164" s="46"/>
      <c r="H164" s="46" t="s">
        <v>366</v>
      </c>
      <c r="I164" s="45" t="s">
        <v>148</v>
      </c>
    </row>
    <row r="165" spans="1:9" ht="13.5" customHeight="1">
      <c r="A165" s="82">
        <v>46133</v>
      </c>
      <c r="B165" s="44" t="s">
        <v>164</v>
      </c>
      <c r="C165" s="83">
        <v>1200</v>
      </c>
      <c r="D165" s="44" t="s">
        <v>162</v>
      </c>
      <c r="E165" s="44" t="s">
        <v>49</v>
      </c>
      <c r="F165" s="44"/>
      <c r="G165" s="44"/>
      <c r="H165" s="44" t="s">
        <v>367</v>
      </c>
      <c r="I165" s="44" t="s">
        <v>148</v>
      </c>
    </row>
    <row r="166" spans="1:9" ht="13.5" customHeight="1">
      <c r="A166" s="84">
        <v>46134</v>
      </c>
      <c r="B166" s="45" t="s">
        <v>368</v>
      </c>
      <c r="C166" s="85">
        <v>1280</v>
      </c>
      <c r="D166" s="45" t="s">
        <v>162</v>
      </c>
      <c r="E166" s="45" t="s">
        <v>49</v>
      </c>
      <c r="F166" s="46"/>
      <c r="G166" s="46"/>
      <c r="H166" s="46" t="s">
        <v>369</v>
      </c>
      <c r="I166" s="45" t="s">
        <v>148</v>
      </c>
    </row>
    <row r="167" spans="1:9" ht="13.5" customHeight="1">
      <c r="A167" s="82">
        <v>46134</v>
      </c>
      <c r="B167" s="44" t="s">
        <v>191</v>
      </c>
      <c r="C167" s="83">
        <v>1100</v>
      </c>
      <c r="D167" s="44" t="s">
        <v>162</v>
      </c>
      <c r="E167" s="44" t="s">
        <v>49</v>
      </c>
      <c r="F167" s="44"/>
      <c r="G167" s="44"/>
      <c r="H167" s="44" t="s">
        <v>370</v>
      </c>
      <c r="I167" s="44" t="s">
        <v>148</v>
      </c>
    </row>
    <row r="168" spans="1:9" ht="13.5" customHeight="1">
      <c r="A168" s="82">
        <v>46134</v>
      </c>
      <c r="B168" s="44" t="s">
        <v>355</v>
      </c>
      <c r="C168" s="83">
        <v>950</v>
      </c>
      <c r="D168" s="44" t="s">
        <v>162</v>
      </c>
      <c r="E168" s="44" t="s">
        <v>49</v>
      </c>
      <c r="F168" s="44"/>
      <c r="G168" s="44"/>
      <c r="H168" s="44" t="s">
        <v>371</v>
      </c>
      <c r="I168" s="44" t="s">
        <v>148</v>
      </c>
    </row>
    <row r="169" spans="1:9" ht="13.5" customHeight="1">
      <c r="A169" s="84">
        <v>46134</v>
      </c>
      <c r="B169" s="45" t="s">
        <v>177</v>
      </c>
      <c r="C169" s="85">
        <v>650</v>
      </c>
      <c r="D169" s="45" t="s">
        <v>162</v>
      </c>
      <c r="E169" s="45" t="s">
        <v>49</v>
      </c>
      <c r="F169" s="46"/>
      <c r="G169" s="46"/>
      <c r="H169" s="46" t="s">
        <v>372</v>
      </c>
      <c r="I169" s="45" t="s">
        <v>148</v>
      </c>
    </row>
    <row r="170" spans="1:9" ht="13.5" customHeight="1">
      <c r="A170" s="82">
        <v>46134</v>
      </c>
      <c r="B170" s="44" t="s">
        <v>373</v>
      </c>
      <c r="C170" s="83">
        <v>650</v>
      </c>
      <c r="D170" s="44" t="s">
        <v>162</v>
      </c>
      <c r="E170" s="44" t="s">
        <v>49</v>
      </c>
      <c r="F170" s="44"/>
      <c r="G170" s="44"/>
      <c r="H170" s="44" t="s">
        <v>374</v>
      </c>
      <c r="I170" s="44" t="s">
        <v>148</v>
      </c>
    </row>
    <row r="171" spans="1:9" ht="13.5" customHeight="1">
      <c r="A171" s="84">
        <v>46136</v>
      </c>
      <c r="B171" s="45" t="s">
        <v>214</v>
      </c>
      <c r="C171" s="85">
        <v>680</v>
      </c>
      <c r="D171" s="45" t="s">
        <v>162</v>
      </c>
      <c r="E171" s="45" t="s">
        <v>49</v>
      </c>
      <c r="F171" s="46"/>
      <c r="G171" s="46"/>
      <c r="H171" s="46" t="s">
        <v>372</v>
      </c>
      <c r="I171" s="45" t="s">
        <v>148</v>
      </c>
    </row>
    <row r="172" spans="1:9" ht="13.5" customHeight="1">
      <c r="A172" s="82">
        <v>46138</v>
      </c>
      <c r="B172" s="44" t="s">
        <v>375</v>
      </c>
      <c r="C172" s="83">
        <v>690</v>
      </c>
      <c r="D172" s="44" t="s">
        <v>162</v>
      </c>
      <c r="E172" s="44" t="s">
        <v>49</v>
      </c>
      <c r="F172" s="44"/>
      <c r="G172" s="44"/>
      <c r="H172" s="44" t="s">
        <v>376</v>
      </c>
      <c r="I172" s="44" t="s">
        <v>148</v>
      </c>
    </row>
    <row r="173" spans="1:9" ht="13.5" customHeight="1">
      <c r="A173" s="84">
        <v>46138</v>
      </c>
      <c r="B173" s="45" t="s">
        <v>377</v>
      </c>
      <c r="C173" s="85">
        <v>1099</v>
      </c>
      <c r="D173" s="45" t="s">
        <v>162</v>
      </c>
      <c r="E173" s="45" t="s">
        <v>49</v>
      </c>
      <c r="F173" s="46"/>
      <c r="G173" s="46"/>
      <c r="H173" s="46" t="s">
        <v>378</v>
      </c>
      <c r="I173" s="45" t="s">
        <v>148</v>
      </c>
    </row>
    <row r="174" spans="1:9" ht="13.5" customHeight="1">
      <c r="A174" s="82">
        <v>46139</v>
      </c>
      <c r="B174" s="44" t="s">
        <v>379</v>
      </c>
      <c r="C174" s="83">
        <v>690</v>
      </c>
      <c r="D174" s="44" t="s">
        <v>162</v>
      </c>
      <c r="E174" s="44" t="s">
        <v>49</v>
      </c>
      <c r="F174" s="44"/>
      <c r="G174" s="44"/>
      <c r="H174" s="44" t="s">
        <v>380</v>
      </c>
      <c r="I174" s="44" t="s">
        <v>148</v>
      </c>
    </row>
    <row r="175" spans="1:9" ht="13.5" customHeight="1">
      <c r="A175" s="84">
        <v>46139</v>
      </c>
      <c r="B175" s="45" t="s">
        <v>381</v>
      </c>
      <c r="C175" s="85">
        <v>690</v>
      </c>
      <c r="D175" s="45" t="s">
        <v>162</v>
      </c>
      <c r="E175" s="45" t="s">
        <v>49</v>
      </c>
      <c r="F175" s="46"/>
      <c r="G175" s="46"/>
      <c r="H175" s="46" t="s">
        <v>376</v>
      </c>
      <c r="I175" s="45" t="s">
        <v>148</v>
      </c>
    </row>
    <row r="176" spans="1:9" ht="13.5" customHeight="1">
      <c r="A176" s="82">
        <v>46139</v>
      </c>
      <c r="B176" s="44" t="s">
        <v>382</v>
      </c>
      <c r="C176" s="83">
        <v>690</v>
      </c>
      <c r="D176" s="44" t="s">
        <v>162</v>
      </c>
      <c r="E176" s="44" t="s">
        <v>49</v>
      </c>
      <c r="F176" s="44"/>
      <c r="G176" s="44"/>
      <c r="H176" s="44" t="s">
        <v>383</v>
      </c>
      <c r="I176" s="44" t="s">
        <v>148</v>
      </c>
    </row>
    <row r="177" spans="1:9" ht="13.5" customHeight="1">
      <c r="A177" s="84">
        <v>46140</v>
      </c>
      <c r="B177" s="45" t="s">
        <v>384</v>
      </c>
      <c r="C177" s="85">
        <v>1380</v>
      </c>
      <c r="D177" s="45" t="s">
        <v>162</v>
      </c>
      <c r="E177" s="45" t="s">
        <v>49</v>
      </c>
      <c r="F177" s="46"/>
      <c r="G177" s="46"/>
      <c r="H177" s="46" t="s">
        <v>385</v>
      </c>
      <c r="I177" s="45" t="s">
        <v>148</v>
      </c>
    </row>
    <row r="178" spans="1:9" ht="13.5" customHeight="1">
      <c r="A178" s="82">
        <v>46140</v>
      </c>
      <c r="B178" s="44" t="s">
        <v>186</v>
      </c>
      <c r="C178" s="83">
        <v>1480</v>
      </c>
      <c r="D178" s="44" t="s">
        <v>162</v>
      </c>
      <c r="E178" s="44" t="s">
        <v>49</v>
      </c>
      <c r="F178" s="44"/>
      <c r="G178" s="44"/>
      <c r="H178" s="44" t="s">
        <v>386</v>
      </c>
      <c r="I178" s="44" t="s">
        <v>148</v>
      </c>
    </row>
    <row r="179" spans="1:9" ht="13.5" customHeight="1">
      <c r="A179" s="84">
        <v>46140</v>
      </c>
      <c r="B179" s="45" t="s">
        <v>387</v>
      </c>
      <c r="C179" s="85">
        <v>1200</v>
      </c>
      <c r="D179" s="45" t="s">
        <v>162</v>
      </c>
      <c r="E179" s="45" t="s">
        <v>49</v>
      </c>
      <c r="F179" s="46"/>
      <c r="G179" s="46"/>
      <c r="H179" s="46" t="s">
        <v>388</v>
      </c>
      <c r="I179" s="45" t="s">
        <v>148</v>
      </c>
    </row>
    <row r="180" spans="1:9" ht="13.5" customHeight="1">
      <c r="A180" s="82">
        <v>46140</v>
      </c>
      <c r="B180" s="44" t="s">
        <v>389</v>
      </c>
      <c r="C180" s="83">
        <v>1200</v>
      </c>
      <c r="D180" s="44" t="s">
        <v>162</v>
      </c>
      <c r="E180" s="44" t="s">
        <v>49</v>
      </c>
      <c r="F180" s="44"/>
      <c r="G180" s="44"/>
      <c r="H180" s="44" t="s">
        <v>390</v>
      </c>
      <c r="I180" s="44" t="s">
        <v>148</v>
      </c>
    </row>
    <row r="181" spans="1:9" ht="13.5" customHeight="1">
      <c r="A181" s="84">
        <v>46141</v>
      </c>
      <c r="B181" s="45" t="s">
        <v>391</v>
      </c>
      <c r="C181" s="85">
        <v>1380</v>
      </c>
      <c r="D181" s="45" t="s">
        <v>162</v>
      </c>
      <c r="E181" s="45" t="s">
        <v>49</v>
      </c>
      <c r="F181" s="46"/>
      <c r="G181" s="46"/>
      <c r="H181" s="46" t="s">
        <v>392</v>
      </c>
      <c r="I181" s="45" t="s">
        <v>148</v>
      </c>
    </row>
    <row r="182" spans="1:9" ht="13.5" customHeight="1">
      <c r="A182" s="82">
        <v>46141</v>
      </c>
      <c r="B182" s="44" t="s">
        <v>393</v>
      </c>
      <c r="C182" s="83">
        <v>690</v>
      </c>
      <c r="D182" s="44" t="s">
        <v>162</v>
      </c>
      <c r="E182" s="44" t="s">
        <v>49</v>
      </c>
      <c r="F182" s="44"/>
      <c r="G182" s="44"/>
      <c r="H182" s="44" t="s">
        <v>383</v>
      </c>
      <c r="I182" s="44" t="s">
        <v>148</v>
      </c>
    </row>
    <row r="183" spans="1:9" ht="13.5" customHeight="1">
      <c r="A183" s="84">
        <v>46142</v>
      </c>
      <c r="B183" s="45" t="s">
        <v>394</v>
      </c>
      <c r="C183" s="85">
        <v>690</v>
      </c>
      <c r="D183" s="45" t="s">
        <v>162</v>
      </c>
      <c r="E183" s="45" t="s">
        <v>49</v>
      </c>
      <c r="F183" s="46"/>
      <c r="G183" s="46"/>
      <c r="H183" s="46" t="s">
        <v>395</v>
      </c>
      <c r="I183" s="45" t="s">
        <v>148</v>
      </c>
    </row>
    <row r="184" spans="1:9" ht="13.5" customHeight="1">
      <c r="A184" s="82">
        <v>46142</v>
      </c>
      <c r="B184" s="44" t="s">
        <v>396</v>
      </c>
      <c r="C184" s="83">
        <v>690</v>
      </c>
      <c r="D184" s="44" t="s">
        <v>162</v>
      </c>
      <c r="E184" s="44" t="s">
        <v>49</v>
      </c>
      <c r="F184" s="44"/>
      <c r="G184" s="44"/>
      <c r="H184" s="44" t="s">
        <v>383</v>
      </c>
      <c r="I184" s="44" t="s">
        <v>148</v>
      </c>
    </row>
    <row r="185" spans="1:9" ht="13.5" customHeight="1">
      <c r="A185" s="84">
        <v>46142</v>
      </c>
      <c r="B185" s="45" t="s">
        <v>397</v>
      </c>
      <c r="C185" s="85">
        <v>609</v>
      </c>
      <c r="D185" s="45" t="s">
        <v>162</v>
      </c>
      <c r="E185" s="45" t="s">
        <v>49</v>
      </c>
      <c r="F185" s="46"/>
      <c r="G185" s="46"/>
      <c r="H185" s="46" t="s">
        <v>398</v>
      </c>
      <c r="I185" s="45" t="s">
        <v>148</v>
      </c>
    </row>
    <row r="186" spans="1:9" ht="13.5"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customHeight="1">
      <c r="A188" s="84">
        <v>46145</v>
      </c>
      <c r="B188" s="45" t="s">
        <v>403</v>
      </c>
      <c r="C188" s="85">
        <v>1200</v>
      </c>
      <c r="D188" s="45" t="s">
        <v>162</v>
      </c>
      <c r="E188" s="45" t="s">
        <v>49</v>
      </c>
      <c r="F188" s="46"/>
      <c r="G188" s="46"/>
      <c r="H188" s="46" t="s">
        <v>404</v>
      </c>
      <c r="I188" s="45" t="s">
        <v>148</v>
      </c>
    </row>
    <row r="189" spans="1:9" ht="13.5" customHeight="1">
      <c r="A189" s="82">
        <v>46145</v>
      </c>
      <c r="B189" s="44" t="s">
        <v>405</v>
      </c>
      <c r="C189" s="83">
        <v>1200</v>
      </c>
      <c r="D189" s="44" t="s">
        <v>162</v>
      </c>
      <c r="E189" s="44" t="s">
        <v>49</v>
      </c>
      <c r="F189" s="44"/>
      <c r="G189" s="44"/>
      <c r="H189" s="44" t="s">
        <v>406</v>
      </c>
      <c r="I189" s="44" t="s">
        <v>148</v>
      </c>
    </row>
    <row r="190" spans="1:9" ht="13.5" customHeight="1">
      <c r="A190" s="84">
        <v>46145</v>
      </c>
      <c r="B190" s="45" t="s">
        <v>161</v>
      </c>
      <c r="C190" s="85">
        <v>600</v>
      </c>
      <c r="D190" s="45" t="s">
        <v>162</v>
      </c>
      <c r="E190" s="45" t="s">
        <v>49</v>
      </c>
      <c r="F190" s="46"/>
      <c r="G190" s="46"/>
      <c r="H190" s="46" t="s">
        <v>407</v>
      </c>
      <c r="I190" s="45" t="s">
        <v>148</v>
      </c>
    </row>
    <row r="191" spans="1:9" ht="42" customHeight="1">
      <c r="A191" s="82">
        <v>46151</v>
      </c>
      <c r="B191" s="44" t="s">
        <v>408</v>
      </c>
      <c r="C191" s="83">
        <v>5600</v>
      </c>
      <c r="D191" s="44" t="s">
        <v>150</v>
      </c>
      <c r="E191" s="44" t="s">
        <v>50</v>
      </c>
      <c r="F191" s="44"/>
      <c r="G191" s="44"/>
      <c r="H191" s="44" t="s">
        <v>409</v>
      </c>
      <c r="I191" s="44" t="s">
        <v>148</v>
      </c>
    </row>
    <row r="192" spans="1:9" ht="27.75" customHeight="1">
      <c r="A192" s="84">
        <v>46152</v>
      </c>
      <c r="B192" s="45" t="s">
        <v>410</v>
      </c>
      <c r="C192" s="85">
        <v>5600</v>
      </c>
      <c r="D192" s="45" t="s">
        <v>150</v>
      </c>
      <c r="E192" s="45" t="s">
        <v>50</v>
      </c>
      <c r="F192" s="46"/>
      <c r="G192" s="46"/>
      <c r="H192" s="46" t="s">
        <v>411</v>
      </c>
      <c r="I192" s="45" t="s">
        <v>148</v>
      </c>
    </row>
    <row r="193" spans="1:9" ht="42" customHeight="1">
      <c r="A193" s="82">
        <v>46152</v>
      </c>
      <c r="B193" s="44" t="s">
        <v>412</v>
      </c>
      <c r="C193" s="83">
        <v>5600</v>
      </c>
      <c r="D193" s="44" t="s">
        <v>150</v>
      </c>
      <c r="E193" s="44" t="s">
        <v>50</v>
      </c>
      <c r="F193" s="44"/>
      <c r="G193" s="44"/>
      <c r="H193" s="44" t="s">
        <v>413</v>
      </c>
      <c r="I193" s="44" t="s">
        <v>148</v>
      </c>
    </row>
    <row r="194" spans="1:9" ht="27.75" customHeight="1">
      <c r="A194" s="84">
        <v>46151</v>
      </c>
      <c r="B194" s="45" t="s">
        <v>414</v>
      </c>
      <c r="C194" s="85">
        <v>3100</v>
      </c>
      <c r="D194" s="45" t="s">
        <v>162</v>
      </c>
      <c r="E194" s="45" t="s">
        <v>49</v>
      </c>
      <c r="F194" s="46"/>
      <c r="G194" s="46"/>
      <c r="H194" s="46" t="s">
        <v>415</v>
      </c>
      <c r="I194" s="45" t="s">
        <v>148</v>
      </c>
    </row>
    <row r="195" spans="1:9" ht="42" customHeight="1">
      <c r="A195" s="82">
        <v>46155</v>
      </c>
      <c r="B195" s="44" t="s">
        <v>416</v>
      </c>
      <c r="C195" s="83">
        <v>5400</v>
      </c>
      <c r="D195" s="44" t="s">
        <v>150</v>
      </c>
      <c r="E195" s="44" t="s">
        <v>50</v>
      </c>
      <c r="F195" s="44"/>
      <c r="G195" s="44"/>
      <c r="H195" s="44" t="s">
        <v>417</v>
      </c>
      <c r="I195" s="44" t="s">
        <v>148</v>
      </c>
    </row>
    <row r="196" spans="1:9" ht="42" customHeight="1">
      <c r="A196" s="84">
        <v>46155</v>
      </c>
      <c r="B196" s="45" t="s">
        <v>418</v>
      </c>
      <c r="C196" s="85">
        <v>5750</v>
      </c>
      <c r="D196" s="45" t="s">
        <v>150</v>
      </c>
      <c r="E196" s="45" t="s">
        <v>50</v>
      </c>
      <c r="F196" s="46"/>
      <c r="G196" s="46"/>
      <c r="H196" s="46" t="s">
        <v>419</v>
      </c>
      <c r="I196" s="45" t="s">
        <v>148</v>
      </c>
    </row>
    <row r="197" spans="1:9" ht="42" customHeight="1">
      <c r="A197" s="82">
        <v>46155</v>
      </c>
      <c r="B197" s="44" t="s">
        <v>183</v>
      </c>
      <c r="C197" s="83">
        <v>4000</v>
      </c>
      <c r="D197" s="44" t="s">
        <v>150</v>
      </c>
      <c r="E197" s="44" t="s">
        <v>50</v>
      </c>
      <c r="F197" s="44"/>
      <c r="G197" s="44"/>
      <c r="H197" s="44" t="s">
        <v>420</v>
      </c>
      <c r="I197" s="44" t="s">
        <v>148</v>
      </c>
    </row>
    <row r="198" spans="1:9" ht="42" customHeight="1">
      <c r="A198" s="84">
        <v>46168</v>
      </c>
      <c r="B198" s="45" t="s">
        <v>421</v>
      </c>
      <c r="C198" s="85">
        <v>5200</v>
      </c>
      <c r="D198" s="45" t="s">
        <v>150</v>
      </c>
      <c r="E198" s="45" t="s">
        <v>50</v>
      </c>
      <c r="F198" s="46"/>
      <c r="G198" s="46"/>
      <c r="H198" s="46" t="s">
        <v>422</v>
      </c>
      <c r="I198" s="45" t="s">
        <v>148</v>
      </c>
    </row>
    <row r="199" spans="1:9" ht="13.5" customHeight="1">
      <c r="A199" s="82">
        <v>46172</v>
      </c>
      <c r="B199" s="44" t="s">
        <v>423</v>
      </c>
      <c r="C199" s="83">
        <v>1425</v>
      </c>
      <c r="D199" s="44" t="s">
        <v>150</v>
      </c>
      <c r="E199" s="44" t="s">
        <v>50</v>
      </c>
      <c r="F199" s="44"/>
      <c r="G199" s="44"/>
      <c r="H199" s="44" t="s">
        <v>424</v>
      </c>
      <c r="I199" s="44" t="s">
        <v>148</v>
      </c>
    </row>
    <row r="200" spans="1:9" ht="27.75" customHeight="1">
      <c r="A200" s="84">
        <v>46173</v>
      </c>
      <c r="B200" s="45" t="s">
        <v>425</v>
      </c>
      <c r="C200" s="85">
        <v>2850</v>
      </c>
      <c r="D200" s="45" t="s">
        <v>150</v>
      </c>
      <c r="E200" s="45" t="s">
        <v>50</v>
      </c>
      <c r="F200" s="46"/>
      <c r="G200" s="46"/>
      <c r="H200" s="46" t="s">
        <v>426</v>
      </c>
      <c r="I200" s="45" t="s">
        <v>148</v>
      </c>
    </row>
    <row r="201" spans="1:9" ht="27.75" customHeight="1">
      <c r="A201" s="82">
        <v>46173</v>
      </c>
      <c r="B201" s="44" t="s">
        <v>427</v>
      </c>
      <c r="C201" s="83">
        <v>3850</v>
      </c>
      <c r="D201" s="44" t="s">
        <v>150</v>
      </c>
      <c r="E201" s="44" t="s">
        <v>50</v>
      </c>
      <c r="F201" s="44"/>
      <c r="G201" s="44"/>
      <c r="H201" s="44" t="s">
        <v>428</v>
      </c>
      <c r="I201" s="44" t="s">
        <v>148</v>
      </c>
    </row>
    <row r="202" spans="1:9" ht="13.5"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930</v>
      </c>
      <c r="D203" s="44" t="s">
        <v>150</v>
      </c>
      <c r="E203" s="44" t="s">
        <v>50</v>
      </c>
      <c r="F203" s="44"/>
      <c r="G203" s="44"/>
      <c r="H203" s="44" t="s">
        <v>432</v>
      </c>
      <c r="I203" s="44" t="s">
        <v>356</v>
      </c>
    </row>
    <row r="204" spans="1:9" ht="13.5" customHeight="1">
      <c r="A204" s="84">
        <v>46175</v>
      </c>
      <c r="B204" s="45" t="s">
        <v>433</v>
      </c>
      <c r="C204" s="85">
        <v>699</v>
      </c>
      <c r="D204" s="45" t="s">
        <v>162</v>
      </c>
      <c r="E204" s="45" t="s">
        <v>49</v>
      </c>
      <c r="F204" s="46"/>
      <c r="G204" s="46"/>
      <c r="H204" s="46" t="s">
        <v>432</v>
      </c>
      <c r="I204" s="45" t="s">
        <v>148</v>
      </c>
    </row>
    <row r="205" spans="1:9" ht="13.5" customHeight="1">
      <c r="A205" s="82">
        <v>46175</v>
      </c>
      <c r="B205" s="44" t="s">
        <v>434</v>
      </c>
      <c r="C205" s="83">
        <v>700</v>
      </c>
      <c r="D205" s="44" t="s">
        <v>162</v>
      </c>
      <c r="E205" s="44" t="s">
        <v>49</v>
      </c>
      <c r="F205" s="44"/>
      <c r="G205" s="44"/>
      <c r="H205" s="44" t="s">
        <v>435</v>
      </c>
      <c r="I205" s="44" t="s">
        <v>148</v>
      </c>
    </row>
    <row r="206" spans="1:9" ht="13.5" customHeight="1">
      <c r="A206" s="84">
        <v>46175</v>
      </c>
      <c r="B206" s="45" t="s">
        <v>436</v>
      </c>
      <c r="C206" s="85">
        <v>1350</v>
      </c>
      <c r="D206" s="45" t="s">
        <v>162</v>
      </c>
      <c r="E206" s="45" t="s">
        <v>49</v>
      </c>
      <c r="F206" s="46"/>
      <c r="G206" s="46"/>
      <c r="H206" s="44" t="s">
        <v>437</v>
      </c>
      <c r="I206" s="45" t="s">
        <v>148</v>
      </c>
    </row>
    <row r="207" spans="1:9" ht="13.5" customHeight="1">
      <c r="A207" s="82">
        <v>46175</v>
      </c>
      <c r="B207" s="44" t="s">
        <v>438</v>
      </c>
      <c r="C207" s="83">
        <v>699</v>
      </c>
      <c r="D207" s="44" t="s">
        <v>162</v>
      </c>
      <c r="E207" s="44" t="s">
        <v>49</v>
      </c>
      <c r="F207" s="44"/>
      <c r="G207" s="44"/>
      <c r="H207" s="44" t="s">
        <v>439</v>
      </c>
      <c r="I207" s="44" t="s">
        <v>148</v>
      </c>
    </row>
    <row r="208" spans="1:9" ht="13.5" customHeight="1">
      <c r="A208" s="84">
        <v>46175</v>
      </c>
      <c r="B208" s="45" t="s">
        <v>440</v>
      </c>
      <c r="C208" s="85">
        <v>699</v>
      </c>
      <c r="D208" s="45" t="s">
        <v>162</v>
      </c>
      <c r="E208" s="45" t="s">
        <v>49</v>
      </c>
      <c r="F208" s="46"/>
      <c r="G208" s="46"/>
      <c r="H208" s="46" t="s">
        <v>441</v>
      </c>
      <c r="I208" s="45" t="s">
        <v>148</v>
      </c>
    </row>
    <row r="209" spans="1:9" ht="13.5" customHeight="1">
      <c r="A209" s="82">
        <v>46176</v>
      </c>
      <c r="B209" s="44" t="s">
        <v>442</v>
      </c>
      <c r="C209" s="83">
        <v>699</v>
      </c>
      <c r="D209" s="44" t="s">
        <v>162</v>
      </c>
      <c r="E209" s="44" t="s">
        <v>49</v>
      </c>
      <c r="F209" s="44"/>
      <c r="G209" s="44"/>
      <c r="H209" s="44" t="s">
        <v>439</v>
      </c>
      <c r="I209" s="44" t="s">
        <v>148</v>
      </c>
    </row>
    <row r="210" spans="1:9" ht="27.75" customHeight="1">
      <c r="A210" s="84">
        <v>46176</v>
      </c>
      <c r="B210" s="45" t="s">
        <v>443</v>
      </c>
      <c r="C210" s="85">
        <v>2200</v>
      </c>
      <c r="D210" s="45" t="s">
        <v>162</v>
      </c>
      <c r="E210" s="45" t="s">
        <v>49</v>
      </c>
      <c r="F210" s="46"/>
      <c r="G210" s="46"/>
      <c r="H210" s="46" t="s">
        <v>444</v>
      </c>
      <c r="I210" s="45" t="s">
        <v>148</v>
      </c>
    </row>
    <row r="211" spans="1:9" ht="13.5" customHeight="1">
      <c r="A211" s="82">
        <v>46176</v>
      </c>
      <c r="B211" s="44" t="s">
        <v>445</v>
      </c>
      <c r="C211" s="83">
        <v>699</v>
      </c>
      <c r="D211" s="44" t="s">
        <v>162</v>
      </c>
      <c r="E211" s="44" t="s">
        <v>49</v>
      </c>
      <c r="F211" s="44"/>
      <c r="G211" s="44"/>
      <c r="H211" s="44" t="s">
        <v>446</v>
      </c>
      <c r="I211" s="44" t="s">
        <v>148</v>
      </c>
    </row>
    <row r="212" spans="1:9" ht="14">
      <c r="A212" s="84">
        <v>46176</v>
      </c>
      <c r="B212" s="45" t="s">
        <v>447</v>
      </c>
      <c r="C212" s="85">
        <v>699</v>
      </c>
      <c r="D212" s="45" t="s">
        <v>162</v>
      </c>
      <c r="E212" s="45" t="s">
        <v>49</v>
      </c>
      <c r="F212" s="46"/>
      <c r="G212" s="46"/>
      <c r="H212" s="46" t="s">
        <v>432</v>
      </c>
      <c r="I212" s="45" t="s">
        <v>148</v>
      </c>
    </row>
    <row r="213" spans="1:9" ht="13.5"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customHeight="1">
      <c r="A215" s="82">
        <v>46187</v>
      </c>
      <c r="B215" s="44" t="s">
        <v>450</v>
      </c>
      <c r="C215" s="83">
        <v>1380</v>
      </c>
      <c r="D215" s="44" t="s">
        <v>162</v>
      </c>
      <c r="E215" s="44" t="s">
        <v>49</v>
      </c>
      <c r="F215" s="44"/>
      <c r="G215" s="44"/>
      <c r="H215" s="44" t="s">
        <v>235</v>
      </c>
      <c r="I215" s="44" t="s">
        <v>148</v>
      </c>
    </row>
    <row r="216" spans="1:9" ht="55.5" customHeight="1">
      <c r="A216" s="84">
        <v>46188</v>
      </c>
      <c r="B216" s="45" t="s">
        <v>451</v>
      </c>
      <c r="C216" s="85">
        <v>5000</v>
      </c>
      <c r="D216" s="45" t="s">
        <v>162</v>
      </c>
      <c r="E216" s="45" t="s">
        <v>49</v>
      </c>
      <c r="F216" s="46"/>
      <c r="G216" s="46"/>
      <c r="H216" s="46" t="s">
        <v>1091</v>
      </c>
      <c r="I216" s="45" t="s">
        <v>148</v>
      </c>
    </row>
    <row r="217" spans="1:9" ht="13.5" customHeight="1">
      <c r="A217" s="84">
        <v>46191</v>
      </c>
      <c r="B217" s="45" t="s">
        <v>452</v>
      </c>
      <c r="C217" s="85">
        <v>1380</v>
      </c>
      <c r="D217" s="45" t="s">
        <v>162</v>
      </c>
      <c r="E217" s="45" t="s">
        <v>49</v>
      </c>
      <c r="F217" s="46"/>
      <c r="G217" s="46"/>
      <c r="H217" s="46" t="s">
        <v>453</v>
      </c>
      <c r="I217" s="45" t="s">
        <v>148</v>
      </c>
    </row>
    <row r="218" spans="1:9" ht="13.5" customHeight="1">
      <c r="A218" s="82">
        <v>46191</v>
      </c>
      <c r="B218" s="44" t="s">
        <v>454</v>
      </c>
      <c r="C218" s="83">
        <v>1380</v>
      </c>
      <c r="D218" s="44" t="s">
        <v>162</v>
      </c>
      <c r="E218" s="44" t="s">
        <v>49</v>
      </c>
      <c r="F218" s="44"/>
      <c r="G218" s="44"/>
      <c r="H218" s="44" t="s">
        <v>366</v>
      </c>
      <c r="I218" s="44" t="s">
        <v>148</v>
      </c>
    </row>
    <row r="219" spans="1:9" ht="13.5" customHeight="1">
      <c r="A219" s="84">
        <v>46191</v>
      </c>
      <c r="B219" s="45" t="s">
        <v>455</v>
      </c>
      <c r="C219" s="85">
        <v>1380</v>
      </c>
      <c r="D219" s="45" t="s">
        <v>162</v>
      </c>
      <c r="E219" s="45" t="s">
        <v>49</v>
      </c>
      <c r="F219" s="46"/>
      <c r="G219" s="46"/>
      <c r="H219" s="46" t="s">
        <v>366</v>
      </c>
      <c r="I219" s="45" t="s">
        <v>148</v>
      </c>
    </row>
    <row r="220" spans="1:9" ht="13.5" customHeight="1">
      <c r="A220" s="82">
        <v>46191</v>
      </c>
      <c r="B220" s="44" t="s">
        <v>373</v>
      </c>
      <c r="C220" s="83">
        <v>1380</v>
      </c>
      <c r="D220" s="44" t="s">
        <v>162</v>
      </c>
      <c r="E220" s="44" t="s">
        <v>49</v>
      </c>
      <c r="F220" s="44"/>
      <c r="G220" s="44"/>
      <c r="H220" s="44" t="s">
        <v>367</v>
      </c>
      <c r="I220" s="44" t="s">
        <v>148</v>
      </c>
    </row>
    <row r="221" spans="1:9" ht="13.5" customHeight="1">
      <c r="A221" s="84">
        <v>46191</v>
      </c>
      <c r="B221" s="45" t="s">
        <v>456</v>
      </c>
      <c r="C221" s="85">
        <v>1380</v>
      </c>
      <c r="D221" s="45" t="s">
        <v>162</v>
      </c>
      <c r="E221" s="45" t="s">
        <v>49</v>
      </c>
      <c r="F221" s="46"/>
      <c r="G221" s="46"/>
      <c r="H221" s="46" t="s">
        <v>366</v>
      </c>
      <c r="I221" s="45" t="s">
        <v>148</v>
      </c>
    </row>
    <row r="222" spans="1:9" ht="13.5" customHeight="1">
      <c r="A222" s="82">
        <v>46191</v>
      </c>
      <c r="B222" s="44" t="s">
        <v>457</v>
      </c>
      <c r="C222" s="83">
        <v>1380</v>
      </c>
      <c r="D222" s="44" t="s">
        <v>162</v>
      </c>
      <c r="E222" s="44" t="s">
        <v>49</v>
      </c>
      <c r="F222" s="44"/>
      <c r="G222" s="44"/>
      <c r="H222" s="44" t="s">
        <v>367</v>
      </c>
      <c r="I222" s="44" t="s">
        <v>148</v>
      </c>
    </row>
    <row r="223" spans="1:9" ht="13.5" customHeight="1">
      <c r="A223" s="84">
        <v>46191</v>
      </c>
      <c r="B223" s="45" t="s">
        <v>458</v>
      </c>
      <c r="C223" s="85">
        <v>1380</v>
      </c>
      <c r="D223" s="45" t="s">
        <v>162</v>
      </c>
      <c r="E223" s="45" t="s">
        <v>49</v>
      </c>
      <c r="F223" s="46"/>
      <c r="G223" s="46"/>
      <c r="H223" s="46" t="s">
        <v>366</v>
      </c>
      <c r="I223" s="45" t="s">
        <v>148</v>
      </c>
    </row>
    <row r="224" spans="1:9" ht="13.5" customHeight="1">
      <c r="A224" s="82">
        <v>46192</v>
      </c>
      <c r="B224" s="44" t="s">
        <v>459</v>
      </c>
      <c r="C224" s="83">
        <v>1380</v>
      </c>
      <c r="D224" s="44" t="s">
        <v>162</v>
      </c>
      <c r="E224" s="44" t="s">
        <v>49</v>
      </c>
      <c r="F224" s="44"/>
      <c r="G224" s="44"/>
      <c r="H224" s="44" t="s">
        <v>367</v>
      </c>
      <c r="I224" s="44" t="s">
        <v>148</v>
      </c>
    </row>
    <row r="225" spans="1:9" ht="13.5" customHeight="1">
      <c r="A225" s="84">
        <v>46192</v>
      </c>
      <c r="B225" s="45" t="s">
        <v>460</v>
      </c>
      <c r="C225" s="85">
        <v>1440</v>
      </c>
      <c r="D225" s="45" t="s">
        <v>162</v>
      </c>
      <c r="E225" s="45" t="s">
        <v>49</v>
      </c>
      <c r="F225" s="46"/>
      <c r="G225" s="46"/>
      <c r="H225" s="46" t="s">
        <v>367</v>
      </c>
      <c r="I225" s="45" t="s">
        <v>148</v>
      </c>
    </row>
    <row r="226" spans="1:9" ht="13.5" customHeight="1">
      <c r="A226" s="82">
        <v>46192</v>
      </c>
      <c r="B226" s="44" t="s">
        <v>461</v>
      </c>
      <c r="C226" s="83">
        <v>1380</v>
      </c>
      <c r="D226" s="44" t="s">
        <v>162</v>
      </c>
      <c r="E226" s="44" t="s">
        <v>49</v>
      </c>
      <c r="F226" s="44"/>
      <c r="G226" s="44"/>
      <c r="H226" s="44" t="s">
        <v>366</v>
      </c>
      <c r="I226" s="44" t="s">
        <v>148</v>
      </c>
    </row>
    <row r="227" spans="1:9" ht="13.5" customHeight="1">
      <c r="A227" s="84">
        <v>46192</v>
      </c>
      <c r="B227" s="45" t="s">
        <v>462</v>
      </c>
      <c r="C227" s="85">
        <v>1380</v>
      </c>
      <c r="D227" s="45" t="s">
        <v>162</v>
      </c>
      <c r="E227" s="45" t="s">
        <v>49</v>
      </c>
      <c r="F227" s="46"/>
      <c r="G227" s="46"/>
      <c r="H227" s="46" t="s">
        <v>366</v>
      </c>
      <c r="I227" s="45" t="s">
        <v>148</v>
      </c>
    </row>
    <row r="228" spans="1:9" ht="13.5" customHeight="1">
      <c r="A228" s="82">
        <v>46193</v>
      </c>
      <c r="B228" s="44" t="s">
        <v>463</v>
      </c>
      <c r="C228" s="83">
        <v>699</v>
      </c>
      <c r="D228" s="44" t="s">
        <v>162</v>
      </c>
      <c r="E228" s="44" t="s">
        <v>49</v>
      </c>
      <c r="F228" s="44"/>
      <c r="G228" s="44"/>
      <c r="H228" s="44" t="s">
        <v>464</v>
      </c>
      <c r="I228" s="44" t="s">
        <v>148</v>
      </c>
    </row>
    <row r="229" spans="1:9" ht="13.5" customHeight="1">
      <c r="A229" s="84">
        <v>46193</v>
      </c>
      <c r="B229" s="45" t="s">
        <v>465</v>
      </c>
      <c r="C229" s="85">
        <v>699</v>
      </c>
      <c r="D229" s="45" t="s">
        <v>162</v>
      </c>
      <c r="E229" s="45" t="s">
        <v>49</v>
      </c>
      <c r="F229" s="46"/>
      <c r="G229" s="46"/>
      <c r="H229" s="46" t="s">
        <v>466</v>
      </c>
      <c r="I229" s="45" t="s">
        <v>148</v>
      </c>
    </row>
    <row r="230" spans="1:9" ht="13.5" customHeight="1">
      <c r="A230" s="82">
        <v>46193</v>
      </c>
      <c r="B230" s="44" t="s">
        <v>467</v>
      </c>
      <c r="C230" s="83">
        <v>1380</v>
      </c>
      <c r="D230" s="44" t="s">
        <v>162</v>
      </c>
      <c r="E230" s="44" t="s">
        <v>49</v>
      </c>
      <c r="F230" s="44"/>
      <c r="G230" s="44"/>
      <c r="H230" s="44" t="s">
        <v>367</v>
      </c>
      <c r="I230" s="44" t="s">
        <v>148</v>
      </c>
    </row>
    <row r="231" spans="1:9" ht="13.5" customHeight="1">
      <c r="A231" s="84">
        <v>46193</v>
      </c>
      <c r="B231" s="45" t="s">
        <v>468</v>
      </c>
      <c r="C231" s="85">
        <v>699</v>
      </c>
      <c r="D231" s="45" t="s">
        <v>162</v>
      </c>
      <c r="E231" s="45" t="s">
        <v>49</v>
      </c>
      <c r="F231" s="46"/>
      <c r="G231" s="46"/>
      <c r="H231" s="46" t="s">
        <v>464</v>
      </c>
      <c r="I231" s="45" t="s">
        <v>148</v>
      </c>
    </row>
    <row r="232" spans="1:9" ht="13.5" customHeight="1">
      <c r="A232" s="82">
        <v>46193</v>
      </c>
      <c r="B232" s="44" t="s">
        <v>469</v>
      </c>
      <c r="C232" s="83">
        <v>1380</v>
      </c>
      <c r="D232" s="44" t="s">
        <v>162</v>
      </c>
      <c r="E232" s="44" t="s">
        <v>49</v>
      </c>
      <c r="F232" s="44"/>
      <c r="G232" s="44"/>
      <c r="H232" s="44" t="s">
        <v>366</v>
      </c>
      <c r="I232" s="44" t="s">
        <v>148</v>
      </c>
    </row>
    <row r="233" spans="1:9" ht="13.5"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customHeight="1">
      <c r="A235" s="84">
        <v>46194</v>
      </c>
      <c r="B235" s="45" t="s">
        <v>472</v>
      </c>
      <c r="C235" s="85">
        <v>700</v>
      </c>
      <c r="D235" s="45" t="s">
        <v>162</v>
      </c>
      <c r="E235" s="45" t="s">
        <v>49</v>
      </c>
      <c r="F235" s="46"/>
      <c r="G235" s="46"/>
      <c r="H235" s="46" t="s">
        <v>473</v>
      </c>
      <c r="I235" s="45" t="s">
        <v>148</v>
      </c>
    </row>
    <row r="236" spans="1:9" ht="27.75" customHeight="1">
      <c r="A236" s="82">
        <v>46194</v>
      </c>
      <c r="B236" s="44" t="s">
        <v>472</v>
      </c>
      <c r="C236" s="83">
        <v>2480</v>
      </c>
      <c r="D236" s="44" t="s">
        <v>162</v>
      </c>
      <c r="E236" s="44" t="s">
        <v>49</v>
      </c>
      <c r="F236" s="44"/>
      <c r="G236" s="44"/>
      <c r="H236" s="44" t="s">
        <v>474</v>
      </c>
      <c r="I236" s="44" t="s">
        <v>148</v>
      </c>
    </row>
    <row r="237" spans="1:9" ht="13.5" customHeight="1">
      <c r="A237" s="84">
        <v>46196</v>
      </c>
      <c r="B237" s="45" t="s">
        <v>472</v>
      </c>
      <c r="C237" s="85">
        <v>700</v>
      </c>
      <c r="D237" s="45" t="s">
        <v>162</v>
      </c>
      <c r="E237" s="45" t="s">
        <v>49</v>
      </c>
      <c r="F237" s="46"/>
      <c r="G237" s="46"/>
      <c r="H237" s="46" t="s">
        <v>475</v>
      </c>
      <c r="I237" s="45" t="s">
        <v>148</v>
      </c>
    </row>
    <row r="238" spans="1:9" ht="13.5" customHeight="1">
      <c r="A238" s="82">
        <v>46196</v>
      </c>
      <c r="B238" s="44" t="s">
        <v>476</v>
      </c>
      <c r="C238" s="83">
        <v>1380</v>
      </c>
      <c r="D238" s="44" t="s">
        <v>162</v>
      </c>
      <c r="E238" s="44" t="s">
        <v>49</v>
      </c>
      <c r="F238" s="44"/>
      <c r="G238" s="44"/>
      <c r="H238" s="44" t="s">
        <v>477</v>
      </c>
      <c r="I238" s="44" t="s">
        <v>148</v>
      </c>
    </row>
    <row r="239" spans="1:9" ht="13.5" customHeight="1">
      <c r="A239" s="84">
        <v>46196</v>
      </c>
      <c r="B239" s="45" t="s">
        <v>478</v>
      </c>
      <c r="C239" s="85">
        <v>699</v>
      </c>
      <c r="D239" s="45" t="s">
        <v>162</v>
      </c>
      <c r="E239" s="45" t="s">
        <v>49</v>
      </c>
      <c r="F239" s="46"/>
      <c r="G239" s="46"/>
      <c r="H239" s="46" t="s">
        <v>479</v>
      </c>
      <c r="I239" s="45" t="s">
        <v>148</v>
      </c>
    </row>
    <row r="240" spans="1:9" ht="27.75" customHeight="1">
      <c r="A240" s="82">
        <v>46196</v>
      </c>
      <c r="B240" s="44" t="s">
        <v>304</v>
      </c>
      <c r="C240" s="83">
        <v>5000</v>
      </c>
      <c r="D240" s="44" t="s">
        <v>162</v>
      </c>
      <c r="E240" s="44" t="s">
        <v>49</v>
      </c>
      <c r="F240" s="44"/>
      <c r="G240" s="44"/>
      <c r="H240" s="44" t="s">
        <v>480</v>
      </c>
      <c r="I240" s="44" t="s">
        <v>148</v>
      </c>
    </row>
    <row r="241" spans="1:9" ht="13.5" customHeight="1">
      <c r="A241" s="84">
        <v>46197</v>
      </c>
      <c r="B241" s="45" t="s">
        <v>481</v>
      </c>
      <c r="C241" s="85">
        <v>1380</v>
      </c>
      <c r="D241" s="45" t="s">
        <v>162</v>
      </c>
      <c r="E241" s="45" t="s">
        <v>49</v>
      </c>
      <c r="F241" s="46"/>
      <c r="G241" s="46"/>
      <c r="H241" s="46" t="s">
        <v>366</v>
      </c>
      <c r="I241" s="45" t="s">
        <v>148</v>
      </c>
    </row>
    <row r="242" spans="1:9" ht="13.5" customHeight="1">
      <c r="A242" s="82">
        <v>46197</v>
      </c>
      <c r="B242" s="44" t="s">
        <v>482</v>
      </c>
      <c r="C242" s="83">
        <v>1380</v>
      </c>
      <c r="D242" s="44" t="s">
        <v>162</v>
      </c>
      <c r="E242" s="44" t="s">
        <v>49</v>
      </c>
      <c r="F242" s="44"/>
      <c r="G242" s="44"/>
      <c r="H242" s="44" t="s">
        <v>483</v>
      </c>
      <c r="I242" s="44" t="s">
        <v>148</v>
      </c>
    </row>
    <row r="243" spans="1:9" ht="13.5" customHeight="1">
      <c r="A243" s="84">
        <v>46197</v>
      </c>
      <c r="B243" s="45" t="s">
        <v>484</v>
      </c>
      <c r="C243" s="85">
        <v>1380</v>
      </c>
      <c r="D243" s="45" t="s">
        <v>162</v>
      </c>
      <c r="E243" s="45" t="s">
        <v>49</v>
      </c>
      <c r="F243" s="46"/>
      <c r="G243" s="46"/>
      <c r="H243" s="46" t="s">
        <v>366</v>
      </c>
      <c r="I243" s="45" t="s">
        <v>148</v>
      </c>
    </row>
    <row r="244" spans="1:9" ht="13.5" customHeight="1">
      <c r="A244" s="82">
        <v>46197</v>
      </c>
      <c r="B244" s="44" t="s">
        <v>165</v>
      </c>
      <c r="C244" s="83">
        <v>699</v>
      </c>
      <c r="D244" s="44" t="s">
        <v>162</v>
      </c>
      <c r="E244" s="44" t="s">
        <v>49</v>
      </c>
      <c r="F244" s="44"/>
      <c r="G244" s="44"/>
      <c r="H244" s="44" t="s">
        <v>485</v>
      </c>
      <c r="I244" s="44" t="s">
        <v>148</v>
      </c>
    </row>
    <row r="245" spans="1:9" ht="13.5" customHeight="1">
      <c r="A245" s="84">
        <v>46198</v>
      </c>
      <c r="B245" s="45" t="s">
        <v>486</v>
      </c>
      <c r="C245" s="85">
        <v>1380</v>
      </c>
      <c r="D245" s="45" t="s">
        <v>162</v>
      </c>
      <c r="E245" s="45" t="s">
        <v>49</v>
      </c>
      <c r="F245" s="46"/>
      <c r="G245" s="46"/>
      <c r="H245" s="46" t="s">
        <v>366</v>
      </c>
      <c r="I245" s="45" t="s">
        <v>148</v>
      </c>
    </row>
    <row r="246" spans="1:9" ht="13.5" customHeight="1">
      <c r="A246" s="82">
        <v>46199</v>
      </c>
      <c r="B246" s="44" t="s">
        <v>487</v>
      </c>
      <c r="C246" s="83">
        <v>1380</v>
      </c>
      <c r="D246" s="44" t="s">
        <v>162</v>
      </c>
      <c r="E246" s="44" t="s">
        <v>49</v>
      </c>
      <c r="F246" s="44"/>
      <c r="G246" s="44"/>
      <c r="H246" s="44" t="s">
        <v>366</v>
      </c>
      <c r="I246" s="44" t="s">
        <v>148</v>
      </c>
    </row>
    <row r="247" spans="1:9" ht="13.5" customHeight="1">
      <c r="A247" s="84">
        <v>46199</v>
      </c>
      <c r="B247" s="45" t="s">
        <v>488</v>
      </c>
      <c r="C247" s="85">
        <v>1380</v>
      </c>
      <c r="D247" s="45" t="s">
        <v>162</v>
      </c>
      <c r="E247" s="45" t="s">
        <v>49</v>
      </c>
      <c r="F247" s="46"/>
      <c r="G247" s="46"/>
      <c r="H247" s="46" t="s">
        <v>366</v>
      </c>
      <c r="I247" s="45" t="s">
        <v>148</v>
      </c>
    </row>
    <row r="248" spans="1:9" ht="13.5"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1075</v>
      </c>
      <c r="I249" s="45" t="s">
        <v>148</v>
      </c>
    </row>
    <row r="250" spans="1:9" ht="14">
      <c r="A250" s="82">
        <v>46200</v>
      </c>
      <c r="B250" s="44" t="s">
        <v>164</v>
      </c>
      <c r="C250" s="83">
        <v>950</v>
      </c>
      <c r="D250" s="44"/>
      <c r="E250" s="44"/>
      <c r="F250" s="44"/>
      <c r="G250" s="44"/>
      <c r="H250" s="44" t="s">
        <v>1077</v>
      </c>
      <c r="I250" s="44" t="s">
        <v>356</v>
      </c>
    </row>
    <row r="251" spans="1:9" ht="14">
      <c r="A251" s="84">
        <v>46201</v>
      </c>
      <c r="B251" s="45" t="s">
        <v>1092</v>
      </c>
      <c r="C251" s="85">
        <v>1380</v>
      </c>
      <c r="D251" s="45" t="s">
        <v>205</v>
      </c>
      <c r="E251" s="45" t="s">
        <v>49</v>
      </c>
      <c r="F251" s="46"/>
      <c r="G251" s="46"/>
      <c r="H251" s="46" t="s">
        <v>366</v>
      </c>
      <c r="I251" s="45" t="s">
        <v>148</v>
      </c>
    </row>
    <row r="252" spans="1:9" ht="14">
      <c r="A252" s="82">
        <v>46201</v>
      </c>
      <c r="B252" s="44" t="s">
        <v>1078</v>
      </c>
      <c r="C252" s="83">
        <v>699</v>
      </c>
      <c r="D252" s="44" t="s">
        <v>162</v>
      </c>
      <c r="E252" s="44" t="s">
        <v>49</v>
      </c>
      <c r="F252" s="44"/>
      <c r="G252" s="44"/>
      <c r="H252" s="44" t="s">
        <v>1079</v>
      </c>
      <c r="I252" s="44" t="s">
        <v>148</v>
      </c>
    </row>
    <row r="253" spans="1:9" ht="14">
      <c r="A253" s="84">
        <v>46201</v>
      </c>
      <c r="B253" s="45" t="s">
        <v>1080</v>
      </c>
      <c r="C253" s="85">
        <v>699</v>
      </c>
      <c r="D253" s="45" t="s">
        <v>162</v>
      </c>
      <c r="E253" s="45" t="s">
        <v>49</v>
      </c>
      <c r="F253" s="46"/>
      <c r="G253" s="46"/>
      <c r="H253" s="46" t="s">
        <v>1081</v>
      </c>
      <c r="I253" s="45" t="s">
        <v>148</v>
      </c>
    </row>
    <row r="254" spans="1:9" ht="14">
      <c r="A254" s="82">
        <v>46201</v>
      </c>
      <c r="B254" s="44" t="s">
        <v>1082</v>
      </c>
      <c r="C254" s="83">
        <v>699</v>
      </c>
      <c r="D254" s="44" t="s">
        <v>162</v>
      </c>
      <c r="E254" s="44" t="s">
        <v>49</v>
      </c>
      <c r="F254" s="44"/>
      <c r="G254" s="44"/>
      <c r="H254" s="44" t="s">
        <v>1083</v>
      </c>
      <c r="I254" s="44" t="s">
        <v>148</v>
      </c>
    </row>
    <row r="255" spans="1:9" ht="14">
      <c r="A255" s="84">
        <v>46201</v>
      </c>
      <c r="B255" s="45" t="s">
        <v>472</v>
      </c>
      <c r="C255" s="85">
        <v>2650</v>
      </c>
      <c r="D255" s="45" t="s">
        <v>162</v>
      </c>
      <c r="E255" s="45" t="s">
        <v>49</v>
      </c>
      <c r="F255" s="46"/>
      <c r="G255" s="46"/>
      <c r="H255" s="46" t="s">
        <v>1084</v>
      </c>
      <c r="I255" s="45" t="s">
        <v>148</v>
      </c>
    </row>
    <row r="256" spans="1:9" ht="14">
      <c r="A256" s="82">
        <v>46203</v>
      </c>
      <c r="B256" s="44" t="s">
        <v>1093</v>
      </c>
      <c r="C256" s="83">
        <v>950</v>
      </c>
      <c r="D256" s="44" t="s">
        <v>162</v>
      </c>
      <c r="E256" s="44" t="s">
        <v>49</v>
      </c>
      <c r="F256" s="44"/>
      <c r="G256" s="44"/>
      <c r="H256" s="44" t="s">
        <v>1094</v>
      </c>
      <c r="I256" s="44" t="s">
        <v>148</v>
      </c>
    </row>
    <row r="257" spans="1:9" ht="14">
      <c r="A257" s="84">
        <v>46204</v>
      </c>
      <c r="B257" s="45" t="s">
        <v>1097</v>
      </c>
      <c r="C257" s="85">
        <v>699</v>
      </c>
      <c r="D257" s="45" t="s">
        <v>162</v>
      </c>
      <c r="E257" s="45" t="s">
        <v>49</v>
      </c>
      <c r="F257" s="46"/>
      <c r="G257" s="46"/>
      <c r="H257" s="46" t="s">
        <v>1098</v>
      </c>
      <c r="I257" s="45" t="s">
        <v>148</v>
      </c>
    </row>
    <row r="258" spans="1:9" ht="14">
      <c r="A258" s="82">
        <v>46205</v>
      </c>
      <c r="B258" s="44" t="s">
        <v>1099</v>
      </c>
      <c r="C258" s="83">
        <v>1500</v>
      </c>
      <c r="D258" s="44" t="s">
        <v>162</v>
      </c>
      <c r="E258" s="44" t="s">
        <v>49</v>
      </c>
      <c r="F258" s="44"/>
      <c r="G258" s="44"/>
      <c r="H258" s="44" t="s">
        <v>1100</v>
      </c>
      <c r="I258" s="44" t="s">
        <v>148</v>
      </c>
    </row>
    <row r="259" spans="1:9" ht="14">
      <c r="A259" s="84">
        <v>46205</v>
      </c>
      <c r="B259" s="45" t="s">
        <v>1099</v>
      </c>
      <c r="C259" s="85">
        <v>1200</v>
      </c>
      <c r="D259" s="45" t="s">
        <v>162</v>
      </c>
      <c r="E259" s="45" t="s">
        <v>49</v>
      </c>
      <c r="F259" s="46"/>
      <c r="G259" s="46"/>
      <c r="H259" s="46" t="s">
        <v>1101</v>
      </c>
      <c r="I259" s="45" t="s">
        <v>148</v>
      </c>
    </row>
    <row r="260" spans="1:9" ht="14">
      <c r="A260" s="82">
        <v>46205</v>
      </c>
      <c r="B260" s="44" t="s">
        <v>1103</v>
      </c>
      <c r="C260" s="83">
        <v>1500</v>
      </c>
      <c r="D260" s="44" t="s">
        <v>162</v>
      </c>
      <c r="E260" s="44" t="s">
        <v>49</v>
      </c>
      <c r="F260" s="44"/>
      <c r="G260" s="44"/>
      <c r="H260" s="44" t="s">
        <v>1102</v>
      </c>
      <c r="I260" s="44" t="s">
        <v>148</v>
      </c>
    </row>
    <row r="261" spans="1:9" ht="14">
      <c r="A261" s="84">
        <v>46205</v>
      </c>
      <c r="B261" s="45" t="s">
        <v>1106</v>
      </c>
      <c r="C261" s="85">
        <v>2600</v>
      </c>
      <c r="D261" s="45" t="s">
        <v>162</v>
      </c>
      <c r="E261" s="45" t="s">
        <v>49</v>
      </c>
      <c r="F261" s="46"/>
      <c r="G261" s="46"/>
      <c r="H261" s="46" t="s">
        <v>1193</v>
      </c>
      <c r="I261" s="45" t="s">
        <v>148</v>
      </c>
    </row>
    <row r="262" spans="1:9" ht="14">
      <c r="A262" s="82">
        <v>46206</v>
      </c>
      <c r="B262" s="44" t="s">
        <v>1108</v>
      </c>
      <c r="C262" s="83">
        <v>1380</v>
      </c>
      <c r="D262" s="44" t="s">
        <v>162</v>
      </c>
      <c r="E262" s="44" t="s">
        <v>49</v>
      </c>
      <c r="F262" s="44"/>
      <c r="G262" s="44"/>
      <c r="H262" s="44" t="s">
        <v>366</v>
      </c>
      <c r="I262" s="44" t="s">
        <v>148</v>
      </c>
    </row>
    <row r="263" spans="1:9" ht="14">
      <c r="A263" s="84">
        <v>46206</v>
      </c>
      <c r="B263" s="45" t="s">
        <v>1109</v>
      </c>
      <c r="C263" s="85">
        <v>1380</v>
      </c>
      <c r="D263" s="45" t="s">
        <v>162</v>
      </c>
      <c r="E263" s="45" t="s">
        <v>49</v>
      </c>
      <c r="F263" s="46"/>
      <c r="G263" s="46"/>
      <c r="H263" s="46" t="s">
        <v>366</v>
      </c>
      <c r="I263" s="45" t="s">
        <v>148</v>
      </c>
    </row>
    <row r="264" spans="1:9" ht="42">
      <c r="A264" s="82">
        <v>46206</v>
      </c>
      <c r="B264" s="44" t="s">
        <v>1120</v>
      </c>
      <c r="C264" s="83">
        <v>2500</v>
      </c>
      <c r="D264" s="44" t="s">
        <v>162</v>
      </c>
      <c r="E264" s="44" t="s">
        <v>49</v>
      </c>
      <c r="F264" s="44"/>
      <c r="G264" s="44"/>
      <c r="H264" s="44" t="s">
        <v>1301</v>
      </c>
      <c r="I264" s="44" t="s">
        <v>356</v>
      </c>
    </row>
    <row r="265" spans="1:9" ht="14">
      <c r="A265" s="84">
        <v>46206</v>
      </c>
      <c r="B265" s="45" t="s">
        <v>1112</v>
      </c>
      <c r="C265" s="85">
        <v>1300</v>
      </c>
      <c r="D265" s="45" t="s">
        <v>162</v>
      </c>
      <c r="E265" s="45" t="s">
        <v>49</v>
      </c>
      <c r="F265" s="46"/>
      <c r="G265" s="46"/>
      <c r="H265" s="46" t="s">
        <v>1125</v>
      </c>
      <c r="I265" s="45" t="s">
        <v>356</v>
      </c>
    </row>
    <row r="266" spans="1:9" ht="14">
      <c r="A266" s="82">
        <v>46206</v>
      </c>
      <c r="B266" s="44" t="s">
        <v>1103</v>
      </c>
      <c r="C266" s="83">
        <v>1380</v>
      </c>
      <c r="D266" s="44" t="s">
        <v>162</v>
      </c>
      <c r="E266" s="44" t="s">
        <v>49</v>
      </c>
      <c r="F266" s="44"/>
      <c r="G266" s="44"/>
      <c r="H266" s="44" t="s">
        <v>1113</v>
      </c>
      <c r="I266" s="44" t="s">
        <v>148</v>
      </c>
    </row>
    <row r="267" spans="1:9" ht="14">
      <c r="A267" s="84">
        <v>46207</v>
      </c>
      <c r="B267" s="45" t="s">
        <v>173</v>
      </c>
      <c r="C267" s="85">
        <v>1250</v>
      </c>
      <c r="D267" s="45" t="s">
        <v>162</v>
      </c>
      <c r="E267" s="45" t="s">
        <v>49</v>
      </c>
      <c r="F267" s="46"/>
      <c r="G267" s="46"/>
      <c r="H267" s="46" t="s">
        <v>1114</v>
      </c>
      <c r="I267" s="45" t="s">
        <v>148</v>
      </c>
    </row>
    <row r="268" spans="1:9" ht="28">
      <c r="A268" s="82">
        <v>46208</v>
      </c>
      <c r="B268" s="44" t="s">
        <v>1119</v>
      </c>
      <c r="C268" s="83">
        <v>2350</v>
      </c>
      <c r="D268" s="44"/>
      <c r="E268" s="44"/>
      <c r="F268" s="44"/>
      <c r="G268" s="44"/>
      <c r="H268" s="44" t="s">
        <v>1257</v>
      </c>
      <c r="I268" s="44" t="s">
        <v>356</v>
      </c>
    </row>
    <row r="269" spans="1:9" ht="14">
      <c r="A269" s="84">
        <v>46209</v>
      </c>
      <c r="B269" s="45" t="s">
        <v>1117</v>
      </c>
      <c r="C269" s="85">
        <v>1100</v>
      </c>
      <c r="D269" s="45" t="s">
        <v>162</v>
      </c>
      <c r="E269" s="45" t="s">
        <v>49</v>
      </c>
      <c r="F269" s="46"/>
      <c r="G269" s="46"/>
      <c r="H269" s="46" t="s">
        <v>1118</v>
      </c>
      <c r="I269" s="45" t="s">
        <v>148</v>
      </c>
    </row>
    <row r="270" spans="1:9" ht="14">
      <c r="A270" s="82">
        <v>46210</v>
      </c>
      <c r="B270" s="44" t="s">
        <v>1313</v>
      </c>
      <c r="C270" s="83">
        <v>3200</v>
      </c>
      <c r="D270" s="44" t="s">
        <v>162</v>
      </c>
      <c r="E270" s="44" t="s">
        <v>49</v>
      </c>
      <c r="F270" s="44"/>
      <c r="G270" s="44"/>
      <c r="H270" s="44" t="s">
        <v>1122</v>
      </c>
      <c r="I270" s="44" t="s">
        <v>148</v>
      </c>
    </row>
    <row r="271" spans="1:9" ht="14">
      <c r="A271" s="84">
        <v>46211</v>
      </c>
      <c r="B271" s="45" t="s">
        <v>1123</v>
      </c>
      <c r="C271" s="85">
        <v>1380</v>
      </c>
      <c r="D271" s="45" t="s">
        <v>162</v>
      </c>
      <c r="E271" s="45" t="s">
        <v>49</v>
      </c>
      <c r="F271" s="46"/>
      <c r="G271" s="46"/>
      <c r="H271" s="46" t="s">
        <v>1124</v>
      </c>
      <c r="I271" s="45" t="s">
        <v>148</v>
      </c>
    </row>
    <row r="272" spans="1:9" ht="14">
      <c r="A272" s="82">
        <v>46215</v>
      </c>
      <c r="B272" s="44" t="s">
        <v>1126</v>
      </c>
      <c r="C272" s="83">
        <v>1380</v>
      </c>
      <c r="D272" s="44" t="s">
        <v>162</v>
      </c>
      <c r="E272" s="44" t="s">
        <v>49</v>
      </c>
      <c r="F272" s="44"/>
      <c r="G272" s="44"/>
      <c r="H272" s="44" t="s">
        <v>366</v>
      </c>
      <c r="I272" s="44" t="s">
        <v>148</v>
      </c>
    </row>
    <row r="273" spans="1:9" ht="14">
      <c r="A273" s="84">
        <v>46215</v>
      </c>
      <c r="B273" s="45" t="s">
        <v>1127</v>
      </c>
      <c r="C273" s="85">
        <v>699</v>
      </c>
      <c r="D273" s="45" t="s">
        <v>162</v>
      </c>
      <c r="E273" s="45" t="s">
        <v>49</v>
      </c>
      <c r="F273" s="46"/>
      <c r="G273" s="46"/>
      <c r="H273" s="46" t="s">
        <v>1098</v>
      </c>
      <c r="I273" s="45" t="s">
        <v>148</v>
      </c>
    </row>
    <row r="274" spans="1:9" ht="14">
      <c r="A274" s="82">
        <v>46215</v>
      </c>
      <c r="B274" s="44" t="s">
        <v>197</v>
      </c>
      <c r="C274" s="83">
        <v>1350</v>
      </c>
      <c r="D274" s="44" t="s">
        <v>162</v>
      </c>
      <c r="E274" s="44" t="s">
        <v>49</v>
      </c>
      <c r="F274" s="44"/>
      <c r="G274" s="44"/>
      <c r="H274" s="44" t="s">
        <v>1129</v>
      </c>
      <c r="I274" s="44" t="s">
        <v>148</v>
      </c>
    </row>
    <row r="275" spans="1:9" ht="14">
      <c r="A275" s="84">
        <v>46216</v>
      </c>
      <c r="B275" s="45" t="s">
        <v>1130</v>
      </c>
      <c r="C275" s="85">
        <v>699</v>
      </c>
      <c r="D275" s="45" t="s">
        <v>162</v>
      </c>
      <c r="E275" s="45" t="s">
        <v>49</v>
      </c>
      <c r="F275" s="46"/>
      <c r="G275" s="46"/>
      <c r="H275" s="46" t="s">
        <v>1098</v>
      </c>
      <c r="I275" s="45" t="s">
        <v>148</v>
      </c>
    </row>
    <row r="276" spans="1:9" ht="14">
      <c r="A276" s="82">
        <v>46216</v>
      </c>
      <c r="B276" s="44" t="s">
        <v>1132</v>
      </c>
      <c r="C276" s="83">
        <v>3000</v>
      </c>
      <c r="D276" s="44" t="s">
        <v>162</v>
      </c>
      <c r="E276" s="44" t="s">
        <v>49</v>
      </c>
      <c r="F276" s="44"/>
      <c r="G276" s="44"/>
      <c r="H276" s="44" t="s">
        <v>1131</v>
      </c>
      <c r="I276" s="44" t="s">
        <v>148</v>
      </c>
    </row>
    <row r="277" spans="1:9" ht="14">
      <c r="A277" s="84">
        <v>46219</v>
      </c>
      <c r="B277" s="45" t="s">
        <v>1133</v>
      </c>
      <c r="C277" s="85">
        <v>1380</v>
      </c>
      <c r="D277" s="45" t="s">
        <v>162</v>
      </c>
      <c r="E277" s="45" t="s">
        <v>49</v>
      </c>
      <c r="F277" s="46"/>
      <c r="G277" s="46"/>
      <c r="H277" s="46" t="s">
        <v>366</v>
      </c>
      <c r="I277" s="45" t="s">
        <v>148</v>
      </c>
    </row>
    <row r="278" spans="1:9" ht="14">
      <c r="A278" s="82">
        <v>46219</v>
      </c>
      <c r="B278" s="44" t="s">
        <v>482</v>
      </c>
      <c r="C278" s="83">
        <v>1380</v>
      </c>
      <c r="D278" s="44" t="s">
        <v>162</v>
      </c>
      <c r="E278" s="44" t="s">
        <v>49</v>
      </c>
      <c r="F278" s="44"/>
      <c r="G278" s="44"/>
      <c r="H278" s="44" t="s">
        <v>366</v>
      </c>
      <c r="I278" s="44" t="s">
        <v>148</v>
      </c>
    </row>
    <row r="279" spans="1:9" ht="14">
      <c r="A279" s="84">
        <v>46219</v>
      </c>
      <c r="B279" s="45" t="s">
        <v>224</v>
      </c>
      <c r="C279" s="85">
        <v>1200</v>
      </c>
      <c r="D279" s="45" t="s">
        <v>162</v>
      </c>
      <c r="E279" s="45" t="s">
        <v>49</v>
      </c>
      <c r="F279" s="46"/>
      <c r="G279" s="46"/>
      <c r="H279" s="46" t="s">
        <v>1136</v>
      </c>
      <c r="I279" s="45" t="s">
        <v>148</v>
      </c>
    </row>
    <row r="280" spans="1:9" ht="14">
      <c r="A280" s="82">
        <v>46219</v>
      </c>
      <c r="B280" s="44" t="s">
        <v>220</v>
      </c>
      <c r="C280" s="83">
        <v>2500</v>
      </c>
      <c r="D280" s="44" t="s">
        <v>162</v>
      </c>
      <c r="E280" s="44" t="s">
        <v>49</v>
      </c>
      <c r="F280" s="44"/>
      <c r="G280" s="44"/>
      <c r="H280" s="44" t="s">
        <v>1142</v>
      </c>
      <c r="I280" s="44" t="s">
        <v>148</v>
      </c>
    </row>
    <row r="281" spans="1:9" ht="14">
      <c r="A281" s="84">
        <v>46219</v>
      </c>
      <c r="B281" s="45" t="s">
        <v>153</v>
      </c>
      <c r="C281" s="85">
        <v>3200</v>
      </c>
      <c r="D281" s="45" t="s">
        <v>162</v>
      </c>
      <c r="E281" s="45" t="s">
        <v>49</v>
      </c>
      <c r="F281" s="46"/>
      <c r="G281" s="46"/>
      <c r="H281" s="46" t="s">
        <v>1147</v>
      </c>
      <c r="I281" s="45" t="s">
        <v>148</v>
      </c>
    </row>
    <row r="282" spans="1:9" ht="14">
      <c r="A282" s="82">
        <v>46220</v>
      </c>
      <c r="B282" s="44" t="s">
        <v>1157</v>
      </c>
      <c r="C282" s="83">
        <v>1500</v>
      </c>
      <c r="D282" s="44" t="s">
        <v>162</v>
      </c>
      <c r="E282" s="44" t="s">
        <v>49</v>
      </c>
      <c r="F282" s="44"/>
      <c r="G282" s="44"/>
      <c r="H282" s="44" t="s">
        <v>1158</v>
      </c>
      <c r="I282" s="44" t="s">
        <v>148</v>
      </c>
    </row>
    <row r="283" spans="1:9" ht="14">
      <c r="A283" s="84">
        <v>46221</v>
      </c>
      <c r="B283" s="45" t="s">
        <v>1161</v>
      </c>
      <c r="C283" s="85">
        <v>1100</v>
      </c>
      <c r="D283" s="45" t="s">
        <v>162</v>
      </c>
      <c r="E283" s="45" t="s">
        <v>49</v>
      </c>
      <c r="F283" s="46"/>
      <c r="G283" s="46"/>
      <c r="H283" s="46" t="s">
        <v>1162</v>
      </c>
      <c r="I283" s="45" t="s">
        <v>148</v>
      </c>
    </row>
    <row r="284" spans="1:9" ht="14">
      <c r="A284" s="82">
        <v>46222</v>
      </c>
      <c r="B284" s="44" t="s">
        <v>1163</v>
      </c>
      <c r="C284" s="83">
        <v>850</v>
      </c>
      <c r="D284" s="44" t="s">
        <v>162</v>
      </c>
      <c r="E284" s="44" t="s">
        <v>49</v>
      </c>
      <c r="F284" s="44"/>
      <c r="G284" s="44"/>
      <c r="H284" s="44" t="s">
        <v>1164</v>
      </c>
      <c r="I284" s="44" t="s">
        <v>148</v>
      </c>
    </row>
    <row r="285" spans="1:9" ht="14">
      <c r="A285" s="84">
        <v>46222</v>
      </c>
      <c r="B285" s="45" t="s">
        <v>1165</v>
      </c>
      <c r="C285" s="85">
        <v>1250</v>
      </c>
      <c r="D285" s="45" t="s">
        <v>162</v>
      </c>
      <c r="E285" s="45" t="s">
        <v>49</v>
      </c>
      <c r="F285" s="46"/>
      <c r="G285" s="46"/>
      <c r="H285" s="46" t="s">
        <v>1166</v>
      </c>
      <c r="I285" s="45" t="s">
        <v>148</v>
      </c>
    </row>
    <row r="286" spans="1:9" ht="14">
      <c r="A286" s="82">
        <v>46222</v>
      </c>
      <c r="B286" s="44" t="s">
        <v>1168</v>
      </c>
      <c r="C286" s="83">
        <v>700</v>
      </c>
      <c r="D286" s="44" t="s">
        <v>162</v>
      </c>
      <c r="E286" s="44" t="s">
        <v>49</v>
      </c>
      <c r="F286" s="44"/>
      <c r="G286" s="44"/>
      <c r="H286" s="44" t="s">
        <v>395</v>
      </c>
      <c r="I286" s="44" t="s">
        <v>148</v>
      </c>
    </row>
    <row r="287" spans="1:9" ht="14">
      <c r="A287" s="84">
        <v>46222</v>
      </c>
      <c r="B287" s="45" t="s">
        <v>1169</v>
      </c>
      <c r="C287" s="85">
        <v>699</v>
      </c>
      <c r="D287" s="45" t="s">
        <v>162</v>
      </c>
      <c r="E287" s="45" t="s">
        <v>49</v>
      </c>
      <c r="F287" s="46"/>
      <c r="G287" s="46"/>
      <c r="H287" s="46" t="s">
        <v>395</v>
      </c>
      <c r="I287" s="45" t="s">
        <v>148</v>
      </c>
    </row>
    <row r="288" spans="1:9" ht="14">
      <c r="A288" s="82">
        <v>46223</v>
      </c>
      <c r="B288" s="44" t="s">
        <v>1172</v>
      </c>
      <c r="C288" s="83">
        <v>1380</v>
      </c>
      <c r="D288" s="44" t="s">
        <v>162</v>
      </c>
      <c r="E288" s="44" t="s">
        <v>49</v>
      </c>
      <c r="F288" s="44"/>
      <c r="G288" s="44"/>
      <c r="H288" s="44" t="s">
        <v>1173</v>
      </c>
      <c r="I288" s="44" t="s">
        <v>148</v>
      </c>
    </row>
    <row r="289" spans="1:9" ht="14">
      <c r="A289" s="84">
        <v>46224</v>
      </c>
      <c r="B289" s="45" t="s">
        <v>1175</v>
      </c>
      <c r="C289" s="85">
        <v>1380</v>
      </c>
      <c r="D289" s="45" t="s">
        <v>162</v>
      </c>
      <c r="E289" s="45" t="s">
        <v>49</v>
      </c>
      <c r="F289" s="46"/>
      <c r="G289" s="46"/>
      <c r="H289" s="46" t="s">
        <v>1178</v>
      </c>
      <c r="I289" s="45" t="s">
        <v>148</v>
      </c>
    </row>
    <row r="290" spans="1:9" ht="14">
      <c r="A290" s="82">
        <v>46224</v>
      </c>
      <c r="B290" s="44" t="s">
        <v>1174</v>
      </c>
      <c r="C290" s="83">
        <v>1380</v>
      </c>
      <c r="D290" s="44" t="s">
        <v>162</v>
      </c>
      <c r="E290" s="44" t="s">
        <v>49</v>
      </c>
      <c r="F290" s="44"/>
      <c r="G290" s="44"/>
      <c r="H290" s="44" t="s">
        <v>1179</v>
      </c>
      <c r="I290" s="44" t="s">
        <v>148</v>
      </c>
    </row>
    <row r="291" spans="1:9" ht="14">
      <c r="A291" s="82">
        <v>46228</v>
      </c>
      <c r="B291" s="44" t="s">
        <v>186</v>
      </c>
      <c r="C291" s="83">
        <v>1250</v>
      </c>
      <c r="D291" s="44" t="s">
        <v>162</v>
      </c>
      <c r="E291" s="44" t="s">
        <v>49</v>
      </c>
      <c r="F291" s="44"/>
      <c r="G291" s="44"/>
      <c r="H291" s="44" t="s">
        <v>1182</v>
      </c>
      <c r="I291" s="44" t="s">
        <v>148</v>
      </c>
    </row>
    <row r="292" spans="1:9" ht="42">
      <c r="A292" s="84">
        <v>46229</v>
      </c>
      <c r="B292" s="45" t="s">
        <v>1185</v>
      </c>
      <c r="C292" s="85">
        <v>1900</v>
      </c>
      <c r="D292" s="45"/>
      <c r="E292" s="45"/>
      <c r="F292" s="46"/>
      <c r="G292" s="46"/>
      <c r="H292" s="46" t="s">
        <v>1239</v>
      </c>
      <c r="I292" s="45" t="s">
        <v>356</v>
      </c>
    </row>
    <row r="293" spans="1:9" ht="28">
      <c r="A293" s="82">
        <v>46229</v>
      </c>
      <c r="B293" s="44" t="s">
        <v>293</v>
      </c>
      <c r="C293" s="83">
        <v>1750</v>
      </c>
      <c r="D293" s="44"/>
      <c r="E293" s="44"/>
      <c r="F293" s="44"/>
      <c r="G293" s="44"/>
      <c r="H293" s="44" t="s">
        <v>1300</v>
      </c>
      <c r="I293" s="44" t="s">
        <v>356</v>
      </c>
    </row>
    <row r="294" spans="1:9" ht="28">
      <c r="A294" s="84">
        <v>46229</v>
      </c>
      <c r="B294" s="45" t="s">
        <v>1106</v>
      </c>
      <c r="C294" s="85">
        <v>2300</v>
      </c>
      <c r="D294" s="45"/>
      <c r="E294" s="45"/>
      <c r="F294" s="46"/>
      <c r="G294" s="46"/>
      <c r="H294" s="46" t="s">
        <v>1253</v>
      </c>
      <c r="I294" s="45" t="s">
        <v>356</v>
      </c>
    </row>
    <row r="295" spans="1:9" ht="28">
      <c r="A295" s="82">
        <v>46229</v>
      </c>
      <c r="B295" s="44" t="s">
        <v>1196</v>
      </c>
      <c r="C295" s="83">
        <v>4700</v>
      </c>
      <c r="D295" s="44"/>
      <c r="E295" s="44"/>
      <c r="F295" s="44"/>
      <c r="G295" s="44"/>
      <c r="H295" s="44" t="s">
        <v>1299</v>
      </c>
      <c r="I295" s="44" t="s">
        <v>356</v>
      </c>
    </row>
    <row r="296" spans="1:9" ht="14">
      <c r="A296" s="84">
        <v>46235</v>
      </c>
      <c r="B296" s="45" t="s">
        <v>1241</v>
      </c>
      <c r="C296" s="85">
        <v>1450</v>
      </c>
      <c r="D296" s="45" t="s">
        <v>162</v>
      </c>
      <c r="E296" s="45" t="s">
        <v>49</v>
      </c>
      <c r="F296" s="46"/>
      <c r="G296" s="46"/>
      <c r="H296" s="46" t="s">
        <v>1238</v>
      </c>
      <c r="I296" s="45" t="s">
        <v>148</v>
      </c>
    </row>
    <row r="297" spans="1:9" ht="28">
      <c r="A297" s="82">
        <v>46236</v>
      </c>
      <c r="B297" s="44" t="s">
        <v>1314</v>
      </c>
      <c r="C297" s="83">
        <v>6900</v>
      </c>
      <c r="D297" s="44" t="s">
        <v>162</v>
      </c>
      <c r="E297" s="44" t="s">
        <v>49</v>
      </c>
      <c r="F297" s="44"/>
      <c r="G297" s="44"/>
      <c r="H297" s="44" t="s">
        <v>1240</v>
      </c>
      <c r="I297" s="44" t="s">
        <v>148</v>
      </c>
    </row>
    <row r="298" spans="1:9" ht="14">
      <c r="A298" s="84">
        <v>46236</v>
      </c>
      <c r="B298" s="45" t="s">
        <v>1244</v>
      </c>
      <c r="C298" s="85">
        <v>1479</v>
      </c>
      <c r="D298" s="45" t="s">
        <v>162</v>
      </c>
      <c r="E298" s="45" t="s">
        <v>49</v>
      </c>
      <c r="F298" s="46"/>
      <c r="G298" s="46"/>
      <c r="H298" s="46" t="s">
        <v>1243</v>
      </c>
      <c r="I298" s="45" t="s">
        <v>148</v>
      </c>
    </row>
    <row r="299" spans="1:9" ht="14">
      <c r="A299" s="82">
        <v>46236</v>
      </c>
      <c r="B299" s="44" t="s">
        <v>1248</v>
      </c>
      <c r="C299" s="83">
        <v>2630</v>
      </c>
      <c r="D299" s="44" t="s">
        <v>162</v>
      </c>
      <c r="E299" s="44" t="s">
        <v>49</v>
      </c>
      <c r="F299" s="44"/>
      <c r="G299" s="44"/>
      <c r="H299" s="44" t="s">
        <v>1246</v>
      </c>
      <c r="I299" s="44" t="s">
        <v>148</v>
      </c>
    </row>
    <row r="300" spans="1:9" ht="14">
      <c r="A300" s="84">
        <v>46238</v>
      </c>
      <c r="B300" s="45" t="s">
        <v>1103</v>
      </c>
      <c r="C300" s="85">
        <v>1380</v>
      </c>
      <c r="D300" s="45" t="s">
        <v>162</v>
      </c>
      <c r="E300" s="45" t="s">
        <v>49</v>
      </c>
      <c r="F300" s="46"/>
      <c r="G300" s="46"/>
      <c r="H300" s="46" t="s">
        <v>272</v>
      </c>
      <c r="I300" s="45" t="s">
        <v>148</v>
      </c>
    </row>
    <row r="301" spans="1:9" ht="28">
      <c r="A301" s="82">
        <v>46238</v>
      </c>
      <c r="B301" s="44" t="s">
        <v>1315</v>
      </c>
      <c r="C301" s="83">
        <v>12650</v>
      </c>
      <c r="D301" s="44" t="s">
        <v>162</v>
      </c>
      <c r="E301" s="44" t="s">
        <v>49</v>
      </c>
      <c r="F301" s="44"/>
      <c r="G301" s="44"/>
      <c r="H301" s="44" t="s">
        <v>1250</v>
      </c>
      <c r="I301" s="44" t="s">
        <v>148</v>
      </c>
    </row>
    <row r="302" spans="1:9" ht="14">
      <c r="A302" s="84">
        <v>46240</v>
      </c>
      <c r="B302" s="45" t="s">
        <v>1244</v>
      </c>
      <c r="C302" s="85">
        <v>1000</v>
      </c>
      <c r="D302" s="45"/>
      <c r="E302" s="45"/>
      <c r="F302" s="46"/>
      <c r="G302" s="46"/>
      <c r="H302" s="46" t="s">
        <v>1256</v>
      </c>
      <c r="I302" s="45" t="s">
        <v>148</v>
      </c>
    </row>
    <row r="303" spans="1:9" ht="28">
      <c r="A303" s="82">
        <v>46241</v>
      </c>
      <c r="B303" s="44" t="s">
        <v>201</v>
      </c>
      <c r="C303" s="83">
        <v>4750</v>
      </c>
      <c r="D303" s="44"/>
      <c r="E303" s="44"/>
      <c r="F303" s="44"/>
      <c r="G303" s="44"/>
      <c r="H303" s="44" t="s">
        <v>1287</v>
      </c>
      <c r="I303" s="44" t="s">
        <v>356</v>
      </c>
    </row>
    <row r="304" spans="1:9" ht="14">
      <c r="A304" s="84">
        <v>46243</v>
      </c>
      <c r="B304" s="45" t="s">
        <v>1302</v>
      </c>
      <c r="C304" s="85">
        <v>1380</v>
      </c>
      <c r="D304" s="45"/>
      <c r="E304" s="45"/>
      <c r="F304" s="46"/>
      <c r="G304" s="46"/>
      <c r="H304" s="46" t="s">
        <v>1303</v>
      </c>
      <c r="I304" s="45" t="s">
        <v>356</v>
      </c>
    </row>
    <row r="305" spans="1:9" ht="14">
      <c r="A305" s="82">
        <v>46243</v>
      </c>
      <c r="B305" s="44" t="s">
        <v>1304</v>
      </c>
      <c r="C305" s="83">
        <v>1380</v>
      </c>
      <c r="D305" s="44" t="s">
        <v>162</v>
      </c>
      <c r="E305" s="44" t="s">
        <v>49</v>
      </c>
      <c r="F305" s="44"/>
      <c r="G305" s="44"/>
      <c r="H305" s="44" t="s">
        <v>1305</v>
      </c>
      <c r="I305" s="44" t="s">
        <v>148</v>
      </c>
    </row>
    <row r="306" spans="1:9" ht="14">
      <c r="A306" s="84">
        <v>46243</v>
      </c>
      <c r="B306" s="45" t="s">
        <v>1308</v>
      </c>
      <c r="C306" s="85">
        <v>1250</v>
      </c>
      <c r="D306" s="45" t="s">
        <v>162</v>
      </c>
      <c r="E306" s="45" t="s">
        <v>49</v>
      </c>
      <c r="F306" s="46"/>
      <c r="G306" s="46"/>
      <c r="H306" s="46" t="s">
        <v>1309</v>
      </c>
      <c r="I306" s="45" t="s">
        <v>148</v>
      </c>
    </row>
    <row r="307" spans="1:9" ht="14">
      <c r="A307" s="82">
        <v>46243</v>
      </c>
      <c r="B307" s="44" t="s">
        <v>1316</v>
      </c>
      <c r="C307" s="83">
        <v>5750</v>
      </c>
      <c r="D307" s="44" t="s">
        <v>162</v>
      </c>
      <c r="E307" s="44" t="s">
        <v>49</v>
      </c>
      <c r="F307" s="44"/>
      <c r="G307" s="44"/>
      <c r="H307" s="44" t="s">
        <v>1317</v>
      </c>
      <c r="I307" s="44" t="s">
        <v>148</v>
      </c>
    </row>
    <row r="308" spans="1:9">
      <c r="A308" s="84"/>
      <c r="B308" s="45"/>
      <c r="C308" s="85"/>
      <c r="D308" s="45"/>
      <c r="E308" s="45"/>
      <c r="F308" s="46"/>
      <c r="G308" s="46"/>
      <c r="H308" s="46"/>
      <c r="I308" s="45"/>
    </row>
    <row r="309" spans="1:9">
      <c r="A309" s="82"/>
      <c r="B309" s="44"/>
      <c r="C309" s="83"/>
      <c r="D309" s="44"/>
      <c r="E309" s="44"/>
      <c r="F309" s="44"/>
      <c r="G309" s="44"/>
      <c r="H309" s="44"/>
      <c r="I309" s="44"/>
    </row>
    <row r="310" spans="1:9">
      <c r="A310" s="84"/>
      <c r="B310" s="45"/>
      <c r="C310" s="85"/>
      <c r="D310" s="45"/>
      <c r="E310" s="45"/>
      <c r="F310" s="46"/>
      <c r="G310" s="46"/>
      <c r="H310" s="46"/>
      <c r="I310" s="45"/>
    </row>
    <row r="311" spans="1:9">
      <c r="A311" s="82"/>
      <c r="B311" s="44"/>
      <c r="C311" s="83"/>
      <c r="D311" s="44"/>
      <c r="E311" s="44"/>
      <c r="F311" s="44"/>
      <c r="G311" s="44"/>
      <c r="H311" s="44"/>
      <c r="I311" s="44"/>
    </row>
    <row r="312" spans="1:9">
      <c r="A312" s="84"/>
      <c r="B312" s="45"/>
      <c r="C312" s="85"/>
      <c r="D312" s="45"/>
      <c r="E312" s="45"/>
      <c r="F312" s="46"/>
      <c r="G312" s="46"/>
      <c r="H312" s="46"/>
      <c r="I312" s="45"/>
    </row>
    <row r="313" spans="1:9">
      <c r="A313" s="82"/>
      <c r="B313" s="44"/>
      <c r="C313" s="83"/>
      <c r="D313" s="44"/>
      <c r="E313" s="44"/>
      <c r="F313" s="44"/>
      <c r="G313" s="44"/>
      <c r="H313" s="44"/>
      <c r="I313" s="44"/>
    </row>
    <row r="314" spans="1:9">
      <c r="A314" s="84"/>
      <c r="B314" s="45"/>
      <c r="C314" s="85"/>
      <c r="D314" s="45"/>
      <c r="E314" s="45"/>
      <c r="F314" s="46"/>
      <c r="G314" s="46"/>
      <c r="H314" s="46"/>
      <c r="I314" s="45"/>
    </row>
    <row r="315" spans="1:9">
      <c r="A315" s="82"/>
      <c r="B315" s="44"/>
      <c r="C315" s="83"/>
      <c r="D315" s="44"/>
      <c r="E315" s="44"/>
      <c r="F315" s="44"/>
      <c r="G315" s="44"/>
      <c r="H315" s="44"/>
      <c r="I315" s="44"/>
    </row>
    <row r="316" spans="1:9">
      <c r="A316" s="84"/>
      <c r="B316" s="45"/>
      <c r="C316" s="85"/>
      <c r="D316" s="45"/>
      <c r="E316" s="45"/>
      <c r="F316" s="46"/>
      <c r="G316" s="46"/>
      <c r="H316" s="46"/>
      <c r="I316" s="45"/>
    </row>
    <row r="317" spans="1:9">
      <c r="A317" s="82"/>
      <c r="B317" s="44"/>
      <c r="C317" s="83"/>
      <c r="D317" s="44"/>
      <c r="E317" s="44"/>
      <c r="F317" s="44"/>
      <c r="G317" s="44"/>
      <c r="H317" s="44"/>
      <c r="I317" s="44"/>
    </row>
    <row r="318" spans="1:9">
      <c r="A318" s="84"/>
      <c r="B318" s="45"/>
      <c r="C318" s="85"/>
      <c r="D318" s="45"/>
      <c r="E318" s="45"/>
      <c r="F318" s="46"/>
      <c r="G318" s="46"/>
      <c r="H318" s="46"/>
      <c r="I318" s="45"/>
    </row>
    <row r="319" spans="1:9">
      <c r="A319" s="82"/>
      <c r="B319" s="44"/>
      <c r="C319" s="83"/>
      <c r="D319" s="44"/>
      <c r="E319" s="44"/>
      <c r="F319" s="44"/>
      <c r="G319" s="44"/>
      <c r="H319" s="44"/>
      <c r="I319" s="44"/>
    </row>
    <row r="320" spans="1:9">
      <c r="A320" s="84"/>
      <c r="B320" s="45"/>
      <c r="C320" s="85"/>
      <c r="D320" s="45"/>
      <c r="E320" s="45"/>
      <c r="F320" s="46"/>
      <c r="G320" s="46"/>
      <c r="H320" s="46"/>
      <c r="I320" s="45"/>
    </row>
    <row r="321" spans="1:9">
      <c r="A321" s="82"/>
      <c r="B321" s="44"/>
      <c r="C321" s="83"/>
      <c r="D321" s="44"/>
      <c r="E321" s="44"/>
      <c r="F321" s="44"/>
      <c r="G321" s="44"/>
      <c r="H321" s="44"/>
      <c r="I321" s="44"/>
    </row>
    <row r="322" spans="1:9">
      <c r="A322" s="84"/>
      <c r="B322" s="45"/>
      <c r="C322" s="85"/>
      <c r="D322" s="45"/>
      <c r="E322" s="45"/>
      <c r="F322" s="46"/>
      <c r="G322" s="46"/>
      <c r="H322" s="46"/>
      <c r="I322" s="45"/>
    </row>
    <row r="323" spans="1:9">
      <c r="A323" s="82"/>
      <c r="B323" s="44"/>
      <c r="C323" s="83"/>
      <c r="D323" s="44"/>
      <c r="E323" s="44"/>
      <c r="F323" s="44"/>
      <c r="G323" s="44"/>
      <c r="H323" s="44"/>
      <c r="I323" s="44"/>
    </row>
    <row r="324" spans="1:9">
      <c r="A324" s="84"/>
      <c r="B324" s="45"/>
      <c r="C324" s="85"/>
      <c r="D324" s="45"/>
      <c r="E324" s="45"/>
      <c r="F324" s="46"/>
      <c r="G324" s="46"/>
      <c r="H324" s="46"/>
      <c r="I324" s="45"/>
    </row>
    <row r="325" spans="1:9">
      <c r="A325" s="82"/>
      <c r="B325" s="44"/>
      <c r="C325" s="83"/>
      <c r="D325" s="44"/>
      <c r="E325" s="44"/>
      <c r="F325" s="44"/>
      <c r="G325" s="44"/>
      <c r="H325" s="44"/>
      <c r="I325" s="44"/>
    </row>
    <row r="326" spans="1:9">
      <c r="A326" s="84"/>
      <c r="B326" s="45"/>
      <c r="C326" s="85"/>
      <c r="D326" s="45"/>
      <c r="E326" s="45"/>
      <c r="F326" s="46"/>
      <c r="G326" s="46"/>
      <c r="H326" s="46"/>
      <c r="I326" s="45"/>
    </row>
    <row r="327" spans="1:9">
      <c r="A327" s="82"/>
      <c r="B327" s="44"/>
      <c r="C327" s="83"/>
      <c r="D327" s="44"/>
      <c r="E327" s="44"/>
      <c r="F327" s="44"/>
      <c r="G327" s="44"/>
      <c r="H327" s="44"/>
      <c r="I327" s="44"/>
    </row>
    <row r="328" spans="1:9">
      <c r="A328" s="84"/>
      <c r="B328" s="45"/>
      <c r="C328" s="85"/>
      <c r="D328" s="45"/>
      <c r="E328" s="45"/>
      <c r="F328" s="46"/>
      <c r="G328" s="46"/>
      <c r="H328" s="46"/>
      <c r="I328" s="45"/>
    </row>
    <row r="329" spans="1:9">
      <c r="A329" s="82"/>
      <c r="B329" s="44"/>
      <c r="C329" s="83"/>
      <c r="D329" s="44"/>
      <c r="E329" s="44"/>
      <c r="F329" s="44"/>
      <c r="G329" s="44"/>
      <c r="H329" s="44"/>
      <c r="I329" s="44"/>
    </row>
  </sheetData>
  <autoFilter ref="A1:I303" xr:uid="{00000000-0009-0000-0000-000004000000}"/>
  <dataValidations count="1">
    <dataValidation type="list" allowBlank="1" showInputMessage="1" showErrorMessage="1" sqref="G2:G1258"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9"/>
  <sheetViews>
    <sheetView topLeftCell="F1" zoomScaleNormal="100" workbookViewId="0">
      <pane ySplit="1" topLeftCell="A173" activePane="bottomLeft" state="frozen"/>
      <selection activeCell="E1" sqref="E1"/>
      <selection pane="bottomLeft" activeCell="G175" sqref="G175"/>
    </sheetView>
  </sheetViews>
  <sheetFormatPr baseColWidth="10" defaultColWidth="7" defaultRowHeight="14"/>
  <cols>
    <col min="1" max="1" width="10" style="47" customWidth="1"/>
    <col min="2" max="2" width="94.33203125" style="47" customWidth="1"/>
    <col min="3" max="3" width="13.83203125" style="47" customWidth="1"/>
    <col min="4" max="4" width="17.5" style="47"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3.83203125" style="47" customWidth="1"/>
    <col min="11" max="11" width="13.6640625" style="47" customWidth="1"/>
    <col min="12" max="12" width="70.5" style="47" customWidth="1"/>
    <col min="13" max="13" width="20.6640625" style="47" customWidth="1"/>
    <col min="14" max="14" width="13" style="47"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3.75" customHeight="1">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1298</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3</v>
      </c>
      <c r="G78" s="53">
        <v>1</v>
      </c>
      <c r="H78" s="52">
        <f t="shared" si="4"/>
        <v>4</v>
      </c>
      <c r="I78" s="52">
        <f>IF(D78&lt;&gt;"",D78,IFERROR(E78/(IFERROR(SUM(Sales!C:C),0))*(IFERROR(SUM(Purchases!C:C),0)),0))</f>
        <v>1075</v>
      </c>
      <c r="J78" s="52">
        <f t="shared" si="5"/>
        <v>3225</v>
      </c>
      <c r="K78" s="52">
        <f t="shared" si="6"/>
        <v>1075</v>
      </c>
      <c r="L78" s="52" t="s">
        <v>673</v>
      </c>
      <c r="M78" s="52"/>
      <c r="N78" s="52" t="s">
        <v>589</v>
      </c>
      <c r="O78" s="52" t="s">
        <v>674</v>
      </c>
      <c r="P78" s="52"/>
      <c r="Q78" s="52"/>
      <c r="R78" s="52"/>
      <c r="S78" s="52"/>
      <c r="T78" s="52"/>
    </row>
    <row r="79" spans="1:20" ht="15" customHeight="1">
      <c r="A79" s="55" t="s">
        <v>675</v>
      </c>
      <c r="B79" s="55" t="s">
        <v>676</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677</v>
      </c>
      <c r="M79" s="55"/>
      <c r="N79" s="55" t="s">
        <v>678</v>
      </c>
      <c r="O79" s="55" t="s">
        <v>674</v>
      </c>
      <c r="P79" s="55"/>
      <c r="Q79" s="55"/>
      <c r="R79" s="55"/>
      <c r="S79" s="55"/>
      <c r="T79" s="55"/>
    </row>
    <row r="80" spans="1:20" ht="15" customHeight="1">
      <c r="A80" s="52" t="s">
        <v>679</v>
      </c>
      <c r="B80" s="52" t="s">
        <v>680</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681</v>
      </c>
      <c r="M80" s="52"/>
      <c r="N80" s="52" t="s">
        <v>589</v>
      </c>
      <c r="O80" s="52" t="s">
        <v>682</v>
      </c>
      <c r="P80" s="52"/>
      <c r="Q80" s="52"/>
      <c r="R80" s="52"/>
      <c r="S80" s="52"/>
      <c r="T80" s="52"/>
    </row>
    <row r="81" spans="1:20" ht="30" customHeight="1">
      <c r="A81" s="55" t="s">
        <v>683</v>
      </c>
      <c r="B81" s="55" t="s">
        <v>684</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685</v>
      </c>
      <c r="M81" s="55"/>
      <c r="N81" s="55" t="s">
        <v>504</v>
      </c>
      <c r="O81" s="55"/>
      <c r="P81" s="55"/>
      <c r="Q81" s="55"/>
      <c r="R81" s="55"/>
      <c r="S81" s="55"/>
      <c r="T81" s="55"/>
    </row>
    <row r="82" spans="1:20" ht="15" customHeight="1">
      <c r="A82" s="52" t="s">
        <v>686</v>
      </c>
      <c r="B82" s="52" t="s">
        <v>687</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688</v>
      </c>
      <c r="M82" s="52"/>
      <c r="N82" s="52" t="s">
        <v>504</v>
      </c>
      <c r="O82" s="52"/>
      <c r="P82" s="52"/>
      <c r="Q82" s="52"/>
      <c r="R82" s="52"/>
      <c r="S82" s="52"/>
      <c r="T82" s="52"/>
    </row>
    <row r="83" spans="1:20" ht="30" customHeight="1">
      <c r="A83" s="55" t="s">
        <v>689</v>
      </c>
      <c r="B83" s="55" t="s">
        <v>690</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691</v>
      </c>
      <c r="M83" s="55"/>
      <c r="N83" s="55" t="s">
        <v>504</v>
      </c>
      <c r="O83" s="55" t="s">
        <v>692</v>
      </c>
      <c r="P83" s="55"/>
      <c r="Q83" s="55"/>
      <c r="R83" s="55"/>
      <c r="S83" s="55"/>
      <c r="T83" s="55"/>
    </row>
    <row r="84" spans="1:20" ht="15" customHeight="1">
      <c r="A84" s="52" t="s">
        <v>693</v>
      </c>
      <c r="B84" s="52" t="s">
        <v>694</v>
      </c>
      <c r="C84" s="52" t="s">
        <v>96</v>
      </c>
      <c r="D84" s="53">
        <v>450</v>
      </c>
      <c r="E84" s="53">
        <v>650</v>
      </c>
      <c r="F84" s="53">
        <v>1</v>
      </c>
      <c r="G84" s="53">
        <v>2</v>
      </c>
      <c r="H84" s="52">
        <f t="shared" si="4"/>
        <v>3</v>
      </c>
      <c r="I84" s="52">
        <f>IF(D84&lt;&gt;"",D84,IFERROR(E84/(IFERROR(SUM(Sales!C:C),0))*(IFERROR(SUM(Purchases!C:C),0)),0))</f>
        <v>450</v>
      </c>
      <c r="J84" s="52">
        <f t="shared" si="5"/>
        <v>450</v>
      </c>
      <c r="K84" s="52">
        <f t="shared" si="6"/>
        <v>900</v>
      </c>
      <c r="L84" s="52" t="s">
        <v>695</v>
      </c>
      <c r="M84" s="52"/>
      <c r="N84" s="52" t="s">
        <v>589</v>
      </c>
      <c r="O84" s="52" t="s">
        <v>696</v>
      </c>
      <c r="P84" s="52"/>
      <c r="Q84" s="52"/>
      <c r="R84" s="52"/>
      <c r="S84" s="52"/>
      <c r="T84" s="52"/>
    </row>
    <row r="85" spans="1:20" ht="15" customHeight="1">
      <c r="A85" s="55" t="s">
        <v>697</v>
      </c>
      <c r="B85" s="55" t="s">
        <v>698</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699</v>
      </c>
      <c r="M85" s="55"/>
      <c r="N85" s="55" t="s">
        <v>504</v>
      </c>
      <c r="O85" s="55"/>
      <c r="P85" s="55"/>
      <c r="Q85" s="55"/>
      <c r="R85" s="55"/>
      <c r="S85" s="55"/>
      <c r="T85" s="55"/>
    </row>
    <row r="86" spans="1:20" ht="15" customHeight="1">
      <c r="A86" s="52" t="s">
        <v>700</v>
      </c>
      <c r="B86" s="52" t="s">
        <v>701</v>
      </c>
      <c r="C86" s="52" t="s">
        <v>96</v>
      </c>
      <c r="D86" s="53">
        <v>1045</v>
      </c>
      <c r="E86" s="53">
        <v>1495</v>
      </c>
      <c r="F86" s="53">
        <v>2</v>
      </c>
      <c r="G86" s="53">
        <v>2</v>
      </c>
      <c r="H86" s="52">
        <f t="shared" si="4"/>
        <v>4</v>
      </c>
      <c r="I86" s="52">
        <f>IF(D86&lt;&gt;"",D86,IFERROR(E86/(IFERROR(SUM(Sales!C:C),0))*(IFERROR(SUM(Purchases!C:C),0)),0))</f>
        <v>1045</v>
      </c>
      <c r="J86" s="52">
        <f t="shared" si="5"/>
        <v>2090</v>
      </c>
      <c r="K86" s="52">
        <f t="shared" si="6"/>
        <v>2090</v>
      </c>
      <c r="L86" s="52" t="s">
        <v>702</v>
      </c>
      <c r="M86" s="52"/>
      <c r="N86" s="52" t="s">
        <v>589</v>
      </c>
      <c r="O86" s="52" t="s">
        <v>703</v>
      </c>
      <c r="P86" s="52"/>
      <c r="Q86" s="52"/>
      <c r="R86" s="52"/>
      <c r="S86" s="52"/>
      <c r="T86" s="52"/>
    </row>
    <row r="87" spans="1:20" ht="15" customHeight="1">
      <c r="A87" s="55" t="s">
        <v>704</v>
      </c>
      <c r="B87" s="55" t="s">
        <v>705</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678</v>
      </c>
      <c r="O87" s="55" t="s">
        <v>706</v>
      </c>
      <c r="P87" s="55"/>
      <c r="Q87" s="55"/>
      <c r="R87" s="55"/>
      <c r="S87" s="55"/>
      <c r="T87" s="55"/>
    </row>
    <row r="88" spans="1:20" ht="30" customHeight="1">
      <c r="A88" s="52" t="s">
        <v>707</v>
      </c>
      <c r="B88" s="52" t="s">
        <v>708</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1121</v>
      </c>
      <c r="M88" s="52"/>
      <c r="N88" s="52" t="s">
        <v>504</v>
      </c>
      <c r="O88" s="52"/>
      <c r="P88" s="52"/>
      <c r="Q88" s="52"/>
      <c r="R88" s="52"/>
      <c r="S88" s="52"/>
      <c r="T88" s="52"/>
    </row>
    <row r="89" spans="1:20" ht="15" customHeight="1">
      <c r="A89" s="55" t="s">
        <v>709</v>
      </c>
      <c r="B89" s="55" t="s">
        <v>710</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711</v>
      </c>
      <c r="M89" s="55"/>
      <c r="N89" s="55" t="s">
        <v>504</v>
      </c>
      <c r="O89" s="55"/>
      <c r="P89" s="55"/>
      <c r="Q89" s="55"/>
      <c r="R89" s="55"/>
      <c r="S89" s="55"/>
      <c r="T89" s="55"/>
    </row>
    <row r="90" spans="1:20" ht="15" customHeight="1">
      <c r="A90" s="52" t="s">
        <v>712</v>
      </c>
      <c r="B90" s="52" t="s">
        <v>713</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714</v>
      </c>
      <c r="B91" s="55" t="s">
        <v>715</v>
      </c>
      <c r="C91" s="55" t="s">
        <v>716</v>
      </c>
      <c r="D91" s="56">
        <v>389</v>
      </c>
      <c r="E91" s="56">
        <v>689</v>
      </c>
      <c r="F91" s="56">
        <v>2</v>
      </c>
      <c r="G91" s="56">
        <v>0</v>
      </c>
      <c r="H91" s="55">
        <f t="shared" si="4"/>
        <v>2</v>
      </c>
      <c r="I91" s="55">
        <f>IF(D91&lt;&gt;"",D91,IFERROR(E91/(IFERROR(SUM(Sales!C:C),0))*(IFERROR(SUM(Purchases!C:C),0)),0))</f>
        <v>389</v>
      </c>
      <c r="J91" s="55">
        <f t="shared" si="5"/>
        <v>778</v>
      </c>
      <c r="K91" s="55">
        <f t="shared" si="6"/>
        <v>0</v>
      </c>
      <c r="L91" s="55" t="s">
        <v>717</v>
      </c>
      <c r="M91" s="55"/>
      <c r="N91" s="55" t="s">
        <v>504</v>
      </c>
      <c r="O91" s="55"/>
      <c r="P91" s="55"/>
      <c r="Q91" s="55"/>
      <c r="R91" s="55"/>
      <c r="S91" s="55"/>
      <c r="T91" s="55"/>
    </row>
    <row r="92" spans="1:20" ht="15" customHeight="1">
      <c r="A92" s="52" t="s">
        <v>718</v>
      </c>
      <c r="B92" s="52" t="s">
        <v>719</v>
      </c>
      <c r="C92" s="52" t="s">
        <v>716</v>
      </c>
      <c r="D92" s="53">
        <v>489</v>
      </c>
      <c r="E92" s="53">
        <v>789</v>
      </c>
      <c r="F92" s="53">
        <v>3</v>
      </c>
      <c r="G92" s="53">
        <v>0</v>
      </c>
      <c r="H92" s="52">
        <f t="shared" si="4"/>
        <v>3</v>
      </c>
      <c r="I92" s="52">
        <f>IF(D92&lt;&gt;"",D92,IFERROR(E92/(IFERROR(SUM(Sales!C:C),0))*(IFERROR(SUM(Purchases!C:C),0)),0))</f>
        <v>489</v>
      </c>
      <c r="J92" s="52">
        <f t="shared" si="5"/>
        <v>1467</v>
      </c>
      <c r="K92" s="52">
        <f t="shared" si="6"/>
        <v>0</v>
      </c>
      <c r="L92" s="52" t="s">
        <v>720</v>
      </c>
      <c r="M92" s="52"/>
      <c r="N92" s="52" t="s">
        <v>504</v>
      </c>
      <c r="O92" s="52"/>
      <c r="P92" s="52"/>
      <c r="Q92" s="52"/>
      <c r="R92" s="52"/>
      <c r="S92" s="52"/>
      <c r="T92" s="52"/>
    </row>
    <row r="93" spans="1:20" ht="15" customHeight="1">
      <c r="A93" s="55" t="s">
        <v>721</v>
      </c>
      <c r="B93" s="55" t="s">
        <v>722</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1176</v>
      </c>
      <c r="M93" s="55"/>
      <c r="N93" s="52" t="s">
        <v>589</v>
      </c>
      <c r="O93" s="55" t="s">
        <v>216</v>
      </c>
      <c r="P93" s="55"/>
      <c r="Q93" s="55"/>
      <c r="R93" s="55"/>
      <c r="S93" s="55"/>
      <c r="T93" s="55"/>
    </row>
    <row r="94" spans="1:20" ht="15" customHeight="1">
      <c r="A94" s="52" t="s">
        <v>723</v>
      </c>
      <c r="B94" s="52" t="s">
        <v>724</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725</v>
      </c>
      <c r="B95" s="55" t="s">
        <v>726</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727</v>
      </c>
      <c r="M95" s="55"/>
      <c r="N95" s="55" t="s">
        <v>504</v>
      </c>
      <c r="O95" s="55"/>
      <c r="P95" s="55"/>
      <c r="Q95" s="55"/>
      <c r="R95" s="55"/>
      <c r="S95" s="55"/>
      <c r="T95" s="55"/>
    </row>
    <row r="96" spans="1:20" ht="15" customHeight="1">
      <c r="A96" s="52" t="s">
        <v>728</v>
      </c>
      <c r="B96" s="52" t="s">
        <v>729</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730</v>
      </c>
      <c r="B97" s="55" t="s">
        <v>731</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732</v>
      </c>
      <c r="B98" s="52" t="s">
        <v>733</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734</v>
      </c>
      <c r="B99" s="55" t="s">
        <v>735</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736</v>
      </c>
      <c r="B100" s="52" t="s">
        <v>737</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738</v>
      </c>
      <c r="B101" s="55" t="s">
        <v>739</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740</v>
      </c>
      <c r="B102" s="52" t="s">
        <v>741</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742</v>
      </c>
      <c r="B103" s="55" t="s">
        <v>743</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744</v>
      </c>
      <c r="B104" s="52" t="s">
        <v>745</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746</v>
      </c>
      <c r="B105" s="55" t="s">
        <v>747</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748</v>
      </c>
      <c r="B106" s="52" t="s">
        <v>749</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750</v>
      </c>
      <c r="B107" s="55" t="s">
        <v>751</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752</v>
      </c>
      <c r="B108" s="52" t="s">
        <v>753</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754</v>
      </c>
      <c r="B109" s="55" t="s">
        <v>755</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756</v>
      </c>
      <c r="B110" s="52" t="s">
        <v>757</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758</v>
      </c>
      <c r="B111" s="55" t="s">
        <v>759</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760</v>
      </c>
      <c r="B112" s="52" t="s">
        <v>761</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1106</v>
      </c>
      <c r="M112" s="52"/>
      <c r="N112" s="52" t="s">
        <v>504</v>
      </c>
      <c r="O112" s="52" t="s">
        <v>207</v>
      </c>
      <c r="P112" s="52"/>
      <c r="Q112" s="52"/>
      <c r="R112" s="52"/>
      <c r="S112" s="52"/>
      <c r="T112" s="52"/>
    </row>
    <row r="113" spans="1:246" ht="15" customHeight="1">
      <c r="A113" s="55" t="s">
        <v>762</v>
      </c>
      <c r="B113" s="55" t="s">
        <v>763</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764</v>
      </c>
      <c r="B114" s="52" t="s">
        <v>765</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766</v>
      </c>
      <c r="B115" s="55" t="s">
        <v>767</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768</v>
      </c>
      <c r="M115" s="55"/>
      <c r="N115" s="55" t="s">
        <v>504</v>
      </c>
      <c r="O115" s="55"/>
      <c r="P115" s="79"/>
      <c r="Q115" s="55"/>
      <c r="R115" s="55"/>
      <c r="S115" s="55"/>
      <c r="T115" s="55"/>
    </row>
    <row r="116" spans="1:246" ht="150" customHeight="1">
      <c r="A116" s="52" t="s">
        <v>769</v>
      </c>
      <c r="B116" s="52" t="s">
        <v>770</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771</v>
      </c>
      <c r="M116" s="52"/>
      <c r="N116" s="52" t="s">
        <v>504</v>
      </c>
      <c r="O116" s="52"/>
      <c r="P116" s="52"/>
      <c r="Q116" s="52"/>
      <c r="R116" s="52"/>
      <c r="S116" s="52"/>
      <c r="T116" s="52"/>
    </row>
    <row r="117" spans="1:246" ht="15" customHeight="1">
      <c r="A117" s="55" t="s">
        <v>772</v>
      </c>
      <c r="B117" s="55" t="s">
        <v>773</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774</v>
      </c>
      <c r="B118" s="52" t="s">
        <v>775</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776</v>
      </c>
      <c r="M118" s="52"/>
      <c r="N118" s="52" t="s">
        <v>504</v>
      </c>
      <c r="O118" s="52"/>
      <c r="P118" s="52" t="s">
        <v>777</v>
      </c>
      <c r="Q118" s="52"/>
      <c r="R118" s="52"/>
      <c r="S118" s="52"/>
      <c r="T118" s="52"/>
    </row>
    <row r="119" spans="1:246" ht="15" customHeight="1">
      <c r="A119" s="55" t="s">
        <v>778</v>
      </c>
      <c r="B119" s="55" t="s">
        <v>779</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780</v>
      </c>
      <c r="B120" s="52" t="s">
        <v>781</v>
      </c>
      <c r="C120" s="52" t="s">
        <v>95</v>
      </c>
      <c r="D120" s="53">
        <v>418.95333333333298</v>
      </c>
      <c r="E120" s="53">
        <v>699</v>
      </c>
      <c r="F120" s="53">
        <v>43</v>
      </c>
      <c r="G120" s="53">
        <v>8</v>
      </c>
      <c r="H120" s="52">
        <f t="shared" si="7"/>
        <v>51</v>
      </c>
      <c r="I120" s="52">
        <f>IF(D120&lt;&gt;"",D120,IFERROR(E120/(IFERROR(SUM(Sales!C:C),0))*(IFERROR(SUM(Purchases!C:C),0)),0))</f>
        <v>418.95333333333298</v>
      </c>
      <c r="J120" s="52">
        <f t="shared" si="5"/>
        <v>18014.993333333317</v>
      </c>
      <c r="K120" s="52">
        <f t="shared" si="6"/>
        <v>3351.6266666666638</v>
      </c>
      <c r="L120" s="52" t="s">
        <v>1170</v>
      </c>
      <c r="M120" s="52" t="s">
        <v>49</v>
      </c>
      <c r="N120" s="52" t="s">
        <v>589</v>
      </c>
      <c r="O120" s="52"/>
      <c r="P120" s="52" t="s">
        <v>1171</v>
      </c>
      <c r="Q120" s="52"/>
      <c r="R120" s="52"/>
      <c r="S120" s="52"/>
      <c r="T120" s="52"/>
    </row>
    <row r="121" spans="1:246" ht="15" customHeight="1">
      <c r="A121" s="55" t="s">
        <v>782</v>
      </c>
      <c r="B121" s="55" t="s">
        <v>783</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784</v>
      </c>
      <c r="M121" s="55"/>
      <c r="N121" s="55" t="s">
        <v>504</v>
      </c>
      <c r="O121" s="55"/>
      <c r="P121" s="55" t="s">
        <v>785</v>
      </c>
      <c r="Q121" s="55"/>
      <c r="R121" s="55"/>
      <c r="S121" s="55"/>
      <c r="T121" s="55"/>
    </row>
    <row r="122" spans="1:246" ht="15" customHeight="1">
      <c r="A122" s="52" t="s">
        <v>786</v>
      </c>
      <c r="B122" s="52" t="s">
        <v>787</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788</v>
      </c>
      <c r="M122" s="52"/>
      <c r="N122" s="52" t="s">
        <v>504</v>
      </c>
      <c r="O122" s="52"/>
      <c r="P122" s="52"/>
      <c r="Q122" s="52"/>
      <c r="R122" s="52"/>
      <c r="S122" s="52"/>
      <c r="T122" s="52"/>
    </row>
    <row r="123" spans="1:246" s="58" customFormat="1" ht="75" customHeight="1">
      <c r="A123" s="63" t="s">
        <v>789</v>
      </c>
      <c r="B123" s="63" t="s">
        <v>790</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791</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792</v>
      </c>
      <c r="B124" s="65" t="s">
        <v>793</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794</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795</v>
      </c>
      <c r="B125" s="63" t="s">
        <v>796</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797</v>
      </c>
      <c r="M125" s="63"/>
      <c r="N125" s="63" t="s">
        <v>504</v>
      </c>
      <c r="O125" s="63"/>
      <c r="P125" s="63" t="s">
        <v>798</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799</v>
      </c>
      <c r="B126" s="52" t="s">
        <v>800</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801</v>
      </c>
      <c r="M126" s="52"/>
      <c r="N126" s="52" t="s">
        <v>504</v>
      </c>
      <c r="O126" s="52" t="s">
        <v>802</v>
      </c>
      <c r="P126" s="52"/>
      <c r="Q126" s="52"/>
      <c r="R126" s="52"/>
      <c r="S126" s="52"/>
      <c r="T126" s="52"/>
    </row>
    <row r="127" spans="1:246" ht="15" customHeight="1">
      <c r="A127" s="63" t="s">
        <v>803</v>
      </c>
      <c r="B127" s="55" t="s">
        <v>804</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805</v>
      </c>
      <c r="B128" s="52" t="s">
        <v>806</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1076</v>
      </c>
      <c r="M128" s="52"/>
      <c r="N128" s="52" t="s">
        <v>504</v>
      </c>
      <c r="O128" s="52"/>
      <c r="P128" s="52"/>
      <c r="Q128" s="52"/>
      <c r="R128" s="52"/>
      <c r="S128" s="52"/>
      <c r="T128" s="52"/>
    </row>
    <row r="129" spans="1:20" ht="15" customHeight="1">
      <c r="A129" s="63" t="s">
        <v>807</v>
      </c>
      <c r="B129" s="55" t="s">
        <v>808</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809</v>
      </c>
      <c r="M129" s="55"/>
      <c r="N129" s="55" t="s">
        <v>504</v>
      </c>
      <c r="O129" s="55"/>
      <c r="P129" s="55"/>
      <c r="Q129" s="55"/>
      <c r="R129" s="55"/>
      <c r="S129" s="55"/>
      <c r="T129" s="55"/>
    </row>
    <row r="130" spans="1:20" ht="15" customHeight="1">
      <c r="A130" s="65" t="s">
        <v>810</v>
      </c>
      <c r="B130" s="52" t="s">
        <v>811</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812</v>
      </c>
      <c r="M130" s="52"/>
      <c r="N130" s="52" t="s">
        <v>504</v>
      </c>
      <c r="O130" s="52"/>
      <c r="P130" s="52"/>
      <c r="Q130" s="52"/>
      <c r="R130" s="52"/>
      <c r="S130" s="52"/>
      <c r="T130" s="52"/>
    </row>
    <row r="131" spans="1:20" ht="15" customHeight="1">
      <c r="A131" s="63" t="s">
        <v>813</v>
      </c>
      <c r="B131" s="55" t="s">
        <v>814</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678</v>
      </c>
      <c r="O131" s="55"/>
      <c r="P131" s="55"/>
      <c r="Q131" s="55"/>
      <c r="R131" s="55"/>
      <c r="S131" s="55"/>
      <c r="T131" s="55"/>
    </row>
    <row r="132" spans="1:20" ht="15" customHeight="1">
      <c r="A132" s="65" t="s">
        <v>815</v>
      </c>
      <c r="B132" s="52" t="s">
        <v>816</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817</v>
      </c>
      <c r="M132" s="52"/>
      <c r="N132" s="52" t="s">
        <v>504</v>
      </c>
      <c r="O132" s="52"/>
      <c r="P132" s="52"/>
      <c r="Q132" s="52"/>
      <c r="R132" s="52"/>
      <c r="S132" s="52"/>
      <c r="T132" s="52"/>
    </row>
    <row r="133" spans="1:20" ht="15" customHeight="1">
      <c r="A133" s="63" t="s">
        <v>818</v>
      </c>
      <c r="B133" s="55" t="s">
        <v>819</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678</v>
      </c>
      <c r="O133" s="55"/>
      <c r="P133" s="55"/>
      <c r="Q133" s="55"/>
      <c r="R133" s="55"/>
      <c r="S133" s="55"/>
      <c r="T133" s="55"/>
    </row>
    <row r="134" spans="1:20" ht="15" customHeight="1">
      <c r="A134" s="65" t="s">
        <v>820</v>
      </c>
      <c r="B134" s="52" t="s">
        <v>821</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678</v>
      </c>
      <c r="O134" s="52"/>
      <c r="P134" s="52"/>
      <c r="Q134" s="52"/>
      <c r="R134" s="52"/>
      <c r="S134" s="52"/>
      <c r="T134" s="52"/>
    </row>
    <row r="135" spans="1:20" ht="15" customHeight="1">
      <c r="A135" s="63" t="s">
        <v>822</v>
      </c>
      <c r="B135" s="55" t="s">
        <v>823</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824</v>
      </c>
      <c r="M135" s="55"/>
      <c r="N135" s="55" t="s">
        <v>504</v>
      </c>
      <c r="O135" s="55"/>
      <c r="P135" s="55"/>
      <c r="Q135" s="55"/>
      <c r="R135" s="55"/>
      <c r="S135" s="55"/>
      <c r="T135" s="55"/>
    </row>
    <row r="136" spans="1:20" ht="15" customHeight="1">
      <c r="A136" s="65" t="s">
        <v>825</v>
      </c>
      <c r="B136" s="52" t="s">
        <v>826</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827</v>
      </c>
      <c r="M136" s="52"/>
      <c r="N136" s="52" t="s">
        <v>504</v>
      </c>
      <c r="O136" s="52"/>
      <c r="P136" s="52" t="s">
        <v>828</v>
      </c>
      <c r="Q136" s="52"/>
      <c r="R136" s="52"/>
      <c r="S136" s="52"/>
      <c r="T136" s="52"/>
    </row>
    <row r="137" spans="1:20" ht="15" customHeight="1">
      <c r="A137" s="63" t="s">
        <v>829</v>
      </c>
      <c r="B137" s="55" t="s">
        <v>830</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831</v>
      </c>
      <c r="B138" s="52" t="s">
        <v>832</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833</v>
      </c>
      <c r="M138" s="52"/>
      <c r="N138" s="52" t="s">
        <v>504</v>
      </c>
      <c r="O138" s="52"/>
      <c r="P138" s="52"/>
      <c r="Q138" s="52"/>
      <c r="R138" s="52"/>
      <c r="S138" s="52"/>
      <c r="T138" s="52"/>
    </row>
    <row r="139" spans="1:20" ht="15" customHeight="1">
      <c r="A139" s="63" t="s">
        <v>834</v>
      </c>
      <c r="B139" s="55" t="s">
        <v>835</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836</v>
      </c>
      <c r="B140" s="52" t="s">
        <v>837</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838</v>
      </c>
      <c r="M140" s="52"/>
      <c r="N140" s="52" t="s">
        <v>589</v>
      </c>
      <c r="O140" s="52"/>
      <c r="P140" s="52"/>
      <c r="Q140" s="52"/>
      <c r="R140" s="52"/>
      <c r="S140" s="52"/>
      <c r="T140" s="52"/>
    </row>
    <row r="141" spans="1:20" ht="15" customHeight="1">
      <c r="A141" s="63" t="s">
        <v>839</v>
      </c>
      <c r="B141" s="55" t="s">
        <v>840</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841</v>
      </c>
      <c r="M141" s="55"/>
      <c r="N141" s="55" t="s">
        <v>504</v>
      </c>
      <c r="O141" s="55"/>
      <c r="P141" s="55"/>
      <c r="Q141" s="55"/>
      <c r="R141" s="55"/>
      <c r="S141" s="55"/>
      <c r="T141" s="55"/>
    </row>
    <row r="142" spans="1:20" ht="15" customHeight="1">
      <c r="A142" s="52" t="s">
        <v>842</v>
      </c>
      <c r="B142" s="52" t="s">
        <v>843</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844</v>
      </c>
      <c r="M142" s="52"/>
      <c r="N142" s="52" t="s">
        <v>504</v>
      </c>
      <c r="O142" s="52"/>
      <c r="P142" s="52"/>
      <c r="Q142" s="52"/>
      <c r="R142" s="52"/>
      <c r="S142" s="52"/>
      <c r="T142" s="52"/>
    </row>
    <row r="143" spans="1:20" ht="15" customHeight="1">
      <c r="A143" s="55" t="s">
        <v>845</v>
      </c>
      <c r="B143" s="55" t="s">
        <v>846</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678</v>
      </c>
      <c r="O143" s="55"/>
      <c r="P143" s="55"/>
      <c r="Q143" s="55"/>
      <c r="R143" s="55"/>
      <c r="S143" s="55"/>
      <c r="T143" s="55"/>
    </row>
    <row r="144" spans="1:20" ht="15" customHeight="1">
      <c r="A144" s="52" t="s">
        <v>847</v>
      </c>
      <c r="B144" s="52" t="s">
        <v>848</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678</v>
      </c>
      <c r="O144" s="52"/>
      <c r="P144" s="52"/>
      <c r="Q144" s="52"/>
      <c r="R144" s="52"/>
      <c r="S144" s="52"/>
      <c r="T144" s="52"/>
    </row>
    <row r="145" spans="1:20" ht="15" customHeight="1">
      <c r="A145" s="55" t="s">
        <v>849</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850</v>
      </c>
      <c r="B146" s="52" t="s">
        <v>851</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852</v>
      </c>
      <c r="M146" s="52"/>
      <c r="N146" s="52" t="s">
        <v>589</v>
      </c>
      <c r="O146" s="52"/>
      <c r="P146" s="52" t="s">
        <v>853</v>
      </c>
      <c r="Q146" s="52"/>
      <c r="R146" s="52"/>
      <c r="S146" s="52"/>
      <c r="T146" s="52"/>
    </row>
    <row r="147" spans="1:20" ht="63.75" customHeight="1">
      <c r="A147" s="55" t="s">
        <v>854</v>
      </c>
      <c r="B147" s="55" t="s">
        <v>855</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1167</v>
      </c>
      <c r="M147" s="55"/>
      <c r="N147" s="55" t="s">
        <v>504</v>
      </c>
      <c r="O147" s="55"/>
      <c r="P147" s="55"/>
      <c r="Q147" s="55"/>
      <c r="R147" s="55"/>
      <c r="S147" s="55"/>
      <c r="T147" s="55"/>
    </row>
    <row r="148" spans="1:20" ht="15" customHeight="1">
      <c r="A148" s="52" t="s">
        <v>856</v>
      </c>
      <c r="B148" s="52" t="s">
        <v>857</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1140</v>
      </c>
      <c r="M148" s="52"/>
      <c r="N148" s="52" t="s">
        <v>589</v>
      </c>
      <c r="O148" s="52"/>
      <c r="P148" s="52"/>
      <c r="Q148" s="52"/>
      <c r="R148" s="52"/>
      <c r="S148" s="52"/>
      <c r="T148" s="52"/>
    </row>
    <row r="149" spans="1:20" ht="15" customHeight="1">
      <c r="A149" s="55" t="s">
        <v>858</v>
      </c>
      <c r="B149" s="55" t="s">
        <v>859</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1141</v>
      </c>
      <c r="M149" s="55"/>
      <c r="N149" s="55" t="s">
        <v>504</v>
      </c>
      <c r="O149" s="55"/>
      <c r="P149" s="55"/>
      <c r="Q149" s="55"/>
      <c r="R149" s="55"/>
      <c r="S149" s="55"/>
      <c r="T149" s="55"/>
    </row>
    <row r="150" spans="1:20" ht="15" customHeight="1">
      <c r="A150" s="52" t="s">
        <v>860</v>
      </c>
      <c r="B150" s="52" t="s">
        <v>861</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678</v>
      </c>
      <c r="O150" s="52"/>
      <c r="P150" s="52"/>
      <c r="Q150" s="52"/>
      <c r="R150" s="52"/>
      <c r="S150" s="52"/>
      <c r="T150" s="52"/>
    </row>
    <row r="151" spans="1:20" ht="15" customHeight="1">
      <c r="A151" s="55" t="s">
        <v>862</v>
      </c>
      <c r="B151" s="55" t="s">
        <v>863</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864</v>
      </c>
      <c r="M151" s="55"/>
      <c r="N151" s="55" t="s">
        <v>589</v>
      </c>
      <c r="O151" s="55" t="s">
        <v>216</v>
      </c>
      <c r="P151" s="55" t="s">
        <v>865</v>
      </c>
      <c r="Q151" s="55"/>
      <c r="R151" s="55"/>
      <c r="S151" s="55"/>
      <c r="T151" s="55"/>
    </row>
    <row r="152" spans="1:20" ht="15" customHeight="1">
      <c r="A152" s="52" t="s">
        <v>866</v>
      </c>
      <c r="B152" s="52" t="s">
        <v>867</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868</v>
      </c>
      <c r="M152" s="52"/>
      <c r="N152" s="52" t="s">
        <v>589</v>
      </c>
      <c r="O152" s="52" t="s">
        <v>869</v>
      </c>
      <c r="P152" s="52" t="s">
        <v>870</v>
      </c>
      <c r="Q152" s="52"/>
      <c r="R152" s="52"/>
      <c r="S152" s="52"/>
      <c r="T152" s="52"/>
    </row>
    <row r="153" spans="1:20" ht="15" customHeight="1">
      <c r="A153" s="55" t="s">
        <v>871</v>
      </c>
      <c r="B153" s="55" t="s">
        <v>872</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873</v>
      </c>
      <c r="M153" s="55"/>
      <c r="N153" s="55" t="s">
        <v>504</v>
      </c>
      <c r="O153" s="55"/>
      <c r="P153" s="55" t="s">
        <v>874</v>
      </c>
      <c r="Q153" s="55"/>
      <c r="R153" s="55"/>
      <c r="S153" s="55"/>
      <c r="T153" s="55"/>
    </row>
    <row r="154" spans="1:20" ht="15" customHeight="1">
      <c r="A154" s="52" t="s">
        <v>875</v>
      </c>
      <c r="B154" s="52" t="s">
        <v>876</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1110</v>
      </c>
      <c r="M154" s="52"/>
      <c r="N154" s="52" t="s">
        <v>589</v>
      </c>
      <c r="O154" s="52" t="s">
        <v>1107</v>
      </c>
      <c r="P154" s="52"/>
      <c r="Q154" s="52"/>
      <c r="R154" s="52"/>
      <c r="S154" s="52"/>
      <c r="T154" s="52"/>
    </row>
    <row r="155" spans="1:20" ht="15" customHeight="1">
      <c r="A155" s="55" t="s">
        <v>877</v>
      </c>
      <c r="B155" s="55" t="s">
        <v>878</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1128</v>
      </c>
      <c r="M155" s="55"/>
      <c r="N155" s="55" t="s">
        <v>589</v>
      </c>
      <c r="O155" s="55" t="s">
        <v>1107</v>
      </c>
      <c r="P155" s="55"/>
      <c r="Q155" s="55"/>
      <c r="R155" s="55"/>
      <c r="S155" s="55"/>
      <c r="T155" s="55"/>
    </row>
    <row r="156" spans="1:20" ht="15" customHeight="1">
      <c r="A156" s="52" t="s">
        <v>879</v>
      </c>
      <c r="B156" s="52" t="s">
        <v>880</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1111</v>
      </c>
      <c r="M156" s="52"/>
      <c r="N156" s="52" t="s">
        <v>589</v>
      </c>
      <c r="O156" s="52" t="s">
        <v>621</v>
      </c>
      <c r="P156" s="52"/>
      <c r="Q156" s="52"/>
      <c r="R156" s="52"/>
      <c r="S156" s="52"/>
      <c r="T156" s="52"/>
    </row>
    <row r="157" spans="1:20" ht="15" customHeight="1">
      <c r="A157" s="55" t="s">
        <v>881</v>
      </c>
      <c r="B157" s="55" t="s">
        <v>882</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883</v>
      </c>
      <c r="M157" s="55"/>
      <c r="N157" s="55" t="s">
        <v>589</v>
      </c>
      <c r="O157" s="55" t="s">
        <v>619</v>
      </c>
      <c r="P157" s="55"/>
      <c r="Q157" s="55"/>
      <c r="R157" s="55"/>
      <c r="S157" s="55"/>
      <c r="T157" s="55"/>
    </row>
    <row r="158" spans="1:20" ht="15" customHeight="1">
      <c r="A158" s="52" t="s">
        <v>884</v>
      </c>
      <c r="B158" s="52" t="s">
        <v>885</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886</v>
      </c>
      <c r="M158" s="52"/>
      <c r="N158" s="52" t="s">
        <v>678</v>
      </c>
      <c r="O158" s="52" t="s">
        <v>887</v>
      </c>
      <c r="P158" s="52"/>
      <c r="Q158" s="52"/>
      <c r="R158" s="52"/>
      <c r="S158" s="52"/>
      <c r="T158" s="52"/>
    </row>
    <row r="159" spans="1:20" ht="15" customHeight="1">
      <c r="A159" s="55" t="s">
        <v>888</v>
      </c>
      <c r="B159" s="55" t="s">
        <v>889</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890</v>
      </c>
      <c r="M159" s="55"/>
      <c r="N159" s="55" t="s">
        <v>589</v>
      </c>
      <c r="O159" s="55" t="s">
        <v>891</v>
      </c>
      <c r="P159" s="55"/>
      <c r="Q159" s="55"/>
      <c r="R159" s="55"/>
      <c r="S159" s="55"/>
      <c r="T159" s="55"/>
    </row>
    <row r="160" spans="1:20" ht="15" customHeight="1">
      <c r="A160" s="52" t="s">
        <v>892</v>
      </c>
      <c r="B160" s="52" t="s">
        <v>893</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894</v>
      </c>
      <c r="B161" s="55" t="s">
        <v>895</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896</v>
      </c>
      <c r="B162" s="52" t="s">
        <v>897</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898</v>
      </c>
      <c r="B163" s="55" t="s">
        <v>899</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678</v>
      </c>
      <c r="O163" s="55"/>
      <c r="P163" s="55"/>
      <c r="Q163" s="55"/>
      <c r="R163" s="55"/>
      <c r="S163" s="55"/>
      <c r="T163" s="55"/>
    </row>
    <row r="164" spans="1:20" ht="60" customHeight="1">
      <c r="A164" s="52" t="s">
        <v>900</v>
      </c>
      <c r="B164" s="52" t="s">
        <v>901</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1146</v>
      </c>
      <c r="M164" s="52"/>
      <c r="N164" s="52" t="s">
        <v>504</v>
      </c>
      <c r="O164" s="52"/>
      <c r="P164" s="52"/>
      <c r="Q164" s="52"/>
      <c r="R164" s="52"/>
      <c r="S164" s="52"/>
      <c r="T164" s="52"/>
    </row>
    <row r="165" spans="1:20" ht="15" customHeight="1">
      <c r="A165" s="55" t="s">
        <v>902</v>
      </c>
      <c r="B165" s="55" t="s">
        <v>903</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904</v>
      </c>
      <c r="Q165" s="55"/>
      <c r="R165" s="55"/>
      <c r="S165" s="55"/>
      <c r="T165" s="55"/>
    </row>
    <row r="166" spans="1:20" ht="15" customHeight="1">
      <c r="A166" s="52" t="s">
        <v>905</v>
      </c>
      <c r="B166" s="52" t="s">
        <v>906</v>
      </c>
      <c r="C166" s="52" t="s">
        <v>95</v>
      </c>
      <c r="D166" s="53">
        <v>606</v>
      </c>
      <c r="E166" s="53">
        <v>950</v>
      </c>
      <c r="F166" s="66">
        <v>1</v>
      </c>
      <c r="G166" s="66">
        <v>2</v>
      </c>
      <c r="H166" s="65">
        <f t="shared" si="11"/>
        <v>3</v>
      </c>
      <c r="I166" s="65">
        <f>IF(D166&lt;&gt;"",D166,IFERROR(E166/(IFERROR(SUM(Sales!C:C),0))*(IFERROR(SUM(Purchases!C:C),0)),0))</f>
        <v>606</v>
      </c>
      <c r="J166" s="65">
        <f t="shared" si="9"/>
        <v>606</v>
      </c>
      <c r="K166" s="65">
        <f t="shared" si="10"/>
        <v>1212</v>
      </c>
      <c r="L166" s="52" t="s">
        <v>1095</v>
      </c>
      <c r="M166" s="52"/>
      <c r="N166" s="52" t="s">
        <v>504</v>
      </c>
      <c r="O166" s="52"/>
      <c r="P166" s="52" t="s">
        <v>1096</v>
      </c>
      <c r="Q166" s="52"/>
      <c r="R166" s="52"/>
      <c r="S166" s="52"/>
      <c r="T166" s="52"/>
    </row>
    <row r="167" spans="1:20" ht="15" customHeight="1">
      <c r="A167" s="55" t="s">
        <v>907</v>
      </c>
      <c r="B167" s="55" t="s">
        <v>908</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909</v>
      </c>
      <c r="M167" s="55"/>
      <c r="N167" s="55" t="s">
        <v>589</v>
      </c>
      <c r="O167" s="55"/>
      <c r="P167" s="55" t="s">
        <v>910</v>
      </c>
      <c r="Q167" s="55"/>
      <c r="R167" s="55"/>
      <c r="S167" s="55"/>
      <c r="T167" s="55"/>
    </row>
    <row r="168" spans="1:20" ht="15" customHeight="1">
      <c r="A168" s="52" t="s">
        <v>911</v>
      </c>
      <c r="B168" s="52" t="s">
        <v>912</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913</v>
      </c>
      <c r="M168" s="52"/>
      <c r="N168" s="52" t="s">
        <v>589</v>
      </c>
      <c r="O168" s="52"/>
      <c r="P168" s="52" t="s">
        <v>914</v>
      </c>
      <c r="Q168" s="52"/>
      <c r="R168" s="52"/>
      <c r="S168" s="52"/>
      <c r="T168" s="52"/>
    </row>
    <row r="169" spans="1:20" ht="15" customHeight="1">
      <c r="A169" s="55" t="s">
        <v>915</v>
      </c>
      <c r="B169" s="55" t="s">
        <v>916</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678</v>
      </c>
      <c r="O169" s="55"/>
      <c r="P169" s="55" t="s">
        <v>917</v>
      </c>
      <c r="Q169" s="55"/>
      <c r="R169" s="55"/>
      <c r="S169" s="55"/>
      <c r="T169" s="55"/>
    </row>
    <row r="170" spans="1:20" ht="30" customHeight="1">
      <c r="A170" s="52" t="s">
        <v>918</v>
      </c>
      <c r="B170" s="52" t="s">
        <v>919</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920</v>
      </c>
      <c r="M170" s="52"/>
      <c r="N170" s="52" t="s">
        <v>504</v>
      </c>
      <c r="O170" s="52"/>
      <c r="P170" s="52" t="s">
        <v>921</v>
      </c>
      <c r="Q170" s="52"/>
      <c r="R170" s="52"/>
      <c r="S170" s="52"/>
      <c r="T170" s="52"/>
    </row>
    <row r="171" spans="1:20" ht="31.5" customHeight="1">
      <c r="A171" s="55" t="s">
        <v>922</v>
      </c>
      <c r="B171" s="52" t="s">
        <v>923</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924</v>
      </c>
      <c r="M171" s="55"/>
      <c r="N171" s="55" t="s">
        <v>504</v>
      </c>
      <c r="O171" s="55"/>
      <c r="P171" s="55"/>
      <c r="Q171" s="55"/>
      <c r="R171" s="55"/>
      <c r="S171" s="55"/>
      <c r="T171" s="55"/>
    </row>
    <row r="172" spans="1:20" ht="15" customHeight="1">
      <c r="A172" s="52" t="s">
        <v>925</v>
      </c>
      <c r="B172" s="52" t="s">
        <v>926</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1286</v>
      </c>
      <c r="M172" s="52"/>
      <c r="N172" s="52" t="s">
        <v>504</v>
      </c>
      <c r="O172" s="52"/>
      <c r="P172" s="52"/>
      <c r="Q172" s="52"/>
      <c r="R172" s="52"/>
      <c r="S172" s="52"/>
      <c r="T172" s="52"/>
    </row>
    <row r="173" spans="1:20" ht="15" customHeight="1">
      <c r="A173" s="55" t="s">
        <v>927</v>
      </c>
      <c r="B173" s="55" t="s">
        <v>928</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929</v>
      </c>
      <c r="B174" s="52" t="s">
        <v>930</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931</v>
      </c>
      <c r="M174" s="52"/>
      <c r="N174" s="52" t="s">
        <v>504</v>
      </c>
      <c r="O174" s="52"/>
      <c r="P174" s="52"/>
      <c r="Q174" s="52"/>
      <c r="R174" s="52"/>
      <c r="S174" s="52"/>
      <c r="T174" s="52"/>
    </row>
    <row r="175" spans="1:20" ht="90" customHeight="1">
      <c r="A175" s="55" t="s">
        <v>932</v>
      </c>
      <c r="B175" s="55" t="s">
        <v>933</v>
      </c>
      <c r="C175" s="55" t="s">
        <v>95</v>
      </c>
      <c r="D175" s="56">
        <v>698.25</v>
      </c>
      <c r="E175" s="56">
        <v>1250</v>
      </c>
      <c r="F175" s="64">
        <v>6</v>
      </c>
      <c r="G175" s="64">
        <v>4</v>
      </c>
      <c r="H175" s="63">
        <f t="shared" si="11"/>
        <v>10</v>
      </c>
      <c r="I175" s="63">
        <f>IF(D175&lt;&gt;"",D175,IFERROR(E175/(IFERROR(SUM(Sales!C:C),0))*(IFERROR(SUM(Purchases!C:C),0)),0))</f>
        <v>698.25</v>
      </c>
      <c r="J175" s="63">
        <f t="shared" si="9"/>
        <v>4189.5</v>
      </c>
      <c r="K175" s="63">
        <f t="shared" si="10"/>
        <v>2793</v>
      </c>
      <c r="L175" s="55" t="s">
        <v>1311</v>
      </c>
      <c r="M175" s="55"/>
      <c r="N175" s="55" t="s">
        <v>589</v>
      </c>
      <c r="O175" s="55"/>
      <c r="P175" s="55" t="s">
        <v>1310</v>
      </c>
      <c r="Q175" s="55"/>
      <c r="R175" s="55"/>
      <c r="S175" s="55"/>
      <c r="T175" s="55"/>
    </row>
    <row r="176" spans="1:20" ht="24" customHeight="1">
      <c r="A176" s="52" t="s">
        <v>934</v>
      </c>
      <c r="B176" s="52" t="s">
        <v>935</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936</v>
      </c>
      <c r="M176" s="52"/>
      <c r="N176" s="52" t="s">
        <v>504</v>
      </c>
      <c r="O176" s="52"/>
      <c r="P176" s="52"/>
      <c r="Q176" s="52"/>
      <c r="R176" s="52"/>
      <c r="S176" s="52"/>
      <c r="T176" s="52"/>
    </row>
    <row r="177" spans="1:20" ht="33.75" customHeight="1">
      <c r="A177" s="55" t="s">
        <v>937</v>
      </c>
      <c r="B177" s="55" t="s">
        <v>938</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939</v>
      </c>
      <c r="M177" s="55"/>
      <c r="N177" s="55" t="s">
        <v>504</v>
      </c>
      <c r="O177" s="55"/>
      <c r="P177" s="55" t="s">
        <v>940</v>
      </c>
      <c r="Q177" s="55"/>
      <c r="R177" s="55"/>
      <c r="S177" s="55"/>
      <c r="T177" s="55"/>
    </row>
    <row r="178" spans="1:20" ht="15" customHeight="1">
      <c r="A178" s="52" t="s">
        <v>941</v>
      </c>
      <c r="B178" s="52" t="s">
        <v>942</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943</v>
      </c>
      <c r="M178" s="52"/>
      <c r="N178" s="52" t="s">
        <v>504</v>
      </c>
      <c r="O178" s="52"/>
      <c r="P178" s="52" t="s">
        <v>944</v>
      </c>
      <c r="Q178" s="52"/>
      <c r="R178" s="52"/>
      <c r="S178" s="52"/>
      <c r="T178" s="52"/>
    </row>
    <row r="179" spans="1:20" ht="30" customHeight="1">
      <c r="A179" s="55" t="s">
        <v>945</v>
      </c>
      <c r="B179" s="55" t="s">
        <v>946</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947</v>
      </c>
      <c r="M179" s="55"/>
      <c r="N179" s="55" t="s">
        <v>504</v>
      </c>
      <c r="O179" s="55"/>
      <c r="P179" s="55" t="s">
        <v>948</v>
      </c>
      <c r="Q179" s="55"/>
      <c r="R179" s="55"/>
      <c r="S179" s="55"/>
      <c r="T179" s="55"/>
    </row>
    <row r="180" spans="1:20" ht="33.75" customHeight="1">
      <c r="A180" s="52" t="s">
        <v>949</v>
      </c>
      <c r="B180" s="52" t="s">
        <v>950</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951</v>
      </c>
      <c r="M180" s="52"/>
      <c r="N180" s="52" t="s">
        <v>504</v>
      </c>
      <c r="O180" s="52"/>
      <c r="P180" s="52"/>
      <c r="Q180" s="52"/>
      <c r="R180" s="52"/>
      <c r="S180" s="52"/>
      <c r="T180" s="52"/>
    </row>
    <row r="181" spans="1:20" ht="15" customHeight="1">
      <c r="A181" s="55" t="s">
        <v>952</v>
      </c>
      <c r="B181" s="55" t="s">
        <v>953</v>
      </c>
      <c r="C181" s="55" t="s">
        <v>96</v>
      </c>
      <c r="D181" s="56">
        <v>1019</v>
      </c>
      <c r="E181" s="56">
        <v>1499</v>
      </c>
      <c r="F181" s="64">
        <v>2</v>
      </c>
      <c r="G181" s="64">
        <v>2</v>
      </c>
      <c r="H181" s="63">
        <f t="shared" si="11"/>
        <v>4</v>
      </c>
      <c r="I181" s="63">
        <f>IF(D181&lt;&gt;"",D181,IFERROR(E181/(IFERROR(SUM(Sales!C:C),0))*(IFERROR(SUM(Purchases!C:C),0)),0))</f>
        <v>1019</v>
      </c>
      <c r="J181" s="63">
        <f t="shared" si="9"/>
        <v>2038</v>
      </c>
      <c r="K181" s="63">
        <f t="shared" si="10"/>
        <v>2038</v>
      </c>
      <c r="L181" s="55" t="s">
        <v>1296</v>
      </c>
      <c r="M181" s="55"/>
      <c r="N181" s="55" t="s">
        <v>589</v>
      </c>
      <c r="O181" s="55" t="s">
        <v>1297</v>
      </c>
      <c r="P181" s="55" t="s">
        <v>954</v>
      </c>
      <c r="Q181" s="55"/>
      <c r="R181" s="55"/>
      <c r="S181" s="55"/>
      <c r="T181" s="55"/>
    </row>
    <row r="182" spans="1:20" ht="15" customHeight="1">
      <c r="A182" s="52" t="s">
        <v>955</v>
      </c>
      <c r="B182" s="52" t="s">
        <v>956</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678</v>
      </c>
      <c r="O182" s="52"/>
      <c r="P182" s="52" t="s">
        <v>957</v>
      </c>
      <c r="Q182" s="52"/>
      <c r="R182" s="52"/>
      <c r="S182" s="52"/>
      <c r="T182" s="52"/>
    </row>
    <row r="183" spans="1:20" ht="15" customHeight="1">
      <c r="A183" s="55" t="s">
        <v>958</v>
      </c>
      <c r="B183" s="55" t="s">
        <v>959</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1186</v>
      </c>
      <c r="M183" s="55"/>
      <c r="N183" s="55" t="s">
        <v>589</v>
      </c>
      <c r="O183" s="55"/>
      <c r="P183" s="55"/>
      <c r="Q183" s="55"/>
      <c r="R183" s="55"/>
      <c r="S183" s="55"/>
      <c r="T183" s="55"/>
    </row>
    <row r="184" spans="1:20" ht="52" customHeight="1">
      <c r="A184" s="52" t="s">
        <v>960</v>
      </c>
      <c r="B184" s="52" t="s">
        <v>961</v>
      </c>
      <c r="C184" s="52" t="s">
        <v>95</v>
      </c>
      <c r="D184" s="53">
        <v>891</v>
      </c>
      <c r="E184" s="53">
        <v>1380</v>
      </c>
      <c r="F184" s="66">
        <v>20</v>
      </c>
      <c r="G184" s="66">
        <v>0</v>
      </c>
      <c r="H184" s="65">
        <f t="shared" ref="H184:H226" si="12">F184+IF(LEN(G184)=0,0,G184)</f>
        <v>20</v>
      </c>
      <c r="I184" s="65">
        <f>IF(D184&lt;&gt;"",D184,IFERROR(E184/(IFERROR(SUM(Sales!C:C),0))*(IFERROR(SUM(Purchases!C:C),0)),0))</f>
        <v>891</v>
      </c>
      <c r="J184" s="65">
        <f t="shared" si="9"/>
        <v>17820</v>
      </c>
      <c r="K184" s="65">
        <f t="shared" si="10"/>
        <v>0</v>
      </c>
      <c r="L184" s="52" t="s">
        <v>1249</v>
      </c>
      <c r="M184" s="52"/>
      <c r="N184" s="52" t="s">
        <v>504</v>
      </c>
      <c r="O184" s="52"/>
      <c r="P184" s="52"/>
      <c r="Q184" s="52"/>
      <c r="R184" s="52"/>
      <c r="S184" s="52"/>
      <c r="T184" s="52"/>
    </row>
    <row r="185" spans="1:20" ht="15" customHeight="1">
      <c r="A185" s="55" t="s">
        <v>962</v>
      </c>
      <c r="B185" s="55" t="s">
        <v>963</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964</v>
      </c>
      <c r="M185" s="55"/>
      <c r="N185" s="55" t="s">
        <v>504</v>
      </c>
      <c r="O185" s="55"/>
      <c r="P185" s="55"/>
      <c r="Q185" s="55"/>
      <c r="R185" s="55"/>
      <c r="S185" s="55"/>
      <c r="T185" s="55"/>
    </row>
    <row r="186" spans="1:20" ht="15" customHeight="1">
      <c r="A186" s="52" t="s">
        <v>965</v>
      </c>
      <c r="B186" s="52" t="s">
        <v>790</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678</v>
      </c>
      <c r="O186" s="52"/>
      <c r="P186" s="52"/>
      <c r="Q186" s="52"/>
      <c r="R186" s="52"/>
      <c r="S186" s="52"/>
      <c r="T186" s="52"/>
    </row>
    <row r="187" spans="1:20" ht="15" customHeight="1">
      <c r="A187" s="55" t="s">
        <v>966</v>
      </c>
      <c r="B187" s="55" t="s">
        <v>967</v>
      </c>
      <c r="C187" s="55" t="s">
        <v>95</v>
      </c>
      <c r="D187" s="56">
        <v>891</v>
      </c>
      <c r="E187" s="56">
        <v>1380</v>
      </c>
      <c r="F187" s="64">
        <v>0</v>
      </c>
      <c r="G187" s="64">
        <v>2</v>
      </c>
      <c r="H187" s="63">
        <f t="shared" si="12"/>
        <v>2</v>
      </c>
      <c r="I187" s="63">
        <f>IF(D187&lt;&gt;"",D187,IFERROR(E187/(IFERROR(SUM(Sales!C:C),0))*(IFERROR(SUM(Purchases!C:C),0)),0))</f>
        <v>891</v>
      </c>
      <c r="J187" s="63">
        <f t="shared" si="9"/>
        <v>0</v>
      </c>
      <c r="K187" s="63">
        <f t="shared" si="10"/>
        <v>1782</v>
      </c>
      <c r="L187" s="55"/>
      <c r="M187" s="55"/>
      <c r="N187" s="55" t="s">
        <v>678</v>
      </c>
      <c r="O187" s="55"/>
      <c r="P187" s="55"/>
      <c r="Q187" s="55"/>
      <c r="R187" s="55"/>
      <c r="S187" s="55"/>
      <c r="T187" s="55"/>
    </row>
    <row r="188" spans="1:20" ht="15" customHeight="1">
      <c r="A188" s="52" t="s">
        <v>968</v>
      </c>
      <c r="B188" s="52" t="s">
        <v>969</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1252</v>
      </c>
      <c r="M188" s="52"/>
      <c r="N188" s="52" t="s">
        <v>589</v>
      </c>
      <c r="O188" s="52"/>
      <c r="P188" s="52"/>
      <c r="Q188" s="52"/>
      <c r="R188" s="52"/>
      <c r="S188" s="52"/>
      <c r="T188" s="52"/>
    </row>
    <row r="189" spans="1:20" ht="52" customHeight="1">
      <c r="A189" s="55" t="s">
        <v>970</v>
      </c>
      <c r="B189" s="52" t="s">
        <v>971</v>
      </c>
      <c r="C189" s="52" t="s">
        <v>95</v>
      </c>
      <c r="D189" s="53">
        <v>891</v>
      </c>
      <c r="E189" s="53">
        <v>1380</v>
      </c>
      <c r="F189" s="64">
        <v>6</v>
      </c>
      <c r="G189" s="64">
        <v>2</v>
      </c>
      <c r="H189" s="63">
        <f t="shared" si="12"/>
        <v>8</v>
      </c>
      <c r="I189" s="63">
        <f>IF(D189&lt;&gt;"",D189,IFERROR(E189/(IFERROR(SUM(Sales!C:C),0))*(IFERROR(SUM(Purchases!C:C),0)),0))</f>
        <v>891</v>
      </c>
      <c r="J189" s="63">
        <f t="shared" si="9"/>
        <v>5346</v>
      </c>
      <c r="K189" s="63">
        <f t="shared" si="10"/>
        <v>1782</v>
      </c>
      <c r="L189" s="55" t="s">
        <v>1134</v>
      </c>
      <c r="M189" s="55"/>
      <c r="N189" s="55" t="s">
        <v>589</v>
      </c>
      <c r="O189" s="55"/>
      <c r="P189" s="55" t="s">
        <v>1135</v>
      </c>
      <c r="Q189" s="55"/>
      <c r="R189" s="55"/>
      <c r="S189" s="55"/>
      <c r="T189" s="55"/>
    </row>
    <row r="190" spans="1:20" ht="15" customHeight="1">
      <c r="A190" s="52" t="s">
        <v>972</v>
      </c>
      <c r="B190" s="55" t="s">
        <v>973</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1177</v>
      </c>
      <c r="M190" s="52"/>
      <c r="N190" s="47" t="s">
        <v>504</v>
      </c>
      <c r="S190" s="47"/>
      <c r="T190" s="47"/>
    </row>
    <row r="191" spans="1:20" ht="30" customHeight="1">
      <c r="A191" s="55" t="s">
        <v>974</v>
      </c>
      <c r="B191" s="52" t="s">
        <v>975</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678</v>
      </c>
      <c r="P191" s="47" t="s">
        <v>976</v>
      </c>
      <c r="S191" s="47"/>
      <c r="T191" s="47"/>
    </row>
    <row r="192" spans="1:20" ht="15" customHeight="1">
      <c r="A192" s="52" t="s">
        <v>977</v>
      </c>
      <c r="B192" s="55" t="s">
        <v>978</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1085</v>
      </c>
      <c r="M192" s="52"/>
      <c r="N192" s="47" t="s">
        <v>589</v>
      </c>
      <c r="P192" s="47" t="s">
        <v>1086</v>
      </c>
      <c r="S192" s="47"/>
      <c r="T192" s="47"/>
    </row>
    <row r="193" spans="1:20" ht="15" customHeight="1">
      <c r="A193" s="55" t="s">
        <v>979</v>
      </c>
      <c r="B193" s="52" t="s">
        <v>980</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678</v>
      </c>
      <c r="P193" s="47" t="s">
        <v>981</v>
      </c>
      <c r="S193" s="47"/>
      <c r="T193" s="47"/>
    </row>
    <row r="194" spans="1:20" ht="15" customHeight="1">
      <c r="A194" s="52" t="s">
        <v>982</v>
      </c>
      <c r="B194" s="52" t="s">
        <v>983</v>
      </c>
      <c r="C194" s="52" t="s">
        <v>95</v>
      </c>
      <c r="D194" s="53">
        <v>790</v>
      </c>
      <c r="E194" s="53">
        <v>1250</v>
      </c>
      <c r="F194" s="66">
        <v>0</v>
      </c>
      <c r="G194" s="66">
        <v>3</v>
      </c>
      <c r="H194" s="65">
        <f t="shared" si="12"/>
        <v>3</v>
      </c>
      <c r="I194" s="65">
        <f>IF(D194&lt;&gt;"",D194,IFERROR(E194/(IFERROR(SUM(Sales!C:C),0))*(IFERROR(SUM(Purchases!C:C),0)),0))</f>
        <v>790</v>
      </c>
      <c r="J194" s="65">
        <f t="shared" ref="J194:J226" si="13">F194*I194</f>
        <v>0</v>
      </c>
      <c r="K194" s="65">
        <f t="shared" ref="K194:K226" si="14">IF(LEN(G194)=0,0,G194)*I194</f>
        <v>2370</v>
      </c>
      <c r="L194" s="52"/>
      <c r="M194" s="52"/>
      <c r="N194" s="47" t="s">
        <v>678</v>
      </c>
      <c r="P194" s="47" t="s">
        <v>984</v>
      </c>
      <c r="S194" s="47"/>
      <c r="T194" s="47"/>
    </row>
    <row r="195" spans="1:20" ht="15" customHeight="1">
      <c r="A195" s="55" t="s">
        <v>985</v>
      </c>
      <c r="B195" s="55" t="s">
        <v>986</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987</v>
      </c>
      <c r="M195" s="55"/>
      <c r="N195" s="47" t="s">
        <v>589</v>
      </c>
      <c r="P195" s="47" t="s">
        <v>988</v>
      </c>
      <c r="S195" s="47"/>
      <c r="T195" s="47"/>
    </row>
    <row r="196" spans="1:20" ht="15" customHeight="1">
      <c r="A196" s="52" t="s">
        <v>989</v>
      </c>
      <c r="B196" s="52" t="s">
        <v>990</v>
      </c>
      <c r="C196" s="52" t="s">
        <v>95</v>
      </c>
      <c r="D196" s="53">
        <v>797</v>
      </c>
      <c r="E196" s="53">
        <v>1250</v>
      </c>
      <c r="F196" s="66">
        <v>2</v>
      </c>
      <c r="G196" s="66">
        <v>5</v>
      </c>
      <c r="H196" s="65">
        <f t="shared" si="12"/>
        <v>7</v>
      </c>
      <c r="I196" s="65">
        <f>IF(D196&lt;&gt;"",D196,IFERROR(E196/(IFERROR(SUM(Sales!C:C),0))*(IFERROR(SUM(Purchases!C:C),0)),0))</f>
        <v>797</v>
      </c>
      <c r="J196" s="65">
        <f t="shared" si="13"/>
        <v>1594</v>
      </c>
      <c r="K196" s="65">
        <f t="shared" si="14"/>
        <v>3985</v>
      </c>
      <c r="L196" s="52" t="s">
        <v>1144</v>
      </c>
      <c r="M196" s="52"/>
      <c r="N196" s="47" t="s">
        <v>589</v>
      </c>
      <c r="P196" s="47" t="s">
        <v>1145</v>
      </c>
      <c r="S196" s="47"/>
      <c r="T196" s="47"/>
    </row>
    <row r="197" spans="1:20" ht="15" customHeight="1">
      <c r="A197" s="55" t="s">
        <v>991</v>
      </c>
      <c r="B197" s="55" t="s">
        <v>992</v>
      </c>
      <c r="C197" s="55" t="s">
        <v>95</v>
      </c>
      <c r="D197" s="56">
        <v>772</v>
      </c>
      <c r="E197" s="56">
        <v>1250</v>
      </c>
      <c r="F197" s="64">
        <v>0</v>
      </c>
      <c r="G197" s="64">
        <v>4</v>
      </c>
      <c r="H197" s="63">
        <f t="shared" si="12"/>
        <v>4</v>
      </c>
      <c r="I197" s="63">
        <f>IF(D197&lt;&gt;"",D197,IFERROR(E197/(IFERROR(SUM(Sales!C:C),0))*(IFERROR(SUM(Purchases!C:C),0)),0))</f>
        <v>772</v>
      </c>
      <c r="J197" s="63">
        <f t="shared" si="13"/>
        <v>0</v>
      </c>
      <c r="K197" s="63">
        <f t="shared" si="14"/>
        <v>3088</v>
      </c>
      <c r="L197" s="55"/>
      <c r="M197" s="55"/>
      <c r="N197" s="47" t="s">
        <v>678</v>
      </c>
      <c r="P197" s="47" t="s">
        <v>993</v>
      </c>
      <c r="S197" s="47"/>
      <c r="T197" s="47"/>
    </row>
    <row r="198" spans="1:20" ht="15" customHeight="1">
      <c r="A198" s="52" t="s">
        <v>994</v>
      </c>
      <c r="B198" s="52" t="s">
        <v>995</v>
      </c>
      <c r="C198" s="52" t="s">
        <v>95</v>
      </c>
      <c r="D198" s="53">
        <v>772</v>
      </c>
      <c r="E198" s="53">
        <v>1250</v>
      </c>
      <c r="F198" s="66">
        <v>0</v>
      </c>
      <c r="G198" s="66">
        <v>1</v>
      </c>
      <c r="H198" s="65">
        <f t="shared" si="12"/>
        <v>1</v>
      </c>
      <c r="I198" s="65">
        <f>IF(D198&lt;&gt;"",D198,IFERROR(E198/(IFERROR(SUM(Sales!C:C),0))*(IFERROR(SUM(Purchases!C:C),0)),0))</f>
        <v>772</v>
      </c>
      <c r="J198" s="65">
        <f t="shared" si="13"/>
        <v>0</v>
      </c>
      <c r="K198" s="65">
        <f t="shared" si="14"/>
        <v>772</v>
      </c>
      <c r="L198" s="52"/>
      <c r="M198" s="52"/>
      <c r="N198" s="47" t="s">
        <v>678</v>
      </c>
      <c r="P198" s="47" t="s">
        <v>996</v>
      </c>
      <c r="S198" s="47"/>
      <c r="T198" s="47"/>
    </row>
    <row r="199" spans="1:20" ht="15" customHeight="1">
      <c r="A199" s="55" t="s">
        <v>997</v>
      </c>
      <c r="B199" s="52" t="s">
        <v>998</v>
      </c>
      <c r="C199" s="52" t="s">
        <v>95</v>
      </c>
      <c r="D199" s="53">
        <v>467</v>
      </c>
      <c r="E199" s="53">
        <v>850</v>
      </c>
      <c r="F199" s="64">
        <v>1</v>
      </c>
      <c r="G199" s="64">
        <v>3</v>
      </c>
      <c r="H199" s="63">
        <f t="shared" si="12"/>
        <v>4</v>
      </c>
      <c r="I199" s="63">
        <f>IF(D199&lt;&gt;"",D199,IFERROR(E199/(IFERROR(SUM(Sales!C:C),0))*(IFERROR(SUM(Purchases!C:C),0)),0))</f>
        <v>467</v>
      </c>
      <c r="J199" s="63">
        <f t="shared" si="13"/>
        <v>467</v>
      </c>
      <c r="K199" s="63">
        <f t="shared" si="14"/>
        <v>1401</v>
      </c>
      <c r="L199" s="55" t="s">
        <v>1194</v>
      </c>
      <c r="M199" s="55"/>
      <c r="N199" s="47" t="s">
        <v>589</v>
      </c>
      <c r="P199" s="47" t="s">
        <v>1195</v>
      </c>
      <c r="S199" s="47"/>
      <c r="T199" s="47"/>
    </row>
    <row r="200" spans="1:20" ht="30" customHeight="1">
      <c r="A200" s="52" t="s">
        <v>999</v>
      </c>
      <c r="B200" s="55" t="s">
        <v>1000</v>
      </c>
      <c r="C200" s="55" t="s">
        <v>95</v>
      </c>
      <c r="D200" s="56">
        <v>866</v>
      </c>
      <c r="E200" s="56">
        <v>1350</v>
      </c>
      <c r="F200" s="66">
        <v>2</v>
      </c>
      <c r="G200" s="66">
        <v>3</v>
      </c>
      <c r="H200" s="65">
        <f t="shared" si="12"/>
        <v>5</v>
      </c>
      <c r="I200" s="65">
        <f>IF(D200&lt;&gt;"",D200,IFERROR(E200/(IFERROR(SUM(Sales!C:C),0))*(IFERROR(SUM(Purchases!C:C),0)),0))</f>
        <v>866</v>
      </c>
      <c r="J200" s="65">
        <f t="shared" si="13"/>
        <v>1732</v>
      </c>
      <c r="K200" s="65">
        <f t="shared" si="14"/>
        <v>2598</v>
      </c>
      <c r="L200" s="52" t="s">
        <v>1089</v>
      </c>
      <c r="M200" s="52"/>
      <c r="N200" s="47" t="s">
        <v>589</v>
      </c>
      <c r="P200" s="47" t="s">
        <v>1090</v>
      </c>
      <c r="S200" s="47"/>
      <c r="T200" s="47"/>
    </row>
    <row r="201" spans="1:20" ht="15" customHeight="1">
      <c r="A201" s="55" t="s">
        <v>1001</v>
      </c>
      <c r="B201" s="52" t="s">
        <v>1002</v>
      </c>
      <c r="C201" s="52" t="s">
        <v>95</v>
      </c>
      <c r="D201" s="53">
        <v>724</v>
      </c>
      <c r="E201" s="53">
        <v>1250</v>
      </c>
      <c r="F201" s="64">
        <v>1</v>
      </c>
      <c r="G201" s="64">
        <v>1</v>
      </c>
      <c r="H201" s="63">
        <f t="shared" si="12"/>
        <v>2</v>
      </c>
      <c r="I201" s="63">
        <f>IF(D201&lt;&gt;"",D201,IFERROR(E201/(IFERROR(SUM(Sales!C:C),0))*(IFERROR(SUM(Purchases!C:C),0)),0))</f>
        <v>724</v>
      </c>
      <c r="J201" s="63">
        <f t="shared" si="13"/>
        <v>724</v>
      </c>
      <c r="K201" s="63">
        <f t="shared" si="14"/>
        <v>724</v>
      </c>
      <c r="L201" s="55" t="s">
        <v>1003</v>
      </c>
      <c r="M201" s="55"/>
      <c r="N201" s="47" t="s">
        <v>589</v>
      </c>
      <c r="P201" s="47" t="s">
        <v>1004</v>
      </c>
      <c r="S201" s="47"/>
      <c r="T201" s="47"/>
    </row>
    <row r="202" spans="1:20" ht="15" customHeight="1">
      <c r="A202" s="52" t="s">
        <v>1005</v>
      </c>
      <c r="B202" s="55" t="s">
        <v>1006</v>
      </c>
      <c r="C202" s="55" t="s">
        <v>95</v>
      </c>
      <c r="D202" s="56">
        <v>940</v>
      </c>
      <c r="E202" s="56">
        <v>1500</v>
      </c>
      <c r="F202" s="66">
        <v>5</v>
      </c>
      <c r="G202" s="66">
        <v>1</v>
      </c>
      <c r="H202" s="65">
        <f t="shared" si="12"/>
        <v>6</v>
      </c>
      <c r="I202" s="65">
        <f>IF(D202&lt;&gt;"",D202,IFERROR(E202/(IFERROR(SUM(Sales!C:C),0))*(IFERROR(SUM(Purchases!C:C),0)),0))</f>
        <v>940</v>
      </c>
      <c r="J202" s="65">
        <f t="shared" si="13"/>
        <v>4700</v>
      </c>
      <c r="K202" s="65">
        <f t="shared" si="14"/>
        <v>940</v>
      </c>
      <c r="L202" s="52" t="s">
        <v>1159</v>
      </c>
      <c r="M202" s="52"/>
      <c r="N202" s="47" t="s">
        <v>589</v>
      </c>
      <c r="P202" s="47" t="s">
        <v>1160</v>
      </c>
      <c r="S202" s="47"/>
      <c r="T202" s="47"/>
    </row>
    <row r="203" spans="1:20" ht="15" customHeight="1">
      <c r="A203" s="55" t="s">
        <v>1007</v>
      </c>
      <c r="B203" s="52" t="s">
        <v>1008</v>
      </c>
      <c r="C203" s="52" t="s">
        <v>95</v>
      </c>
      <c r="D203" s="53">
        <v>488.25</v>
      </c>
      <c r="E203" s="53">
        <v>699</v>
      </c>
      <c r="F203" s="64">
        <v>2</v>
      </c>
      <c r="G203" s="64">
        <v>0</v>
      </c>
      <c r="H203" s="63">
        <f t="shared" si="12"/>
        <v>2</v>
      </c>
      <c r="I203" s="63">
        <f>IF(D203&lt;&gt;"",D203,IFERROR(E203/(IFERROR(SUM(Sales!C:C),0))*(IFERROR(SUM(Purchases!C:C),0)),0))</f>
        <v>488.25</v>
      </c>
      <c r="J203" s="63">
        <f t="shared" si="13"/>
        <v>976.5</v>
      </c>
      <c r="K203" s="63">
        <f t="shared" si="14"/>
        <v>0</v>
      </c>
      <c r="L203" s="55" t="s">
        <v>1009</v>
      </c>
      <c r="M203" s="55"/>
      <c r="N203" s="47" t="s">
        <v>504</v>
      </c>
      <c r="P203" s="47" t="s">
        <v>1010</v>
      </c>
      <c r="S203" s="47"/>
      <c r="T203" s="47"/>
    </row>
    <row r="204" spans="1:20" ht="15" customHeight="1">
      <c r="A204" s="52" t="s">
        <v>1011</v>
      </c>
      <c r="B204" s="52" t="s">
        <v>1012</v>
      </c>
      <c r="C204" s="52" t="s">
        <v>95</v>
      </c>
      <c r="D204" s="53">
        <v>880</v>
      </c>
      <c r="E204" s="53">
        <v>1350</v>
      </c>
      <c r="F204" s="66">
        <v>2</v>
      </c>
      <c r="G204" s="66">
        <v>1</v>
      </c>
      <c r="H204" s="65">
        <f t="shared" si="12"/>
        <v>3</v>
      </c>
      <c r="I204" s="65">
        <f>IF(D204&lt;&gt;"",D204,IFERROR(E204/(IFERROR(SUM(Sales!C:C),0))*(IFERROR(SUM(Purchases!C:C),0)),0))</f>
        <v>880</v>
      </c>
      <c r="J204" s="65">
        <f t="shared" si="13"/>
        <v>1760</v>
      </c>
      <c r="K204" s="65">
        <f t="shared" si="14"/>
        <v>880</v>
      </c>
      <c r="L204" s="52" t="s">
        <v>1116</v>
      </c>
      <c r="M204" s="52"/>
      <c r="N204" s="47" t="s">
        <v>589</v>
      </c>
      <c r="P204" s="47" t="s">
        <v>1115</v>
      </c>
      <c r="S204" s="47"/>
      <c r="T204" s="47"/>
    </row>
    <row r="205" spans="1:20" ht="15" customHeight="1">
      <c r="A205" s="55" t="s">
        <v>1013</v>
      </c>
      <c r="B205" s="55" t="s">
        <v>1014</v>
      </c>
      <c r="C205" s="55" t="s">
        <v>95</v>
      </c>
      <c r="D205" s="56">
        <v>761</v>
      </c>
      <c r="E205" s="56">
        <v>1250</v>
      </c>
      <c r="F205" s="64">
        <v>1</v>
      </c>
      <c r="G205" s="64">
        <v>2</v>
      </c>
      <c r="H205" s="63">
        <f t="shared" si="12"/>
        <v>3</v>
      </c>
      <c r="I205" s="63">
        <f>IF(D205&lt;&gt;"",D205,IFERROR(E205/(IFERROR(SUM(Sales!C:C),0))*(IFERROR(SUM(Purchases!C:C),0)),0))</f>
        <v>761</v>
      </c>
      <c r="J205" s="63">
        <f t="shared" si="13"/>
        <v>761</v>
      </c>
      <c r="K205" s="63">
        <f t="shared" si="14"/>
        <v>1522</v>
      </c>
      <c r="L205" s="55" t="s">
        <v>1015</v>
      </c>
      <c r="M205" s="55"/>
      <c r="N205" s="47" t="s">
        <v>678</v>
      </c>
      <c r="P205" s="47" t="s">
        <v>1016</v>
      </c>
      <c r="S205" s="47"/>
      <c r="T205" s="47"/>
    </row>
    <row r="206" spans="1:20" ht="15" customHeight="1">
      <c r="A206" s="52" t="s">
        <v>1017</v>
      </c>
      <c r="B206" s="52" t="s">
        <v>1018</v>
      </c>
      <c r="C206" s="52" t="s">
        <v>95</v>
      </c>
      <c r="D206" s="53">
        <v>761</v>
      </c>
      <c r="E206" s="53">
        <v>1250</v>
      </c>
      <c r="F206" s="66">
        <v>1</v>
      </c>
      <c r="G206" s="66">
        <v>0</v>
      </c>
      <c r="H206" s="65">
        <f t="shared" si="12"/>
        <v>1</v>
      </c>
      <c r="I206" s="65">
        <f>IF(D206&lt;&gt;"",D206,IFERROR(E206/(IFERROR(SUM(Sales!C:C),0))*(IFERROR(SUM(Purchases!C:C),0)),0))</f>
        <v>761</v>
      </c>
      <c r="J206" s="65">
        <f t="shared" si="13"/>
        <v>761</v>
      </c>
      <c r="K206" s="65">
        <f t="shared" si="14"/>
        <v>0</v>
      </c>
      <c r="L206" s="52" t="s">
        <v>220</v>
      </c>
      <c r="M206" s="52"/>
      <c r="N206" s="47" t="s">
        <v>504</v>
      </c>
      <c r="P206" s="47" t="s">
        <v>1019</v>
      </c>
      <c r="S206" s="47"/>
      <c r="T206" s="47"/>
    </row>
    <row r="207" spans="1:20" ht="15" customHeight="1">
      <c r="A207" s="55" t="s">
        <v>1020</v>
      </c>
      <c r="B207" s="55" t="s">
        <v>1021</v>
      </c>
      <c r="C207" s="55" t="s">
        <v>95</v>
      </c>
      <c r="D207" s="56">
        <v>828</v>
      </c>
      <c r="E207" s="56">
        <v>1250</v>
      </c>
      <c r="F207" s="64">
        <v>1</v>
      </c>
      <c r="G207" s="64">
        <v>4</v>
      </c>
      <c r="H207" s="63">
        <f t="shared" si="12"/>
        <v>5</v>
      </c>
      <c r="I207" s="63">
        <f>IF(D207&lt;&gt;"",D207,IFERROR(E207/(IFERROR(SUM(Sales!C:C),0))*(IFERROR(SUM(Purchases!C:C),0)),0))</f>
        <v>828</v>
      </c>
      <c r="J207" s="63">
        <f t="shared" si="13"/>
        <v>828</v>
      </c>
      <c r="K207" s="63">
        <f t="shared" si="14"/>
        <v>3312</v>
      </c>
      <c r="L207" s="55" t="s">
        <v>1022</v>
      </c>
      <c r="M207" s="55"/>
      <c r="N207" s="47" t="s">
        <v>589</v>
      </c>
      <c r="P207" s="47" t="s">
        <v>1023</v>
      </c>
      <c r="S207" s="47"/>
      <c r="T207" s="47"/>
    </row>
    <row r="208" spans="1:20" ht="30" customHeight="1">
      <c r="A208" s="52" t="s">
        <v>1024</v>
      </c>
      <c r="B208" s="52" t="s">
        <v>1025</v>
      </c>
      <c r="C208" s="52" t="s">
        <v>95</v>
      </c>
      <c r="D208" s="53">
        <v>782</v>
      </c>
      <c r="E208" s="53">
        <v>1250</v>
      </c>
      <c r="F208" s="66">
        <v>0</v>
      </c>
      <c r="G208" s="66">
        <v>4</v>
      </c>
      <c r="H208" s="65">
        <f t="shared" si="12"/>
        <v>4</v>
      </c>
      <c r="I208" s="65">
        <f>IF(D208&lt;&gt;"",D208,IFERROR(E208/(IFERROR(SUM(Sales!C:C),0))*(IFERROR(SUM(Purchases!C:C),0)),0))</f>
        <v>782</v>
      </c>
      <c r="J208" s="65">
        <f t="shared" si="13"/>
        <v>0</v>
      </c>
      <c r="K208" s="65">
        <f t="shared" si="14"/>
        <v>3128</v>
      </c>
      <c r="L208" s="52"/>
      <c r="M208" s="52"/>
      <c r="N208" s="47" t="s">
        <v>678</v>
      </c>
      <c r="P208" s="47" t="s">
        <v>1026</v>
      </c>
      <c r="S208" s="47"/>
      <c r="T208" s="47"/>
    </row>
    <row r="209" spans="1:20" ht="15" customHeight="1">
      <c r="A209" s="55" t="s">
        <v>1027</v>
      </c>
      <c r="B209" s="52" t="s">
        <v>1028</v>
      </c>
      <c r="C209" s="52" t="s">
        <v>95</v>
      </c>
      <c r="D209" s="53">
        <v>982</v>
      </c>
      <c r="E209" s="53">
        <v>1550</v>
      </c>
      <c r="F209" s="64">
        <v>1</v>
      </c>
      <c r="G209" s="64">
        <v>1</v>
      </c>
      <c r="H209" s="63">
        <f t="shared" si="12"/>
        <v>2</v>
      </c>
      <c r="I209" s="63">
        <f>IF(D209&lt;&gt;"",D209,IFERROR(E209/(IFERROR(SUM(Sales!C:C),0))*(IFERROR(SUM(Purchases!C:C),0)),0))</f>
        <v>982</v>
      </c>
      <c r="J209" s="63">
        <f t="shared" si="13"/>
        <v>982</v>
      </c>
      <c r="K209" s="63">
        <f t="shared" si="14"/>
        <v>982</v>
      </c>
      <c r="L209" s="55" t="s">
        <v>1088</v>
      </c>
      <c r="M209" s="55"/>
      <c r="N209" s="47" t="s">
        <v>589</v>
      </c>
      <c r="P209" s="47" t="s">
        <v>1087</v>
      </c>
      <c r="S209" s="47"/>
      <c r="T209" s="47"/>
    </row>
    <row r="210" spans="1:20" ht="15" customHeight="1">
      <c r="A210" s="52" t="s">
        <v>1029</v>
      </c>
      <c r="B210" s="55" t="s">
        <v>1030</v>
      </c>
      <c r="C210" s="55" t="s">
        <v>95</v>
      </c>
      <c r="D210" s="56">
        <v>891</v>
      </c>
      <c r="E210" s="56">
        <v>1350</v>
      </c>
      <c r="F210" s="66">
        <v>0</v>
      </c>
      <c r="G210" s="66">
        <v>1</v>
      </c>
      <c r="H210" s="65">
        <f t="shared" si="12"/>
        <v>1</v>
      </c>
      <c r="I210" s="65">
        <f>IF(D210&lt;&gt;"",D210,IFERROR(E210/(IFERROR(SUM(Sales!C:C),0))*(IFERROR(SUM(Purchases!C:C),0)),0))</f>
        <v>891</v>
      </c>
      <c r="J210" s="65">
        <f t="shared" si="13"/>
        <v>0</v>
      </c>
      <c r="K210" s="65">
        <f t="shared" si="14"/>
        <v>891</v>
      </c>
      <c r="L210" s="52"/>
      <c r="M210" s="52"/>
      <c r="N210" s="47" t="s">
        <v>678</v>
      </c>
      <c r="P210" s="47" t="s">
        <v>1031</v>
      </c>
      <c r="S210" s="47"/>
      <c r="T210" s="47"/>
    </row>
    <row r="211" spans="1:20" ht="15" customHeight="1">
      <c r="A211" s="55" t="s">
        <v>1032</v>
      </c>
      <c r="B211" s="52" t="s">
        <v>901</v>
      </c>
      <c r="C211" s="52" t="s">
        <v>95</v>
      </c>
      <c r="D211" s="53">
        <v>922</v>
      </c>
      <c r="E211" s="53">
        <v>1499</v>
      </c>
      <c r="F211" s="64">
        <v>0</v>
      </c>
      <c r="G211" s="64">
        <v>2</v>
      </c>
      <c r="H211" s="63">
        <f t="shared" si="12"/>
        <v>2</v>
      </c>
      <c r="I211" s="63">
        <f>IF(D211&lt;&gt;"",D211,IFERROR(E211/(IFERROR(SUM(Sales!C:C),0))*(IFERROR(SUM(Purchases!C:C),0)),0))</f>
        <v>922</v>
      </c>
      <c r="J211" s="63">
        <f t="shared" si="13"/>
        <v>0</v>
      </c>
      <c r="K211" s="63">
        <f t="shared" si="14"/>
        <v>1844</v>
      </c>
      <c r="L211" s="55"/>
      <c r="M211" s="55"/>
      <c r="N211" s="47" t="s">
        <v>678</v>
      </c>
      <c r="P211" s="47" t="s">
        <v>1033</v>
      </c>
      <c r="S211" s="47"/>
      <c r="T211" s="47"/>
    </row>
    <row r="212" spans="1:20" ht="15" customHeight="1">
      <c r="A212" s="52" t="s">
        <v>1034</v>
      </c>
      <c r="B212" s="55" t="s">
        <v>1105</v>
      </c>
      <c r="C212" s="55" t="s">
        <v>95</v>
      </c>
      <c r="D212" s="56">
        <v>891.5</v>
      </c>
      <c r="E212" s="56">
        <v>1380</v>
      </c>
      <c r="F212" s="66">
        <v>17</v>
      </c>
      <c r="G212" s="66">
        <v>15</v>
      </c>
      <c r="H212" s="65">
        <f t="shared" si="12"/>
        <v>32</v>
      </c>
      <c r="I212" s="65">
        <f>IF(D212&lt;&gt;"",D212,IFERROR(E212/(IFERROR(SUM(Sales!C:C),0))*(IFERROR(SUM(Purchases!C:C),0)),0))</f>
        <v>891.5</v>
      </c>
      <c r="J212" s="65">
        <f t="shared" si="13"/>
        <v>15155.5</v>
      </c>
      <c r="K212" s="65">
        <f t="shared" si="14"/>
        <v>13372.5</v>
      </c>
      <c r="L212" s="52" t="s">
        <v>1251</v>
      </c>
      <c r="M212" s="52"/>
      <c r="N212" s="47" t="s">
        <v>589</v>
      </c>
      <c r="S212" s="47"/>
      <c r="T212" s="47"/>
    </row>
    <row r="213" spans="1:20" ht="15" customHeight="1">
      <c r="A213" s="55" t="s">
        <v>1035</v>
      </c>
      <c r="B213" s="52" t="s">
        <v>1143</v>
      </c>
      <c r="C213" s="52" t="s">
        <v>95</v>
      </c>
      <c r="D213" s="53">
        <v>555</v>
      </c>
      <c r="E213" s="53">
        <v>850</v>
      </c>
      <c r="F213" s="64">
        <v>3</v>
      </c>
      <c r="G213" s="64">
        <v>6</v>
      </c>
      <c r="H213" s="63">
        <f t="shared" si="12"/>
        <v>9</v>
      </c>
      <c r="I213" s="63">
        <f>IF(D213&lt;&gt;"",D213,IFERROR(E213/(IFERROR(SUM(Sales!C:C),0))*(IFERROR(SUM(Purchases!C:C),0)),0))</f>
        <v>555</v>
      </c>
      <c r="J213" s="63">
        <f t="shared" si="13"/>
        <v>1665</v>
      </c>
      <c r="K213" s="63">
        <f t="shared" si="14"/>
        <v>3330</v>
      </c>
      <c r="L213" s="55" t="s">
        <v>1191</v>
      </c>
      <c r="M213" s="55"/>
      <c r="N213" s="47" t="s">
        <v>589</v>
      </c>
      <c r="P213" s="47" t="s">
        <v>1192</v>
      </c>
      <c r="S213" s="47"/>
      <c r="T213" s="47"/>
    </row>
    <row r="214" spans="1:20" ht="15" customHeight="1">
      <c r="A214" s="52" t="s">
        <v>1036</v>
      </c>
      <c r="B214" s="52" t="s">
        <v>1148</v>
      </c>
      <c r="C214" s="52" t="s">
        <v>95</v>
      </c>
      <c r="D214" s="53">
        <v>835</v>
      </c>
      <c r="E214" s="53">
        <v>1250</v>
      </c>
      <c r="F214" s="66">
        <v>0</v>
      </c>
      <c r="G214" s="66">
        <v>5</v>
      </c>
      <c r="H214" s="65">
        <f t="shared" si="12"/>
        <v>5</v>
      </c>
      <c r="I214" s="65">
        <f>IF(D214&lt;&gt;"",D214,IFERROR(E214/(IFERROR(SUM(Sales!C:C),0))*(IFERROR(SUM(Purchases!C:C),0)),0))</f>
        <v>835</v>
      </c>
      <c r="J214" s="65">
        <f t="shared" si="13"/>
        <v>0</v>
      </c>
      <c r="K214" s="65">
        <f t="shared" si="14"/>
        <v>4175</v>
      </c>
      <c r="L214" s="52"/>
      <c r="M214" s="52"/>
      <c r="N214" s="47" t="s">
        <v>678</v>
      </c>
      <c r="P214" s="47" t="s">
        <v>1149</v>
      </c>
      <c r="S214" s="47"/>
      <c r="T214" s="47"/>
    </row>
    <row r="215" spans="1:20" ht="15" customHeight="1">
      <c r="A215" s="55" t="s">
        <v>1037</v>
      </c>
      <c r="B215" s="55" t="s">
        <v>1150</v>
      </c>
      <c r="C215" s="55" t="s">
        <v>95</v>
      </c>
      <c r="D215" s="56">
        <v>992</v>
      </c>
      <c r="E215" s="56">
        <v>1450</v>
      </c>
      <c r="F215" s="64">
        <v>2</v>
      </c>
      <c r="G215" s="64">
        <v>3</v>
      </c>
      <c r="H215" s="63">
        <f t="shared" si="12"/>
        <v>5</v>
      </c>
      <c r="I215" s="63">
        <f>IF(D215&lt;&gt;"",D215,IFERROR(E215/(IFERROR(SUM(Sales!C:C),0))*(IFERROR(SUM(Purchases!C:C),0)),0))</f>
        <v>992</v>
      </c>
      <c r="J215" s="63">
        <f t="shared" si="13"/>
        <v>1984</v>
      </c>
      <c r="K215" s="63">
        <f t="shared" si="14"/>
        <v>2976</v>
      </c>
      <c r="L215" s="55" t="s">
        <v>1242</v>
      </c>
      <c r="M215" s="55"/>
      <c r="N215" s="47" t="s">
        <v>589</v>
      </c>
      <c r="P215" s="47" t="s">
        <v>1151</v>
      </c>
      <c r="S215" s="47"/>
      <c r="T215" s="47"/>
    </row>
    <row r="216" spans="1:20" ht="30">
      <c r="A216" s="52" t="s">
        <v>1038</v>
      </c>
      <c r="B216" s="52" t="s">
        <v>998</v>
      </c>
      <c r="C216" s="52" t="s">
        <v>95</v>
      </c>
      <c r="D216" s="53">
        <v>576</v>
      </c>
      <c r="E216" s="53">
        <v>899</v>
      </c>
      <c r="F216" s="66">
        <v>1</v>
      </c>
      <c r="G216" s="66">
        <v>5</v>
      </c>
      <c r="H216" s="65">
        <f t="shared" si="12"/>
        <v>6</v>
      </c>
      <c r="I216" s="65">
        <f>IF(D216&lt;&gt;"",D216,IFERROR(E216/(IFERROR(SUM(Sales!C:C),0))*(IFERROR(SUM(Purchases!C:C),0)),0))</f>
        <v>576</v>
      </c>
      <c r="J216" s="65">
        <f t="shared" si="13"/>
        <v>576</v>
      </c>
      <c r="K216" s="65">
        <f t="shared" si="14"/>
        <v>2880</v>
      </c>
      <c r="L216" s="52" t="s">
        <v>1189</v>
      </c>
      <c r="M216" s="52"/>
      <c r="N216" s="47" t="s">
        <v>589</v>
      </c>
      <c r="P216" s="47" t="s">
        <v>1190</v>
      </c>
      <c r="S216" s="47"/>
      <c r="T216" s="47"/>
    </row>
    <row r="217" spans="1:20" ht="15" customHeight="1">
      <c r="A217" s="55" t="s">
        <v>1039</v>
      </c>
      <c r="B217" s="55" t="s">
        <v>1152</v>
      </c>
      <c r="C217" s="55" t="s">
        <v>95</v>
      </c>
      <c r="D217" s="56">
        <v>1023</v>
      </c>
      <c r="E217" s="56">
        <v>1550</v>
      </c>
      <c r="F217" s="64">
        <v>0</v>
      </c>
      <c r="G217" s="64">
        <v>0</v>
      </c>
      <c r="H217" s="63">
        <f t="shared" si="12"/>
        <v>0</v>
      </c>
      <c r="I217" s="63">
        <f>IF(D217&lt;&gt;"",D217,IFERROR(E217/(IFERROR(SUM(Sales!C:C),0))*(IFERROR(SUM(Purchases!C:C),0)),0))</f>
        <v>1023</v>
      </c>
      <c r="J217" s="63">
        <f t="shared" si="13"/>
        <v>0</v>
      </c>
      <c r="K217" s="63">
        <f t="shared" si="14"/>
        <v>0</v>
      </c>
      <c r="L217" s="55" t="s">
        <v>1295</v>
      </c>
      <c r="M217" s="55"/>
      <c r="N217" s="47" t="s">
        <v>504</v>
      </c>
      <c r="P217" s="47" t="s">
        <v>1153</v>
      </c>
      <c r="S217" s="47"/>
      <c r="T217" s="47"/>
    </row>
    <row r="218" spans="1:20" ht="15">
      <c r="A218" s="52" t="s">
        <v>1040</v>
      </c>
      <c r="B218" s="52" t="s">
        <v>1154</v>
      </c>
      <c r="C218" s="52" t="s">
        <v>95</v>
      </c>
      <c r="D218" s="53">
        <v>414</v>
      </c>
      <c r="E218" s="53">
        <v>699</v>
      </c>
      <c r="F218" s="66">
        <v>1</v>
      </c>
      <c r="G218" s="66">
        <v>2</v>
      </c>
      <c r="H218" s="65">
        <f t="shared" si="12"/>
        <v>3</v>
      </c>
      <c r="I218" s="65">
        <f>IF(D218&lt;&gt;"",D218,IFERROR(E218/(IFERROR(SUM(Sales!C:C),0))*(IFERROR(SUM(Purchases!C:C),0)),0))</f>
        <v>414</v>
      </c>
      <c r="J218" s="65">
        <f t="shared" si="13"/>
        <v>414</v>
      </c>
      <c r="K218" s="65">
        <f t="shared" si="14"/>
        <v>828</v>
      </c>
      <c r="L218" s="52" t="s">
        <v>1187</v>
      </c>
      <c r="M218" s="52"/>
      <c r="N218" s="47" t="s">
        <v>589</v>
      </c>
      <c r="P218" s="47" t="s">
        <v>1188</v>
      </c>
      <c r="S218" s="47"/>
      <c r="T218" s="47"/>
    </row>
    <row r="219" spans="1:20" ht="15" customHeight="1">
      <c r="A219" s="55" t="s">
        <v>1041</v>
      </c>
      <c r="B219" s="55" t="s">
        <v>1155</v>
      </c>
      <c r="C219" s="55" t="s">
        <v>95</v>
      </c>
      <c r="D219" s="56">
        <v>761</v>
      </c>
      <c r="E219" s="56">
        <v>1150</v>
      </c>
      <c r="F219" s="64">
        <v>0</v>
      </c>
      <c r="G219" s="64">
        <v>3</v>
      </c>
      <c r="H219" s="63">
        <f t="shared" si="12"/>
        <v>3</v>
      </c>
      <c r="I219" s="63">
        <f>IF(D219&lt;&gt;"",D219,IFERROR(E219/(IFERROR(SUM(Sales!C:C),0))*(IFERROR(SUM(Purchases!C:C),0)),0))</f>
        <v>761</v>
      </c>
      <c r="J219" s="63">
        <f t="shared" si="13"/>
        <v>0</v>
      </c>
      <c r="K219" s="63">
        <f t="shared" si="14"/>
        <v>2283</v>
      </c>
      <c r="L219" s="55" t="s">
        <v>1198</v>
      </c>
      <c r="M219" s="55"/>
      <c r="N219" s="47" t="s">
        <v>678</v>
      </c>
      <c r="P219" s="47" t="s">
        <v>1197</v>
      </c>
      <c r="S219" s="47"/>
      <c r="T219" s="47"/>
    </row>
    <row r="220" spans="1:20" ht="15">
      <c r="A220" s="52" t="s">
        <v>1042</v>
      </c>
      <c r="B220" s="52" t="s">
        <v>1156</v>
      </c>
      <c r="C220" s="52" t="s">
        <v>95</v>
      </c>
      <c r="D220" s="53">
        <v>761</v>
      </c>
      <c r="E220" s="53">
        <v>1150</v>
      </c>
      <c r="F220" s="66">
        <v>1</v>
      </c>
      <c r="G220" s="66">
        <v>5</v>
      </c>
      <c r="H220" s="65">
        <f t="shared" si="12"/>
        <v>6</v>
      </c>
      <c r="I220" s="65">
        <f>IF(D220&lt;&gt;"",D220,IFERROR(E220/(IFERROR(SUM(Sales!C:C),0))*(IFERROR(SUM(Purchases!C:C),0)),0))</f>
        <v>761</v>
      </c>
      <c r="J220" s="65">
        <f t="shared" si="13"/>
        <v>761</v>
      </c>
      <c r="K220" s="65">
        <f t="shared" si="14"/>
        <v>3805</v>
      </c>
      <c r="L220" s="52" t="s">
        <v>1183</v>
      </c>
      <c r="M220" s="52"/>
      <c r="N220" s="47" t="s">
        <v>589</v>
      </c>
      <c r="P220" s="47" t="s">
        <v>1184</v>
      </c>
      <c r="S220" s="47"/>
      <c r="T220" s="47"/>
    </row>
    <row r="221" spans="1:20" ht="15" customHeight="1">
      <c r="A221" s="55" t="s">
        <v>1043</v>
      </c>
      <c r="B221" s="55" t="s">
        <v>1180</v>
      </c>
      <c r="C221" s="55" t="s">
        <v>95</v>
      </c>
      <c r="D221" s="56">
        <v>870</v>
      </c>
      <c r="E221" s="56">
        <v>1380</v>
      </c>
      <c r="F221" s="64">
        <v>0</v>
      </c>
      <c r="G221" s="64">
        <v>5</v>
      </c>
      <c r="H221" s="63">
        <f t="shared" si="12"/>
        <v>5</v>
      </c>
      <c r="I221" s="63">
        <f>IF(D221&lt;&gt;"",D221,IFERROR(E221/(IFERROR(SUM(Sales!C:C),0))*(IFERROR(SUM(Purchases!C:C),0)),0))</f>
        <v>870</v>
      </c>
      <c r="J221" s="63">
        <f t="shared" si="13"/>
        <v>0</v>
      </c>
      <c r="K221" s="63">
        <f t="shared" si="14"/>
        <v>4350</v>
      </c>
      <c r="L221" s="55"/>
      <c r="M221" s="55"/>
      <c r="N221" s="47" t="s">
        <v>678</v>
      </c>
      <c r="P221" s="47" t="s">
        <v>1181</v>
      </c>
      <c r="S221" s="47"/>
      <c r="T221" s="47"/>
    </row>
    <row r="222" spans="1:20" ht="17">
      <c r="A222" s="52" t="s">
        <v>1044</v>
      </c>
      <c r="B222" s="52" t="s">
        <v>1199</v>
      </c>
      <c r="C222" s="52" t="s">
        <v>96</v>
      </c>
      <c r="D222" s="53">
        <v>835</v>
      </c>
      <c r="E222" s="53">
        <v>1250</v>
      </c>
      <c r="F222" s="66">
        <v>0</v>
      </c>
      <c r="G222" s="66">
        <v>2</v>
      </c>
      <c r="H222" s="65">
        <f t="shared" si="12"/>
        <v>2</v>
      </c>
      <c r="I222" s="65">
        <f>IF(D222&lt;&gt;"",D222,IFERROR(E222/(IFERROR(SUM(Sales!C:C),0))*(IFERROR(SUM(Purchases!C:C),0)),0))</f>
        <v>835</v>
      </c>
      <c r="J222" s="65">
        <f t="shared" si="13"/>
        <v>0</v>
      </c>
      <c r="K222" s="65">
        <f t="shared" si="14"/>
        <v>1670</v>
      </c>
      <c r="L222" s="52"/>
      <c r="M222" s="52"/>
      <c r="N222" s="47" t="s">
        <v>678</v>
      </c>
      <c r="P222" s="86" t="s">
        <v>1226</v>
      </c>
      <c r="S222" s="47"/>
      <c r="T222" s="47"/>
    </row>
    <row r="223" spans="1:20" ht="15" customHeight="1">
      <c r="A223" s="55" t="s">
        <v>1045</v>
      </c>
      <c r="B223" s="55" t="s">
        <v>1200</v>
      </c>
      <c r="C223" s="55" t="s">
        <v>95</v>
      </c>
      <c r="D223" s="56">
        <v>919</v>
      </c>
      <c r="E223" s="56">
        <v>1250</v>
      </c>
      <c r="F223" s="64">
        <v>0</v>
      </c>
      <c r="G223" s="64">
        <v>5</v>
      </c>
      <c r="H223" s="63">
        <f t="shared" si="12"/>
        <v>5</v>
      </c>
      <c r="I223" s="63">
        <f>IF(D223&lt;&gt;"",D223,IFERROR(E223/(IFERROR(SUM(Sales!C:C),0))*(IFERROR(SUM(Purchases!C:C),0)),0))</f>
        <v>919</v>
      </c>
      <c r="J223" s="63">
        <f t="shared" si="13"/>
        <v>0</v>
      </c>
      <c r="K223" s="63">
        <f t="shared" si="14"/>
        <v>4595</v>
      </c>
      <c r="L223" s="55"/>
      <c r="M223" s="55"/>
      <c r="N223" s="47" t="s">
        <v>678</v>
      </c>
      <c r="P223" s="86" t="s">
        <v>1227</v>
      </c>
      <c r="S223" s="47"/>
      <c r="T223" s="47"/>
    </row>
    <row r="224" spans="1:20" ht="15" customHeight="1">
      <c r="A224" s="52" t="s">
        <v>1046</v>
      </c>
      <c r="B224" s="52" t="s">
        <v>1201</v>
      </c>
      <c r="C224" s="52" t="s">
        <v>95</v>
      </c>
      <c r="D224" s="53">
        <v>942</v>
      </c>
      <c r="E224" s="53">
        <v>1380</v>
      </c>
      <c r="F224" s="66">
        <v>1</v>
      </c>
      <c r="G224" s="66">
        <v>1</v>
      </c>
      <c r="H224" s="65">
        <f t="shared" si="12"/>
        <v>2</v>
      </c>
      <c r="I224" s="65">
        <f>IF(D224&lt;&gt;"",D224,IFERROR(E224/(IFERROR(SUM(Sales!C:C),0))*(IFERROR(SUM(Purchases!C:C),0)),0))</f>
        <v>942</v>
      </c>
      <c r="J224" s="65">
        <f t="shared" si="13"/>
        <v>942</v>
      </c>
      <c r="K224" s="65">
        <f t="shared" si="14"/>
        <v>942</v>
      </c>
      <c r="L224" s="52" t="s">
        <v>1245</v>
      </c>
      <c r="M224" s="52"/>
      <c r="N224" s="47" t="s">
        <v>589</v>
      </c>
      <c r="P224" s="86" t="s">
        <v>1247</v>
      </c>
      <c r="S224" s="47"/>
      <c r="T224" s="47"/>
    </row>
    <row r="225" spans="1:20" ht="15" customHeight="1">
      <c r="A225" s="55" t="s">
        <v>1047</v>
      </c>
      <c r="B225" s="55" t="s">
        <v>1202</v>
      </c>
      <c r="C225" s="55" t="s">
        <v>95</v>
      </c>
      <c r="D225" s="56">
        <v>944</v>
      </c>
      <c r="E225" s="56">
        <v>1450</v>
      </c>
      <c r="F225" s="64">
        <v>0</v>
      </c>
      <c r="G225" s="64">
        <v>0</v>
      </c>
      <c r="H225" s="63">
        <f t="shared" si="12"/>
        <v>0</v>
      </c>
      <c r="I225" s="63">
        <f>IF(D225&lt;&gt;"",D225,IFERROR(E225/(IFERROR(SUM(Sales!C:C),0))*(IFERROR(SUM(Purchases!C:C),0)),0))</f>
        <v>944</v>
      </c>
      <c r="J225" s="63">
        <f t="shared" si="13"/>
        <v>0</v>
      </c>
      <c r="K225" s="63">
        <f t="shared" si="14"/>
        <v>0</v>
      </c>
      <c r="L225" s="55" t="s">
        <v>608</v>
      </c>
      <c r="M225" s="55"/>
      <c r="N225" s="47" t="s">
        <v>504</v>
      </c>
      <c r="P225" s="86" t="s">
        <v>1228</v>
      </c>
      <c r="S225" s="47"/>
      <c r="T225" s="47"/>
    </row>
    <row r="226" spans="1:20" ht="15" customHeight="1">
      <c r="A226" s="52" t="s">
        <v>1048</v>
      </c>
      <c r="B226" s="52" t="s">
        <v>1203</v>
      </c>
      <c r="C226" s="52" t="s">
        <v>95</v>
      </c>
      <c r="D226" s="53">
        <v>940</v>
      </c>
      <c r="E226" s="53">
        <v>1500</v>
      </c>
      <c r="F226" s="66">
        <v>0</v>
      </c>
      <c r="G226" s="66">
        <v>2</v>
      </c>
      <c r="H226" s="65">
        <f t="shared" si="12"/>
        <v>2</v>
      </c>
      <c r="I226" s="65">
        <f>IF(D226&lt;&gt;"",D226,IFERROR(E226/(IFERROR(SUM(Sales!C:C),0))*(IFERROR(SUM(Purchases!C:C),0)),0))</f>
        <v>940</v>
      </c>
      <c r="J226" s="65">
        <f t="shared" si="13"/>
        <v>0</v>
      </c>
      <c r="K226" s="65">
        <f t="shared" si="14"/>
        <v>1880</v>
      </c>
      <c r="L226" s="52"/>
      <c r="M226" s="52"/>
      <c r="N226" s="47" t="s">
        <v>678</v>
      </c>
      <c r="P226" s="86" t="s">
        <v>1229</v>
      </c>
      <c r="S226" s="47"/>
      <c r="T226" s="47"/>
    </row>
    <row r="227" spans="1:20" ht="17">
      <c r="A227" s="52" t="s">
        <v>1214</v>
      </c>
      <c r="B227" s="55" t="s">
        <v>1204</v>
      </c>
      <c r="C227" s="55" t="s">
        <v>95</v>
      </c>
      <c r="D227" s="56">
        <v>446</v>
      </c>
      <c r="E227" s="56">
        <v>699</v>
      </c>
      <c r="F227" s="64">
        <v>1</v>
      </c>
      <c r="G227" s="64">
        <v>3</v>
      </c>
      <c r="H227" s="63">
        <f t="shared" ref="H227:H238" si="15">F227+IF(LEN(G227)=0,0,G227)</f>
        <v>4</v>
      </c>
      <c r="I227" s="63">
        <f>IF(D227&lt;&gt;"",D227,IFERROR(E227/(IFERROR(SUM(Sales!C:C),0))*(IFERROR(SUM(Purchases!C:C),0)),0))</f>
        <v>446</v>
      </c>
      <c r="J227" s="63">
        <f t="shared" ref="J227:J238" si="16">F227*I227</f>
        <v>446</v>
      </c>
      <c r="K227" s="63">
        <f t="shared" ref="K227:K238" si="17">IF(LEN(G227)=0,0,G227)*I227</f>
        <v>1338</v>
      </c>
      <c r="L227" s="55" t="s">
        <v>1196</v>
      </c>
      <c r="M227" s="55"/>
      <c r="N227" s="47" t="s">
        <v>678</v>
      </c>
      <c r="P227" s="86" t="s">
        <v>1230</v>
      </c>
      <c r="S227" s="47"/>
      <c r="T227" s="47"/>
    </row>
    <row r="228" spans="1:20" ht="17">
      <c r="A228" s="55" t="s">
        <v>1215</v>
      </c>
      <c r="B228" s="52" t="s">
        <v>1205</v>
      </c>
      <c r="C228" s="52" t="s">
        <v>95</v>
      </c>
      <c r="D228" s="53">
        <v>688</v>
      </c>
      <c r="E228" s="53">
        <v>1250</v>
      </c>
      <c r="F228" s="66">
        <v>0</v>
      </c>
      <c r="G228" s="66">
        <v>1</v>
      </c>
      <c r="H228" s="65">
        <f t="shared" si="15"/>
        <v>1</v>
      </c>
      <c r="I228" s="65">
        <f>IF(D228&lt;&gt;"",D228,IFERROR(E228/(IFERROR(SUM(Sales!C:C),0))*(IFERROR(SUM(Purchases!C:C),0)),0))</f>
        <v>688</v>
      </c>
      <c r="J228" s="65">
        <f t="shared" si="16"/>
        <v>0</v>
      </c>
      <c r="K228" s="65">
        <f t="shared" si="17"/>
        <v>688</v>
      </c>
      <c r="L228" s="52"/>
      <c r="M228" s="52"/>
      <c r="N228" s="47" t="s">
        <v>678</v>
      </c>
      <c r="P228" s="86" t="s">
        <v>1231</v>
      </c>
      <c r="S228" s="47"/>
      <c r="T228" s="47"/>
    </row>
    <row r="229" spans="1:20" ht="17">
      <c r="A229" s="52" t="s">
        <v>1216</v>
      </c>
      <c r="B229" s="55" t="s">
        <v>1206</v>
      </c>
      <c r="C229" s="55" t="s">
        <v>95</v>
      </c>
      <c r="D229" s="56">
        <v>555</v>
      </c>
      <c r="E229" s="56">
        <v>999</v>
      </c>
      <c r="F229" s="64">
        <v>0</v>
      </c>
      <c r="G229" s="64">
        <v>6</v>
      </c>
      <c r="H229" s="63">
        <f t="shared" si="15"/>
        <v>6</v>
      </c>
      <c r="I229" s="63">
        <f>IF(D229&lt;&gt;"",D229,IFERROR(E229/(IFERROR(SUM(Sales!C:C),0))*(IFERROR(SUM(Purchases!C:C),0)),0))</f>
        <v>555</v>
      </c>
      <c r="J229" s="63">
        <f t="shared" si="16"/>
        <v>0</v>
      </c>
      <c r="K229" s="63">
        <f t="shared" si="17"/>
        <v>3330</v>
      </c>
      <c r="L229" s="55"/>
      <c r="M229" s="55"/>
      <c r="N229" s="47" t="s">
        <v>678</v>
      </c>
      <c r="P229" s="86" t="s">
        <v>1232</v>
      </c>
      <c r="S229" s="47"/>
      <c r="T229" s="47"/>
    </row>
    <row r="230" spans="1:20" ht="17">
      <c r="A230" s="55" t="s">
        <v>1217</v>
      </c>
      <c r="B230" s="52" t="s">
        <v>1207</v>
      </c>
      <c r="C230" s="52" t="s">
        <v>95</v>
      </c>
      <c r="D230" s="53">
        <v>782</v>
      </c>
      <c r="E230" s="53">
        <v>1250</v>
      </c>
      <c r="F230" s="66">
        <v>1</v>
      </c>
      <c r="G230" s="66">
        <v>1</v>
      </c>
      <c r="H230" s="65">
        <f t="shared" si="15"/>
        <v>2</v>
      </c>
      <c r="I230" s="65">
        <f>IF(D230&lt;&gt;"",D230,IFERROR(E230/(IFERROR(SUM(Sales!C:C),0))*(IFERROR(SUM(Purchases!C:C),0)),0))</f>
        <v>782</v>
      </c>
      <c r="J230" s="65">
        <f t="shared" si="16"/>
        <v>782</v>
      </c>
      <c r="K230" s="65">
        <f t="shared" si="17"/>
        <v>782</v>
      </c>
      <c r="L230" s="52" t="s">
        <v>1292</v>
      </c>
      <c r="M230" s="52"/>
      <c r="N230" s="47" t="s">
        <v>589</v>
      </c>
      <c r="P230" s="86" t="s">
        <v>1293</v>
      </c>
      <c r="S230" s="47"/>
      <c r="T230" s="47"/>
    </row>
    <row r="231" spans="1:20" ht="17">
      <c r="A231" s="52" t="s">
        <v>1218</v>
      </c>
      <c r="B231" s="55" t="s">
        <v>1206</v>
      </c>
      <c r="C231" s="55" t="s">
        <v>95</v>
      </c>
      <c r="D231" s="56">
        <v>576</v>
      </c>
      <c r="E231" s="56">
        <v>850</v>
      </c>
      <c r="F231" s="64">
        <v>1</v>
      </c>
      <c r="G231" s="64">
        <v>2</v>
      </c>
      <c r="H231" s="63">
        <f t="shared" si="15"/>
        <v>3</v>
      </c>
      <c r="I231" s="63">
        <f>IF(D231&lt;&gt;"",D231,IFERROR(E231/(IFERROR(SUM(Sales!C:C),0))*(IFERROR(SUM(Purchases!C:C),0)),0))</f>
        <v>576</v>
      </c>
      <c r="J231" s="63">
        <f t="shared" si="16"/>
        <v>576</v>
      </c>
      <c r="K231" s="63">
        <f t="shared" si="17"/>
        <v>1152</v>
      </c>
      <c r="L231" s="55" t="s">
        <v>201</v>
      </c>
      <c r="M231" s="55"/>
      <c r="N231" s="47" t="s">
        <v>589</v>
      </c>
      <c r="P231" s="86" t="s">
        <v>1233</v>
      </c>
      <c r="S231" s="47"/>
      <c r="T231" s="47"/>
    </row>
    <row r="232" spans="1:20" ht="17">
      <c r="A232" s="52" t="s">
        <v>1219</v>
      </c>
      <c r="B232" s="52" t="s">
        <v>1208</v>
      </c>
      <c r="C232" s="52" t="s">
        <v>95</v>
      </c>
      <c r="D232" s="53">
        <v>772</v>
      </c>
      <c r="E232" s="53">
        <v>1050</v>
      </c>
      <c r="F232" s="66">
        <v>0</v>
      </c>
      <c r="G232" s="66">
        <v>1</v>
      </c>
      <c r="H232" s="65">
        <f t="shared" si="15"/>
        <v>1</v>
      </c>
      <c r="I232" s="65">
        <f>IF(D232&lt;&gt;"",D232,IFERROR(E232/(IFERROR(SUM(Sales!C:C),0))*(IFERROR(SUM(Purchases!C:C),0)),0))</f>
        <v>772</v>
      </c>
      <c r="J232" s="65">
        <f t="shared" si="16"/>
        <v>0</v>
      </c>
      <c r="K232" s="65">
        <f t="shared" si="17"/>
        <v>772</v>
      </c>
      <c r="L232" s="52"/>
      <c r="M232" s="52"/>
      <c r="N232" s="47" t="s">
        <v>678</v>
      </c>
      <c r="P232" s="86" t="s">
        <v>1181</v>
      </c>
      <c r="S232" s="47"/>
      <c r="T232" s="47"/>
    </row>
    <row r="233" spans="1:20" ht="17">
      <c r="A233" s="55" t="s">
        <v>1220</v>
      </c>
      <c r="B233" s="55" t="s">
        <v>1209</v>
      </c>
      <c r="C233" s="55" t="s">
        <v>95</v>
      </c>
      <c r="D233" s="56">
        <v>719</v>
      </c>
      <c r="E233" s="56">
        <v>1450</v>
      </c>
      <c r="F233" s="64">
        <v>1</v>
      </c>
      <c r="G233" s="64">
        <v>0</v>
      </c>
      <c r="H233" s="63">
        <f t="shared" si="15"/>
        <v>1</v>
      </c>
      <c r="I233" s="63">
        <f>IF(D233&lt;&gt;"",D233,IFERROR(E233/(IFERROR(SUM(Sales!C:C),0))*(IFERROR(SUM(Purchases!C:C),0)),0))</f>
        <v>719</v>
      </c>
      <c r="J233" s="63">
        <f t="shared" si="16"/>
        <v>719</v>
      </c>
      <c r="K233" s="63">
        <f t="shared" si="17"/>
        <v>0</v>
      </c>
      <c r="L233" s="55" t="s">
        <v>1237</v>
      </c>
      <c r="M233" s="55"/>
      <c r="N233" s="47" t="s">
        <v>504</v>
      </c>
      <c r="P233" s="86" t="s">
        <v>1234</v>
      </c>
      <c r="S233" s="47"/>
      <c r="T233" s="47"/>
    </row>
    <row r="234" spans="1:20" ht="17">
      <c r="A234" s="52" t="s">
        <v>1221</v>
      </c>
      <c r="B234" s="52" t="s">
        <v>1210</v>
      </c>
      <c r="C234" s="52" t="s">
        <v>95</v>
      </c>
      <c r="D234" s="53">
        <v>524</v>
      </c>
      <c r="E234" s="53">
        <v>850</v>
      </c>
      <c r="F234" s="66">
        <v>0</v>
      </c>
      <c r="G234" s="66">
        <v>2</v>
      </c>
      <c r="H234" s="65">
        <f t="shared" si="15"/>
        <v>2</v>
      </c>
      <c r="I234" s="65">
        <f>IF(D234&lt;&gt;"",D234,IFERROR(E234/(IFERROR(SUM(Sales!C:C),0))*(IFERROR(SUM(Purchases!C:C),0)),0))</f>
        <v>524</v>
      </c>
      <c r="J234" s="65">
        <f t="shared" si="16"/>
        <v>0</v>
      </c>
      <c r="K234" s="65">
        <f t="shared" si="17"/>
        <v>1048</v>
      </c>
      <c r="L234" s="52" t="s">
        <v>1294</v>
      </c>
      <c r="M234" s="52"/>
      <c r="N234" s="47" t="s">
        <v>678</v>
      </c>
      <c r="P234" s="86" t="s">
        <v>1235</v>
      </c>
      <c r="S234" s="47"/>
      <c r="T234" s="47"/>
    </row>
    <row r="235" spans="1:20" ht="17">
      <c r="A235" s="55" t="s">
        <v>1222</v>
      </c>
      <c r="B235" s="55" t="s">
        <v>1211</v>
      </c>
      <c r="C235" s="55" t="s">
        <v>95</v>
      </c>
      <c r="D235" s="56">
        <v>891</v>
      </c>
      <c r="E235" s="56">
        <v>1380</v>
      </c>
      <c r="F235" s="64">
        <v>0</v>
      </c>
      <c r="G235" s="64">
        <v>3</v>
      </c>
      <c r="H235" s="63">
        <f t="shared" si="15"/>
        <v>3</v>
      </c>
      <c r="I235" s="63">
        <f>IF(D235&lt;&gt;"",D235,IFERROR(E235/(IFERROR(SUM(Sales!C:C),0))*(IFERROR(SUM(Purchases!C:C),0)),0))</f>
        <v>891</v>
      </c>
      <c r="J235" s="63">
        <f t="shared" si="16"/>
        <v>0</v>
      </c>
      <c r="K235" s="63">
        <f t="shared" si="17"/>
        <v>2673</v>
      </c>
      <c r="L235" s="55"/>
      <c r="M235" s="55"/>
      <c r="N235" s="47" t="s">
        <v>678</v>
      </c>
      <c r="P235" s="86" t="s">
        <v>1236</v>
      </c>
      <c r="S235" s="47"/>
      <c r="T235" s="47"/>
    </row>
    <row r="236" spans="1:20" ht="17">
      <c r="A236" s="52" t="s">
        <v>1223</v>
      </c>
      <c r="B236" s="52" t="s">
        <v>510</v>
      </c>
      <c r="C236" s="52" t="s">
        <v>95</v>
      </c>
      <c r="D236" s="53">
        <v>912</v>
      </c>
      <c r="E236" s="53">
        <v>1380</v>
      </c>
      <c r="F236" s="66">
        <v>1</v>
      </c>
      <c r="G236" s="66">
        <v>3</v>
      </c>
      <c r="H236" s="65">
        <f t="shared" si="15"/>
        <v>4</v>
      </c>
      <c r="I236" s="65">
        <f>IF(D236&lt;&gt;"",D236,IFERROR(E236/(IFERROR(SUM(Sales!C:C),0))*(IFERROR(SUM(Purchases!C:C),0)),0))</f>
        <v>912</v>
      </c>
      <c r="J236" s="65">
        <f t="shared" si="16"/>
        <v>912</v>
      </c>
      <c r="K236" s="65">
        <f t="shared" si="17"/>
        <v>2736</v>
      </c>
      <c r="L236" s="52" t="s">
        <v>1306</v>
      </c>
      <c r="M236" s="52"/>
      <c r="N236" s="47" t="s">
        <v>589</v>
      </c>
      <c r="P236" s="86" t="s">
        <v>1307</v>
      </c>
      <c r="S236" s="47"/>
      <c r="T236" s="47"/>
    </row>
    <row r="237" spans="1:20" ht="17">
      <c r="A237" s="52" t="s">
        <v>1224</v>
      </c>
      <c r="B237" s="55" t="s">
        <v>1212</v>
      </c>
      <c r="C237" s="55" t="s">
        <v>95</v>
      </c>
      <c r="D237" s="56">
        <v>734</v>
      </c>
      <c r="E237" s="56">
        <v>1100</v>
      </c>
      <c r="F237" s="64">
        <v>0</v>
      </c>
      <c r="G237" s="64">
        <v>2</v>
      </c>
      <c r="H237" s="63">
        <f t="shared" si="15"/>
        <v>2</v>
      </c>
      <c r="I237" s="63">
        <f>IF(D237&lt;&gt;"",D237,IFERROR(E237/(IFERROR(SUM(Sales!C:C),0))*(IFERROR(SUM(Purchases!C:C),0)),0))</f>
        <v>734</v>
      </c>
      <c r="J237" s="63">
        <f t="shared" si="16"/>
        <v>0</v>
      </c>
      <c r="K237" s="63">
        <f t="shared" si="17"/>
        <v>1468</v>
      </c>
      <c r="L237" s="55" t="s">
        <v>1290</v>
      </c>
      <c r="M237" s="55"/>
      <c r="N237" s="47" t="s">
        <v>678</v>
      </c>
      <c r="P237" s="86" t="s">
        <v>1291</v>
      </c>
      <c r="S237" s="47"/>
      <c r="T237" s="47"/>
    </row>
    <row r="238" spans="1:20" ht="17">
      <c r="A238" s="55" t="s">
        <v>1225</v>
      </c>
      <c r="B238" s="52" t="s">
        <v>1213</v>
      </c>
      <c r="C238" s="52" t="s">
        <v>95</v>
      </c>
      <c r="D238" s="53">
        <v>436</v>
      </c>
      <c r="E238" s="53">
        <v>699</v>
      </c>
      <c r="F238" s="66">
        <v>0</v>
      </c>
      <c r="G238" s="66">
        <v>2</v>
      </c>
      <c r="H238" s="65">
        <f t="shared" si="15"/>
        <v>2</v>
      </c>
      <c r="I238" s="65">
        <f>IF(D238&lt;&gt;"",D238,IFERROR(E238/(IFERROR(SUM(Sales!C:C),0))*(IFERROR(SUM(Purchases!C:C),0)),0))</f>
        <v>436</v>
      </c>
      <c r="J238" s="65">
        <f t="shared" si="16"/>
        <v>0</v>
      </c>
      <c r="K238" s="65">
        <f t="shared" si="17"/>
        <v>872</v>
      </c>
      <c r="L238" s="52" t="s">
        <v>1289</v>
      </c>
      <c r="M238" s="52"/>
      <c r="N238" s="47" t="s">
        <v>678</v>
      </c>
      <c r="P238" s="86" t="s">
        <v>1288</v>
      </c>
      <c r="S238" s="47"/>
      <c r="T238" s="47"/>
    </row>
    <row r="239" spans="1:20" ht="16">
      <c r="A239" s="55" t="s">
        <v>1254</v>
      </c>
      <c r="B239" s="55" t="s">
        <v>1209</v>
      </c>
      <c r="C239" s="55" t="s">
        <v>95</v>
      </c>
      <c r="D239" s="56">
        <v>446.26</v>
      </c>
      <c r="E239" s="56">
        <v>1000</v>
      </c>
      <c r="F239" s="64">
        <v>1</v>
      </c>
      <c r="G239" s="64">
        <v>0</v>
      </c>
      <c r="H239" s="63">
        <f t="shared" ref="H239:H263" si="18">F239+IF(LEN(G239)=0,0,G239)</f>
        <v>1</v>
      </c>
      <c r="I239" s="63">
        <f>IF(D239&lt;&gt;"",D239,IFERROR(E239/(IFERROR(SUM(Sales!C:C),0))*(IFERROR(SUM(Purchases!C:C),0)),0))</f>
        <v>446.26</v>
      </c>
      <c r="J239" s="63">
        <f t="shared" ref="J239:J263" si="19">F239*I239</f>
        <v>446.26</v>
      </c>
      <c r="K239" s="63">
        <f t="shared" ref="K239:K263" si="20">IF(LEN(G239)=0,0,G239)*I239</f>
        <v>0</v>
      </c>
      <c r="L239" s="55" t="s">
        <v>1255</v>
      </c>
      <c r="M239" s="55"/>
      <c r="N239" s="47" t="s">
        <v>504</v>
      </c>
      <c r="P239" s="86"/>
      <c r="S239" s="47"/>
      <c r="T239" s="47"/>
    </row>
    <row r="240" spans="1:20" ht="17">
      <c r="A240" s="52" t="s">
        <v>1258</v>
      </c>
      <c r="B240" s="52" t="s">
        <v>1268</v>
      </c>
      <c r="C240" s="52" t="s">
        <v>95</v>
      </c>
      <c r="D240" s="53">
        <v>603</v>
      </c>
      <c r="E240" s="53">
        <v>1099</v>
      </c>
      <c r="F240" s="66">
        <v>0</v>
      </c>
      <c r="G240" s="66">
        <v>2</v>
      </c>
      <c r="H240" s="65">
        <f t="shared" si="18"/>
        <v>2</v>
      </c>
      <c r="I240" s="65">
        <f>IF(D240&lt;&gt;"",D240,IFERROR(E240/(IFERROR(SUM(Sales!C:C),0))*(IFERROR(SUM(Purchases!C:C),0)),0))</f>
        <v>603</v>
      </c>
      <c r="J240" s="65">
        <f t="shared" si="19"/>
        <v>0</v>
      </c>
      <c r="K240" s="65">
        <f t="shared" si="20"/>
        <v>1206</v>
      </c>
      <c r="L240" s="52"/>
      <c r="M240" s="52"/>
      <c r="N240" s="47" t="s">
        <v>678</v>
      </c>
      <c r="P240" s="86" t="s">
        <v>1279</v>
      </c>
      <c r="S240" s="47"/>
      <c r="T240" s="47"/>
    </row>
    <row r="241" spans="1:20" ht="17">
      <c r="A241" s="55" t="s">
        <v>1259</v>
      </c>
      <c r="B241" s="55" t="s">
        <v>1277</v>
      </c>
      <c r="C241" s="55" t="s">
        <v>95</v>
      </c>
      <c r="D241" s="56">
        <v>1024</v>
      </c>
      <c r="E241" s="56">
        <v>1400</v>
      </c>
      <c r="F241" s="64">
        <v>1</v>
      </c>
      <c r="G241" s="64">
        <v>0</v>
      </c>
      <c r="H241" s="63">
        <f t="shared" si="18"/>
        <v>1</v>
      </c>
      <c r="I241" s="63">
        <f>IF(D241&lt;&gt;"",D241,IFERROR(E241/(IFERROR(SUM(Sales!C:C),0))*(IFERROR(SUM(Purchases!C:C),0)),0))</f>
        <v>1024</v>
      </c>
      <c r="J241" s="63">
        <f t="shared" si="19"/>
        <v>1024</v>
      </c>
      <c r="K241" s="63">
        <f t="shared" si="20"/>
        <v>0</v>
      </c>
      <c r="L241" s="55" t="s">
        <v>1278</v>
      </c>
      <c r="M241" s="55"/>
      <c r="N241" s="47" t="s">
        <v>504</v>
      </c>
      <c r="P241" s="86" t="s">
        <v>201</v>
      </c>
      <c r="S241" s="47"/>
      <c r="T241" s="47"/>
    </row>
    <row r="242" spans="1:20" ht="17">
      <c r="A242" s="52" t="s">
        <v>1260</v>
      </c>
      <c r="B242" s="52" t="s">
        <v>1269</v>
      </c>
      <c r="C242" s="52" t="s">
        <v>95</v>
      </c>
      <c r="D242" s="53">
        <v>562</v>
      </c>
      <c r="E242" s="53">
        <v>980</v>
      </c>
      <c r="F242" s="66">
        <v>0</v>
      </c>
      <c r="G242" s="66">
        <v>4</v>
      </c>
      <c r="H242" s="65">
        <f t="shared" si="18"/>
        <v>4</v>
      </c>
      <c r="I242" s="65">
        <f>IF(D242&lt;&gt;"",D242,IFERROR(E242/(IFERROR(SUM(Sales!C:C),0))*(IFERROR(SUM(Purchases!C:C),0)),0))</f>
        <v>562</v>
      </c>
      <c r="J242" s="65">
        <f t="shared" si="19"/>
        <v>0</v>
      </c>
      <c r="K242" s="65">
        <f t="shared" si="20"/>
        <v>2248</v>
      </c>
      <c r="L242" s="52"/>
      <c r="M242" s="52"/>
      <c r="N242" s="47" t="s">
        <v>678</v>
      </c>
      <c r="P242" s="86" t="s">
        <v>1280</v>
      </c>
      <c r="S242" s="47"/>
      <c r="T242" s="47"/>
    </row>
    <row r="243" spans="1:20" ht="17">
      <c r="A243" s="55" t="s">
        <v>1261</v>
      </c>
      <c r="B243" s="55" t="s">
        <v>1270</v>
      </c>
      <c r="C243" s="55" t="s">
        <v>95</v>
      </c>
      <c r="D243" s="56">
        <v>629</v>
      </c>
      <c r="E243" s="56">
        <v>1050</v>
      </c>
      <c r="F243" s="64">
        <v>1</v>
      </c>
      <c r="G243" s="64">
        <v>2</v>
      </c>
      <c r="H243" s="63">
        <f t="shared" si="18"/>
        <v>3</v>
      </c>
      <c r="I243" s="63">
        <f>IF(D243&lt;&gt;"",D243,IFERROR(E243/(IFERROR(SUM(Sales!C:C),0))*(IFERROR(SUM(Purchases!C:C),0)),0))</f>
        <v>629</v>
      </c>
      <c r="J243" s="63">
        <f t="shared" si="19"/>
        <v>629</v>
      </c>
      <c r="K243" s="63">
        <f t="shared" si="20"/>
        <v>1258</v>
      </c>
      <c r="L243" s="55" t="s">
        <v>201</v>
      </c>
      <c r="M243" s="55"/>
      <c r="N243" s="47" t="s">
        <v>678</v>
      </c>
      <c r="P243" s="86" t="s">
        <v>1281</v>
      </c>
      <c r="S243" s="47"/>
      <c r="T243" s="47"/>
    </row>
    <row r="244" spans="1:20" ht="17">
      <c r="A244" s="52" t="s">
        <v>1262</v>
      </c>
      <c r="B244" s="52" t="s">
        <v>1271</v>
      </c>
      <c r="C244" s="52" t="s">
        <v>95</v>
      </c>
      <c r="D244" s="53">
        <v>545</v>
      </c>
      <c r="E244" s="53">
        <v>900</v>
      </c>
      <c r="F244" s="66">
        <v>0</v>
      </c>
      <c r="G244" s="66">
        <v>2</v>
      </c>
      <c r="H244" s="65">
        <f t="shared" si="18"/>
        <v>2</v>
      </c>
      <c r="I244" s="65">
        <f>IF(D244&lt;&gt;"",D244,IFERROR(E244/(IFERROR(SUM(Sales!C:C),0))*(IFERROR(SUM(Purchases!C:C),0)),0))</f>
        <v>545</v>
      </c>
      <c r="J244" s="65">
        <f t="shared" si="19"/>
        <v>0</v>
      </c>
      <c r="K244" s="65">
        <f t="shared" si="20"/>
        <v>1090</v>
      </c>
      <c r="L244" s="52"/>
      <c r="M244" s="52"/>
      <c r="N244" s="47" t="s">
        <v>678</v>
      </c>
      <c r="P244" s="86" t="s">
        <v>1282</v>
      </c>
      <c r="S244" s="47"/>
      <c r="T244" s="47"/>
    </row>
    <row r="245" spans="1:20" ht="17">
      <c r="A245" s="55" t="s">
        <v>1263</v>
      </c>
      <c r="B245" s="55" t="s">
        <v>1272</v>
      </c>
      <c r="C245" s="55" t="s">
        <v>95</v>
      </c>
      <c r="D245" s="56">
        <v>607</v>
      </c>
      <c r="E245" s="56">
        <v>980</v>
      </c>
      <c r="F245" s="64">
        <v>0</v>
      </c>
      <c r="G245" s="64">
        <v>1</v>
      </c>
      <c r="H245" s="63">
        <f t="shared" si="18"/>
        <v>1</v>
      </c>
      <c r="I245" s="63">
        <f>IF(D245&lt;&gt;"",D245,IFERROR(E245/(IFERROR(SUM(Sales!C:C),0))*(IFERROR(SUM(Purchases!C:C),0)),0))</f>
        <v>607</v>
      </c>
      <c r="J245" s="63">
        <f t="shared" si="19"/>
        <v>0</v>
      </c>
      <c r="K245" s="63">
        <f t="shared" si="20"/>
        <v>607</v>
      </c>
      <c r="L245" s="55"/>
      <c r="M245" s="55"/>
      <c r="N245" s="47" t="s">
        <v>678</v>
      </c>
      <c r="P245" s="86" t="s">
        <v>1283</v>
      </c>
      <c r="S245" s="47"/>
      <c r="T245" s="47"/>
    </row>
    <row r="246" spans="1:20" ht="16">
      <c r="A246" s="52" t="s">
        <v>1264</v>
      </c>
      <c r="B246" s="52" t="s">
        <v>1273</v>
      </c>
      <c r="C246" s="52" t="s">
        <v>95</v>
      </c>
      <c r="D246" s="53">
        <v>513.46</v>
      </c>
      <c r="E246" s="53">
        <v>890</v>
      </c>
      <c r="F246" s="66">
        <v>0</v>
      </c>
      <c r="G246" s="66">
        <v>1</v>
      </c>
      <c r="H246" s="65">
        <f t="shared" si="18"/>
        <v>1</v>
      </c>
      <c r="I246" s="65">
        <f>IF(D246&lt;&gt;"",D246,IFERROR(E246/(IFERROR(SUM(Sales!C:C),0))*(IFERROR(SUM(Purchases!C:C),0)),0))</f>
        <v>513.46</v>
      </c>
      <c r="J246" s="65">
        <f t="shared" si="19"/>
        <v>0</v>
      </c>
      <c r="K246" s="65">
        <f t="shared" si="20"/>
        <v>513.46</v>
      </c>
      <c r="L246" s="52"/>
      <c r="M246" s="52"/>
      <c r="N246" s="47" t="s">
        <v>678</v>
      </c>
      <c r="P246" s="86"/>
      <c r="S246" s="47"/>
      <c r="T246" s="47"/>
    </row>
    <row r="247" spans="1:20" ht="17">
      <c r="A247" s="55" t="s">
        <v>1265</v>
      </c>
      <c r="B247" s="55" t="s">
        <v>1274</v>
      </c>
      <c r="C247" s="55" t="s">
        <v>95</v>
      </c>
      <c r="D247" s="56">
        <v>629</v>
      </c>
      <c r="E247" s="56"/>
      <c r="F247" s="64">
        <v>0</v>
      </c>
      <c r="G247" s="64">
        <v>0</v>
      </c>
      <c r="H247" s="63">
        <f t="shared" si="18"/>
        <v>0</v>
      </c>
      <c r="I247" s="63">
        <f>IF(D247&lt;&gt;"",D247,IFERROR(E247/(IFERROR(SUM(Sales!C:C),0))*(IFERROR(SUM(Purchases!C:C),0)),0))</f>
        <v>629</v>
      </c>
      <c r="J247" s="63">
        <f t="shared" si="19"/>
        <v>0</v>
      </c>
      <c r="K247" s="63">
        <f t="shared" si="20"/>
        <v>0</v>
      </c>
      <c r="L247" s="55" t="s">
        <v>608</v>
      </c>
      <c r="M247" s="55"/>
      <c r="N247" s="47" t="s">
        <v>504</v>
      </c>
      <c r="P247" s="86" t="s">
        <v>1284</v>
      </c>
      <c r="S247" s="47"/>
      <c r="T247" s="47"/>
    </row>
    <row r="248" spans="1:20" ht="16">
      <c r="A248" s="52" t="s">
        <v>1266</v>
      </c>
      <c r="B248" s="52" t="s">
        <v>1275</v>
      </c>
      <c r="C248" s="52" t="s">
        <v>95</v>
      </c>
      <c r="D248" s="53">
        <v>628</v>
      </c>
      <c r="E248" s="53">
        <v>999</v>
      </c>
      <c r="F248" s="66">
        <v>0</v>
      </c>
      <c r="G248" s="66">
        <v>1</v>
      </c>
      <c r="H248" s="65">
        <f t="shared" si="18"/>
        <v>1</v>
      </c>
      <c r="I248" s="65">
        <f>IF(D248&lt;&gt;"",D248,IFERROR(E248/(IFERROR(SUM(Sales!C:C),0))*(IFERROR(SUM(Purchases!C:C),0)),0))</f>
        <v>628</v>
      </c>
      <c r="J248" s="65">
        <f t="shared" si="19"/>
        <v>0</v>
      </c>
      <c r="K248" s="65">
        <f t="shared" si="20"/>
        <v>628</v>
      </c>
      <c r="L248" s="52"/>
      <c r="M248" s="52"/>
      <c r="N248" s="47" t="s">
        <v>678</v>
      </c>
      <c r="P248" s="86"/>
      <c r="S248" s="47"/>
      <c r="T248" s="47"/>
    </row>
    <row r="249" spans="1:20" ht="17">
      <c r="A249" s="55" t="s">
        <v>1267</v>
      </c>
      <c r="B249" s="55" t="s">
        <v>1276</v>
      </c>
      <c r="C249" s="55" t="s">
        <v>95</v>
      </c>
      <c r="D249" s="56">
        <v>629</v>
      </c>
      <c r="E249" s="56">
        <v>980</v>
      </c>
      <c r="F249" s="64">
        <v>0</v>
      </c>
      <c r="G249" s="64">
        <v>3</v>
      </c>
      <c r="H249" s="63">
        <f t="shared" si="18"/>
        <v>3</v>
      </c>
      <c r="I249" s="63">
        <f>IF(D249&lt;&gt;"",D249,IFERROR(E249/(IFERROR(SUM(Sales!C:C),0))*(IFERROR(SUM(Purchases!C:C),0)),0))</f>
        <v>629</v>
      </c>
      <c r="J249" s="63">
        <f t="shared" si="19"/>
        <v>0</v>
      </c>
      <c r="K249" s="63">
        <f t="shared" si="20"/>
        <v>1887</v>
      </c>
      <c r="L249" s="55"/>
      <c r="M249" s="55"/>
      <c r="N249" s="47" t="s">
        <v>678</v>
      </c>
      <c r="P249" s="86" t="s">
        <v>1285</v>
      </c>
      <c r="S249" s="47"/>
      <c r="T249" s="47"/>
    </row>
    <row r="250" spans="1:20" ht="16">
      <c r="A250" s="52"/>
      <c r="B250" s="52"/>
      <c r="C250" s="52"/>
      <c r="D250" s="53"/>
      <c r="E250" s="53"/>
      <c r="F250" s="66">
        <v>0</v>
      </c>
      <c r="G250" s="66">
        <v>3</v>
      </c>
      <c r="H250" s="65">
        <f t="shared" si="18"/>
        <v>3</v>
      </c>
      <c r="I250" s="65">
        <f>IF(D250&lt;&gt;"",D250,IFERROR(E250/(IFERROR(SUM(Sales!C:C),0))*(IFERROR(SUM(Purchases!C:C),0)),0))</f>
        <v>0</v>
      </c>
      <c r="J250" s="65">
        <f t="shared" si="19"/>
        <v>0</v>
      </c>
      <c r="K250" s="65">
        <f t="shared" si="20"/>
        <v>0</v>
      </c>
      <c r="L250" s="52"/>
      <c r="M250" s="52"/>
      <c r="P250" s="86"/>
      <c r="S250" s="47"/>
      <c r="T250" s="47"/>
    </row>
    <row r="251" spans="1:20" ht="16">
      <c r="A251" s="55"/>
      <c r="B251" s="55"/>
      <c r="C251" s="55"/>
      <c r="D251" s="56"/>
      <c r="E251" s="56"/>
      <c r="F251" s="64">
        <v>0</v>
      </c>
      <c r="G251" s="64">
        <v>3</v>
      </c>
      <c r="H251" s="63">
        <f t="shared" si="18"/>
        <v>3</v>
      </c>
      <c r="I251" s="63">
        <f>IF(D251&lt;&gt;"",D251,IFERROR(E251/(IFERROR(SUM(Sales!C:C),0))*(IFERROR(SUM(Purchases!C:C),0)),0))</f>
        <v>0</v>
      </c>
      <c r="J251" s="63">
        <f t="shared" si="19"/>
        <v>0</v>
      </c>
      <c r="K251" s="63">
        <f t="shared" si="20"/>
        <v>0</v>
      </c>
      <c r="L251" s="55"/>
      <c r="M251" s="55"/>
      <c r="P251" s="86"/>
      <c r="S251" s="47"/>
      <c r="T251" s="47"/>
    </row>
    <row r="252" spans="1:20" ht="16">
      <c r="A252" s="52"/>
      <c r="B252" s="52"/>
      <c r="C252" s="52"/>
      <c r="D252" s="53"/>
      <c r="E252" s="53"/>
      <c r="F252" s="66">
        <v>0</v>
      </c>
      <c r="G252" s="66">
        <v>3</v>
      </c>
      <c r="H252" s="65">
        <f t="shared" si="18"/>
        <v>3</v>
      </c>
      <c r="I252" s="65">
        <f>IF(D252&lt;&gt;"",D252,IFERROR(E252/(IFERROR(SUM(Sales!C:C),0))*(IFERROR(SUM(Purchases!C:C),0)),0))</f>
        <v>0</v>
      </c>
      <c r="J252" s="65">
        <f t="shared" si="19"/>
        <v>0</v>
      </c>
      <c r="K252" s="65">
        <f t="shared" si="20"/>
        <v>0</v>
      </c>
      <c r="L252" s="52"/>
      <c r="M252" s="52"/>
      <c r="P252" s="86"/>
      <c r="S252" s="47"/>
      <c r="T252" s="47"/>
    </row>
    <row r="253" spans="1:20" ht="16">
      <c r="A253" s="55"/>
      <c r="B253" s="55"/>
      <c r="C253" s="55"/>
      <c r="D253" s="56"/>
      <c r="E253" s="56"/>
      <c r="F253" s="64">
        <v>0</v>
      </c>
      <c r="G253" s="64">
        <v>3</v>
      </c>
      <c r="H253" s="63">
        <f t="shared" si="18"/>
        <v>3</v>
      </c>
      <c r="I253" s="63">
        <f>IF(D253&lt;&gt;"",D253,IFERROR(E253/(IFERROR(SUM(Sales!C:C),0))*(IFERROR(SUM(Purchases!C:C),0)),0))</f>
        <v>0</v>
      </c>
      <c r="J253" s="63">
        <f t="shared" si="19"/>
        <v>0</v>
      </c>
      <c r="K253" s="63">
        <f t="shared" si="20"/>
        <v>0</v>
      </c>
      <c r="L253" s="55"/>
      <c r="M253" s="55"/>
      <c r="P253" s="86"/>
      <c r="S253" s="47"/>
      <c r="T253" s="47"/>
    </row>
    <row r="254" spans="1:20" ht="16">
      <c r="A254" s="52"/>
      <c r="B254" s="52"/>
      <c r="C254" s="52"/>
      <c r="D254" s="53"/>
      <c r="E254" s="53"/>
      <c r="F254" s="66">
        <v>0</v>
      </c>
      <c r="G254" s="66">
        <v>3</v>
      </c>
      <c r="H254" s="65">
        <f t="shared" si="18"/>
        <v>3</v>
      </c>
      <c r="I254" s="65">
        <f>IF(D254&lt;&gt;"",D254,IFERROR(E254/(IFERROR(SUM(Sales!C:C),0))*(IFERROR(SUM(Purchases!C:C),0)),0))</f>
        <v>0</v>
      </c>
      <c r="J254" s="65">
        <f t="shared" si="19"/>
        <v>0</v>
      </c>
      <c r="K254" s="65">
        <f t="shared" si="20"/>
        <v>0</v>
      </c>
      <c r="L254" s="52"/>
      <c r="M254" s="52"/>
      <c r="P254" s="86"/>
      <c r="S254" s="47"/>
      <c r="T254" s="47"/>
    </row>
    <row r="255" spans="1:20" ht="16">
      <c r="A255" s="55"/>
      <c r="B255" s="55"/>
      <c r="C255" s="55"/>
      <c r="D255" s="56"/>
      <c r="E255" s="56"/>
      <c r="F255" s="64">
        <v>0</v>
      </c>
      <c r="G255" s="64">
        <v>3</v>
      </c>
      <c r="H255" s="63">
        <f t="shared" si="18"/>
        <v>3</v>
      </c>
      <c r="I255" s="63">
        <f>IF(D255&lt;&gt;"",D255,IFERROR(E255/(IFERROR(SUM(Sales!C:C),0))*(IFERROR(SUM(Purchases!C:C),0)),0))</f>
        <v>0</v>
      </c>
      <c r="J255" s="63">
        <f t="shared" si="19"/>
        <v>0</v>
      </c>
      <c r="K255" s="63">
        <f t="shared" si="20"/>
        <v>0</v>
      </c>
      <c r="L255" s="55"/>
      <c r="M255" s="55"/>
      <c r="P255" s="86"/>
      <c r="S255" s="47"/>
      <c r="T255" s="47"/>
    </row>
    <row r="256" spans="1:20" ht="16">
      <c r="A256" s="52"/>
      <c r="B256" s="52"/>
      <c r="C256" s="52"/>
      <c r="D256" s="53"/>
      <c r="E256" s="53"/>
      <c r="F256" s="66">
        <v>0</v>
      </c>
      <c r="G256" s="66">
        <v>3</v>
      </c>
      <c r="H256" s="65">
        <f t="shared" si="18"/>
        <v>3</v>
      </c>
      <c r="I256" s="65">
        <f>IF(D256&lt;&gt;"",D256,IFERROR(E256/(IFERROR(SUM(Sales!C:C),0))*(IFERROR(SUM(Purchases!C:C),0)),0))</f>
        <v>0</v>
      </c>
      <c r="J256" s="65">
        <f t="shared" si="19"/>
        <v>0</v>
      </c>
      <c r="K256" s="65">
        <f t="shared" si="20"/>
        <v>0</v>
      </c>
      <c r="L256" s="52"/>
      <c r="M256" s="52"/>
      <c r="P256" s="86"/>
      <c r="S256" s="47"/>
      <c r="T256" s="47"/>
    </row>
    <row r="257" spans="1:20" ht="16">
      <c r="A257" s="55"/>
      <c r="B257" s="55"/>
      <c r="C257" s="55"/>
      <c r="D257" s="56"/>
      <c r="E257" s="56"/>
      <c r="F257" s="64">
        <v>0</v>
      </c>
      <c r="G257" s="64">
        <v>3</v>
      </c>
      <c r="H257" s="63">
        <f t="shared" si="18"/>
        <v>3</v>
      </c>
      <c r="I257" s="63">
        <f>IF(D257&lt;&gt;"",D257,IFERROR(E257/(IFERROR(SUM(Sales!C:C),0))*(IFERROR(SUM(Purchases!C:C),0)),0))</f>
        <v>0</v>
      </c>
      <c r="J257" s="63">
        <f t="shared" si="19"/>
        <v>0</v>
      </c>
      <c r="K257" s="63">
        <f t="shared" si="20"/>
        <v>0</v>
      </c>
      <c r="L257" s="55"/>
      <c r="M257" s="55"/>
      <c r="P257" s="86"/>
      <c r="S257" s="47"/>
      <c r="T257" s="47"/>
    </row>
    <row r="258" spans="1:20" ht="16">
      <c r="A258" s="52"/>
      <c r="B258" s="52"/>
      <c r="C258" s="52"/>
      <c r="D258" s="53"/>
      <c r="E258" s="53"/>
      <c r="F258" s="66">
        <v>0</v>
      </c>
      <c r="G258" s="66">
        <v>3</v>
      </c>
      <c r="H258" s="65">
        <f t="shared" si="18"/>
        <v>3</v>
      </c>
      <c r="I258" s="65">
        <f>IF(D258&lt;&gt;"",D258,IFERROR(E258/(IFERROR(SUM(Sales!C:C),0))*(IFERROR(SUM(Purchases!C:C),0)),0))</f>
        <v>0</v>
      </c>
      <c r="J258" s="65">
        <f t="shared" si="19"/>
        <v>0</v>
      </c>
      <c r="K258" s="65">
        <f t="shared" si="20"/>
        <v>0</v>
      </c>
      <c r="L258" s="52"/>
      <c r="M258" s="52"/>
      <c r="P258" s="86"/>
      <c r="S258" s="47"/>
      <c r="T258" s="47"/>
    </row>
    <row r="259" spans="1:20" ht="16">
      <c r="A259" s="55"/>
      <c r="B259" s="55"/>
      <c r="C259" s="55"/>
      <c r="D259" s="56"/>
      <c r="E259" s="56"/>
      <c r="F259" s="64">
        <v>0</v>
      </c>
      <c r="G259" s="64">
        <v>3</v>
      </c>
      <c r="H259" s="63">
        <f t="shared" si="18"/>
        <v>3</v>
      </c>
      <c r="I259" s="63">
        <f>IF(D259&lt;&gt;"",D259,IFERROR(E259/(IFERROR(SUM(Sales!C:C),0))*(IFERROR(SUM(Purchases!C:C),0)),0))</f>
        <v>0</v>
      </c>
      <c r="J259" s="63">
        <f t="shared" si="19"/>
        <v>0</v>
      </c>
      <c r="K259" s="63">
        <f t="shared" si="20"/>
        <v>0</v>
      </c>
      <c r="L259" s="55"/>
      <c r="M259" s="55"/>
      <c r="P259" s="86"/>
      <c r="S259" s="47"/>
      <c r="T259" s="47"/>
    </row>
    <row r="260" spans="1:20" ht="16">
      <c r="A260" s="52"/>
      <c r="B260" s="52"/>
      <c r="C260" s="52"/>
      <c r="D260" s="53"/>
      <c r="E260" s="53"/>
      <c r="F260" s="66">
        <v>0</v>
      </c>
      <c r="G260" s="66">
        <v>3</v>
      </c>
      <c r="H260" s="65">
        <f t="shared" si="18"/>
        <v>3</v>
      </c>
      <c r="I260" s="65">
        <f>IF(D260&lt;&gt;"",D260,IFERROR(E260/(IFERROR(SUM(Sales!C:C),0))*(IFERROR(SUM(Purchases!C:C),0)),0))</f>
        <v>0</v>
      </c>
      <c r="J260" s="65">
        <f t="shared" si="19"/>
        <v>0</v>
      </c>
      <c r="K260" s="65">
        <f t="shared" si="20"/>
        <v>0</v>
      </c>
      <c r="L260" s="52"/>
      <c r="M260" s="52"/>
      <c r="P260" s="86"/>
      <c r="S260" s="47"/>
      <c r="T260" s="47"/>
    </row>
    <row r="261" spans="1:20" ht="16">
      <c r="A261" s="55"/>
      <c r="B261" s="55"/>
      <c r="C261" s="55"/>
      <c r="D261" s="56"/>
      <c r="E261" s="56"/>
      <c r="F261" s="64">
        <v>0</v>
      </c>
      <c r="G261" s="64">
        <v>3</v>
      </c>
      <c r="H261" s="63">
        <f t="shared" si="18"/>
        <v>3</v>
      </c>
      <c r="I261" s="63">
        <f>IF(D261&lt;&gt;"",D261,IFERROR(E261/(IFERROR(SUM(Sales!C:C),0))*(IFERROR(SUM(Purchases!C:C),0)),0))</f>
        <v>0</v>
      </c>
      <c r="J261" s="63">
        <f t="shared" si="19"/>
        <v>0</v>
      </c>
      <c r="K261" s="63">
        <f t="shared" si="20"/>
        <v>0</v>
      </c>
      <c r="L261" s="55"/>
      <c r="M261" s="55"/>
      <c r="P261" s="86"/>
      <c r="S261" s="47"/>
      <c r="T261" s="47"/>
    </row>
    <row r="262" spans="1:20" ht="16">
      <c r="A262" s="52"/>
      <c r="B262" s="52"/>
      <c r="C262" s="52"/>
      <c r="D262" s="53"/>
      <c r="E262" s="53"/>
      <c r="F262" s="66">
        <v>0</v>
      </c>
      <c r="G262" s="66">
        <v>3</v>
      </c>
      <c r="H262" s="65">
        <f t="shared" si="18"/>
        <v>3</v>
      </c>
      <c r="I262" s="65">
        <f>IF(D262&lt;&gt;"",D262,IFERROR(E262/(IFERROR(SUM(Sales!C:C),0))*(IFERROR(SUM(Purchases!C:C),0)),0))</f>
        <v>0</v>
      </c>
      <c r="J262" s="65">
        <f t="shared" si="19"/>
        <v>0</v>
      </c>
      <c r="K262" s="65">
        <f t="shared" si="20"/>
        <v>0</v>
      </c>
      <c r="L262" s="52"/>
      <c r="M262" s="52"/>
      <c r="P262" s="86"/>
      <c r="S262" s="47"/>
      <c r="T262" s="47"/>
    </row>
    <row r="263" spans="1:20" ht="16">
      <c r="A263" s="55"/>
      <c r="B263" s="55"/>
      <c r="C263" s="55"/>
      <c r="D263" s="56"/>
      <c r="E263" s="56"/>
      <c r="F263" s="64">
        <v>0</v>
      </c>
      <c r="G263" s="64">
        <v>3</v>
      </c>
      <c r="H263" s="63">
        <f t="shared" si="18"/>
        <v>3</v>
      </c>
      <c r="I263" s="63">
        <f>IF(D263&lt;&gt;"",D263,IFERROR(E263/(IFERROR(SUM(Sales!C:C),0))*(IFERROR(SUM(Purchases!C:C),0)),0))</f>
        <v>0</v>
      </c>
      <c r="J263" s="63">
        <f t="shared" si="19"/>
        <v>0</v>
      </c>
      <c r="K263" s="63">
        <f t="shared" si="20"/>
        <v>0</v>
      </c>
      <c r="L263" s="55"/>
      <c r="M263" s="55"/>
      <c r="P263" s="86"/>
      <c r="S263" s="47"/>
      <c r="T263" s="47"/>
    </row>
    <row r="264" spans="1:20" ht="16">
      <c r="A264" s="52"/>
      <c r="B264" s="52"/>
      <c r="C264" s="52"/>
      <c r="D264" s="53"/>
      <c r="E264" s="53"/>
      <c r="F264" s="66"/>
      <c r="G264" s="66"/>
      <c r="H264" s="65"/>
      <c r="I264" s="65"/>
      <c r="J264" s="65"/>
      <c r="K264" s="65"/>
      <c r="L264" s="52"/>
      <c r="M264" s="52"/>
      <c r="P264" s="86"/>
      <c r="S264" s="47"/>
      <c r="T264" s="47"/>
    </row>
    <row r="265" spans="1:20" ht="16">
      <c r="A265" s="55"/>
      <c r="B265" s="55"/>
      <c r="C265" s="55"/>
      <c r="D265" s="56"/>
      <c r="E265" s="56"/>
      <c r="F265" s="64"/>
      <c r="G265" s="64"/>
      <c r="H265" s="63"/>
      <c r="I265" s="63"/>
      <c r="J265" s="63"/>
      <c r="K265" s="63"/>
      <c r="L265" s="55"/>
      <c r="M265" s="55"/>
      <c r="P265" s="86"/>
      <c r="S265" s="47"/>
      <c r="T265" s="47"/>
    </row>
    <row r="266" spans="1:20" ht="16">
      <c r="A266" s="52"/>
      <c r="B266" s="52"/>
      <c r="C266" s="52"/>
      <c r="D266" s="53"/>
      <c r="E266" s="53"/>
      <c r="F266" s="66"/>
      <c r="G266" s="66"/>
      <c r="H266" s="65"/>
      <c r="I266" s="65"/>
      <c r="J266" s="65"/>
      <c r="K266" s="65"/>
      <c r="L266" s="52"/>
      <c r="M266" s="52"/>
      <c r="P266" s="86"/>
      <c r="S266" s="47"/>
      <c r="T266" s="47"/>
    </row>
    <row r="267" spans="1:20" ht="16">
      <c r="A267" s="55"/>
      <c r="B267" s="55"/>
      <c r="C267" s="55"/>
      <c r="D267" s="56"/>
      <c r="E267" s="56"/>
      <c r="F267" s="64"/>
      <c r="G267" s="64"/>
      <c r="H267" s="63"/>
      <c r="I267" s="63"/>
      <c r="J267" s="63"/>
      <c r="K267" s="63"/>
      <c r="L267" s="55"/>
      <c r="M267" s="55"/>
      <c r="P267" s="86"/>
      <c r="S267" s="47"/>
      <c r="T267" s="47"/>
    </row>
    <row r="268" spans="1:20" ht="16">
      <c r="A268" s="52"/>
      <c r="B268" s="52"/>
      <c r="C268" s="52"/>
      <c r="D268" s="53"/>
      <c r="E268" s="53"/>
      <c r="F268" s="66"/>
      <c r="G268" s="66"/>
      <c r="H268" s="65"/>
      <c r="I268" s="65"/>
      <c r="J268" s="65"/>
      <c r="K268" s="65"/>
      <c r="L268" s="52"/>
      <c r="M268" s="52"/>
      <c r="P268" s="86"/>
      <c r="S268" s="47"/>
      <c r="T268" s="47"/>
    </row>
    <row r="269" spans="1:20" ht="16">
      <c r="A269" s="55"/>
      <c r="B269" s="55"/>
      <c r="C269" s="55"/>
      <c r="D269" s="56"/>
      <c r="E269" s="56"/>
      <c r="F269" s="64"/>
      <c r="G269" s="64"/>
      <c r="H269" s="63"/>
      <c r="I269" s="63"/>
      <c r="J269" s="63"/>
      <c r="K269" s="63"/>
      <c r="L269" s="55"/>
      <c r="M269" s="55"/>
      <c r="P269" s="86"/>
      <c r="S269" s="47"/>
      <c r="T269" s="47"/>
    </row>
    <row r="270" spans="1:20" ht="16">
      <c r="A270" s="52"/>
      <c r="B270" s="52"/>
      <c r="C270" s="52"/>
      <c r="D270" s="53"/>
      <c r="E270" s="53"/>
      <c r="F270" s="66"/>
      <c r="G270" s="66"/>
      <c r="H270" s="65"/>
      <c r="I270" s="65"/>
      <c r="J270" s="65"/>
      <c r="K270" s="65"/>
      <c r="L270" s="52"/>
      <c r="M270" s="52"/>
      <c r="P270" s="86"/>
      <c r="S270" s="47"/>
      <c r="T270" s="47"/>
    </row>
    <row r="271" spans="1:20" ht="16">
      <c r="A271" s="55"/>
      <c r="B271" s="55"/>
      <c r="C271" s="55"/>
      <c r="D271" s="56"/>
      <c r="E271" s="56"/>
      <c r="F271" s="64"/>
      <c r="G271" s="64"/>
      <c r="H271" s="63"/>
      <c r="I271" s="63"/>
      <c r="J271" s="63"/>
      <c r="K271" s="63"/>
      <c r="L271" s="55"/>
      <c r="M271" s="55"/>
      <c r="P271" s="86"/>
      <c r="S271" s="47"/>
      <c r="T271" s="47"/>
    </row>
    <row r="272" spans="1:20" ht="16">
      <c r="A272" s="52"/>
      <c r="B272" s="52"/>
      <c r="C272" s="52"/>
      <c r="D272" s="53"/>
      <c r="E272" s="53"/>
      <c r="F272" s="66"/>
      <c r="G272" s="66"/>
      <c r="H272" s="65"/>
      <c r="I272" s="65"/>
      <c r="J272" s="65"/>
      <c r="K272" s="65"/>
      <c r="L272" s="52"/>
      <c r="M272" s="52"/>
      <c r="P272" s="86"/>
      <c r="S272" s="47"/>
      <c r="T272" s="47"/>
    </row>
    <row r="273" spans="1:20" ht="16">
      <c r="A273" s="55"/>
      <c r="B273" s="55"/>
      <c r="C273" s="55"/>
      <c r="D273" s="56"/>
      <c r="E273" s="56"/>
      <c r="F273" s="64"/>
      <c r="G273" s="64"/>
      <c r="H273" s="63"/>
      <c r="I273" s="63"/>
      <c r="J273" s="63"/>
      <c r="K273" s="63"/>
      <c r="L273" s="55"/>
      <c r="M273" s="55"/>
      <c r="P273" s="86"/>
      <c r="S273" s="47"/>
      <c r="T273" s="47"/>
    </row>
    <row r="274" spans="1:20" ht="16">
      <c r="A274" s="52"/>
      <c r="B274" s="52"/>
      <c r="C274" s="52"/>
      <c r="D274" s="53"/>
      <c r="E274" s="53"/>
      <c r="F274" s="66"/>
      <c r="G274" s="66"/>
      <c r="H274" s="65"/>
      <c r="I274" s="65"/>
      <c r="J274" s="65"/>
      <c r="K274" s="65"/>
      <c r="L274" s="52"/>
      <c r="M274" s="52"/>
      <c r="P274" s="86"/>
      <c r="S274" s="47"/>
      <c r="T274" s="47"/>
    </row>
    <row r="275" spans="1:20" ht="16">
      <c r="A275" s="55"/>
      <c r="B275" s="55"/>
      <c r="C275" s="55"/>
      <c r="D275" s="56"/>
      <c r="E275" s="56"/>
      <c r="F275" s="64"/>
      <c r="G275" s="64"/>
      <c r="H275" s="63"/>
      <c r="I275" s="63"/>
      <c r="J275" s="63"/>
      <c r="K275" s="63"/>
      <c r="L275" s="55"/>
      <c r="M275" s="55"/>
      <c r="P275" s="86"/>
      <c r="S275" s="47"/>
      <c r="T275" s="47"/>
    </row>
    <row r="276" spans="1:20" ht="16">
      <c r="A276" s="52"/>
      <c r="B276" s="52"/>
      <c r="C276" s="52"/>
      <c r="D276" s="53"/>
      <c r="E276" s="53"/>
      <c r="F276" s="66"/>
      <c r="G276" s="66"/>
      <c r="H276" s="65"/>
      <c r="I276" s="65"/>
      <c r="J276" s="65"/>
      <c r="K276" s="65"/>
      <c r="L276" s="52"/>
      <c r="M276" s="52"/>
      <c r="P276" s="86"/>
      <c r="S276" s="47"/>
      <c r="T276" s="47"/>
    </row>
    <row r="277" spans="1:20" ht="16">
      <c r="A277" s="55"/>
      <c r="B277" s="55"/>
      <c r="C277" s="55"/>
      <c r="D277" s="56"/>
      <c r="E277" s="56"/>
      <c r="F277" s="64"/>
      <c r="G277" s="64"/>
      <c r="H277" s="63"/>
      <c r="I277" s="63"/>
      <c r="J277" s="63"/>
      <c r="K277" s="63"/>
      <c r="L277" s="55"/>
      <c r="M277" s="55"/>
      <c r="P277" s="86"/>
      <c r="S277" s="47"/>
      <c r="T277" s="47"/>
    </row>
    <row r="278" spans="1:20" ht="16">
      <c r="A278" s="52"/>
      <c r="B278" s="52"/>
      <c r="C278" s="52"/>
      <c r="D278" s="53"/>
      <c r="E278" s="53"/>
      <c r="F278" s="66"/>
      <c r="G278" s="66"/>
      <c r="H278" s="65"/>
      <c r="I278" s="65"/>
      <c r="J278" s="65"/>
      <c r="K278" s="65"/>
      <c r="L278" s="52"/>
      <c r="M278" s="52"/>
      <c r="P278" s="86"/>
      <c r="S278" s="47"/>
      <c r="T278" s="47"/>
    </row>
    <row r="279" spans="1:20" ht="16">
      <c r="A279" s="55"/>
      <c r="B279" s="55"/>
      <c r="C279" s="55"/>
      <c r="D279" s="56"/>
      <c r="E279" s="56"/>
      <c r="F279" s="64"/>
      <c r="G279" s="64"/>
      <c r="H279" s="63"/>
      <c r="I279" s="63"/>
      <c r="J279" s="63"/>
      <c r="K279" s="63"/>
      <c r="L279" s="55"/>
      <c r="M279" s="55"/>
      <c r="P279" s="86"/>
      <c r="S279" s="47"/>
      <c r="T279" s="47"/>
    </row>
    <row r="280" spans="1:20" ht="16">
      <c r="A280" s="52"/>
      <c r="B280" s="52"/>
      <c r="C280" s="52"/>
      <c r="D280" s="53"/>
      <c r="E280" s="53"/>
      <c r="F280" s="66"/>
      <c r="G280" s="66"/>
      <c r="H280" s="65"/>
      <c r="I280" s="65"/>
      <c r="J280" s="65"/>
      <c r="K280" s="65"/>
      <c r="L280" s="52"/>
      <c r="M280" s="52"/>
      <c r="P280" s="86"/>
      <c r="S280" s="47"/>
      <c r="T280" s="47"/>
    </row>
    <row r="281" spans="1:20" ht="16">
      <c r="A281" s="55"/>
      <c r="B281" s="55"/>
      <c r="C281" s="55"/>
      <c r="D281" s="56"/>
      <c r="E281" s="56"/>
      <c r="F281" s="64"/>
      <c r="G281" s="64"/>
      <c r="H281" s="63"/>
      <c r="I281" s="63"/>
      <c r="J281" s="63"/>
      <c r="K281" s="63"/>
      <c r="L281" s="55"/>
      <c r="M281" s="55"/>
      <c r="P281" s="86"/>
      <c r="S281" s="47"/>
      <c r="T281" s="47"/>
    </row>
    <row r="282" spans="1:20" ht="16">
      <c r="A282" s="52"/>
      <c r="B282" s="52"/>
      <c r="C282" s="52"/>
      <c r="D282" s="53"/>
      <c r="E282" s="53"/>
      <c r="F282" s="66"/>
      <c r="G282" s="66"/>
      <c r="H282" s="65"/>
      <c r="I282" s="65"/>
      <c r="J282" s="65"/>
      <c r="K282" s="65"/>
      <c r="L282" s="52"/>
      <c r="M282" s="52"/>
      <c r="P282" s="86"/>
      <c r="S282" s="47"/>
      <c r="T282" s="47"/>
    </row>
    <row r="283" spans="1:20" ht="16">
      <c r="A283" s="55"/>
      <c r="B283" s="55"/>
      <c r="C283" s="55"/>
      <c r="D283" s="56"/>
      <c r="E283" s="56"/>
      <c r="F283" s="64"/>
      <c r="G283" s="64"/>
      <c r="H283" s="63"/>
      <c r="I283" s="63"/>
      <c r="J283" s="63"/>
      <c r="K283" s="63"/>
      <c r="L283" s="55"/>
      <c r="M283" s="55"/>
      <c r="P283" s="86"/>
      <c r="S283" s="47"/>
      <c r="T283" s="47"/>
    </row>
    <row r="284" spans="1:20" ht="16">
      <c r="A284" s="52"/>
      <c r="B284" s="52"/>
      <c r="C284" s="52"/>
      <c r="D284" s="53"/>
      <c r="E284" s="53"/>
      <c r="F284" s="66"/>
      <c r="G284" s="66"/>
      <c r="H284" s="65"/>
      <c r="I284" s="65"/>
      <c r="J284" s="65"/>
      <c r="K284" s="65"/>
      <c r="L284" s="52"/>
      <c r="M284" s="52"/>
      <c r="P284" s="86"/>
      <c r="S284" s="47"/>
      <c r="T284" s="47"/>
    </row>
    <row r="285" spans="1:20" ht="16">
      <c r="A285" s="55"/>
      <c r="B285" s="55"/>
      <c r="C285" s="55"/>
      <c r="D285" s="56"/>
      <c r="E285" s="56"/>
      <c r="F285" s="64"/>
      <c r="G285" s="64"/>
      <c r="H285" s="63"/>
      <c r="I285" s="63"/>
      <c r="J285" s="63"/>
      <c r="K285" s="63"/>
      <c r="L285" s="55"/>
      <c r="M285" s="55"/>
      <c r="P285" s="86"/>
      <c r="S285" s="47"/>
      <c r="T285" s="47"/>
    </row>
    <row r="286" spans="1:20" ht="16">
      <c r="A286" s="52"/>
      <c r="B286" s="52"/>
      <c r="C286" s="52"/>
      <c r="D286" s="53"/>
      <c r="E286" s="53"/>
      <c r="F286" s="66"/>
      <c r="G286" s="66"/>
      <c r="H286" s="65"/>
      <c r="I286" s="65"/>
      <c r="J286" s="65"/>
      <c r="K286" s="65"/>
      <c r="L286" s="52"/>
      <c r="M286" s="52"/>
      <c r="P286" s="86"/>
      <c r="S286" s="47"/>
      <c r="T286" s="47"/>
    </row>
    <row r="287" spans="1:20" ht="16">
      <c r="A287" s="55"/>
      <c r="B287" s="55"/>
      <c r="C287" s="55"/>
      <c r="D287" s="56"/>
      <c r="E287" s="56"/>
      <c r="F287" s="64"/>
      <c r="G287" s="64"/>
      <c r="H287" s="63"/>
      <c r="I287" s="63"/>
      <c r="J287" s="63"/>
      <c r="K287" s="63"/>
      <c r="L287" s="55"/>
      <c r="M287" s="55"/>
      <c r="P287" s="86"/>
      <c r="S287" s="47"/>
      <c r="T287" s="47"/>
    </row>
    <row r="288" spans="1:20" ht="16">
      <c r="A288" s="52"/>
      <c r="B288" s="52"/>
      <c r="C288" s="52"/>
      <c r="D288" s="53"/>
      <c r="E288" s="53"/>
      <c r="F288" s="66"/>
      <c r="G288" s="66"/>
      <c r="H288" s="65"/>
      <c r="I288" s="65"/>
      <c r="J288" s="65"/>
      <c r="K288" s="65"/>
      <c r="L288" s="52"/>
      <c r="M288" s="52"/>
      <c r="P288" s="86"/>
      <c r="S288" s="47"/>
      <c r="T288" s="47"/>
    </row>
    <row r="289" spans="1:20" ht="16">
      <c r="A289" s="55"/>
      <c r="B289" s="55"/>
      <c r="C289" s="55"/>
      <c r="D289" s="56"/>
      <c r="E289" s="56"/>
      <c r="F289" s="64"/>
      <c r="G289" s="64"/>
      <c r="H289" s="63"/>
      <c r="I289" s="63"/>
      <c r="J289" s="63"/>
      <c r="K289" s="63"/>
      <c r="L289" s="55"/>
      <c r="M289" s="55"/>
      <c r="P289" s="86"/>
      <c r="S289" s="47"/>
      <c r="T289" s="47"/>
    </row>
    <row r="290" spans="1:20" ht="16">
      <c r="A290" s="52"/>
      <c r="B290" s="52"/>
      <c r="C290" s="52"/>
      <c r="D290" s="53"/>
      <c r="E290" s="53"/>
      <c r="F290" s="66"/>
      <c r="G290" s="66"/>
      <c r="H290" s="65"/>
      <c r="I290" s="65"/>
      <c r="J290" s="65"/>
      <c r="K290" s="65"/>
      <c r="L290" s="52"/>
      <c r="M290" s="52"/>
      <c r="P290" s="86"/>
      <c r="S290" s="47"/>
      <c r="T290" s="47"/>
    </row>
    <row r="291" spans="1:20" ht="16">
      <c r="A291" s="55"/>
      <c r="B291" s="55"/>
      <c r="C291" s="55"/>
      <c r="D291" s="56"/>
      <c r="E291" s="56"/>
      <c r="F291" s="64"/>
      <c r="G291" s="64"/>
      <c r="H291" s="63"/>
      <c r="I291" s="63"/>
      <c r="J291" s="63"/>
      <c r="K291" s="63"/>
      <c r="L291" s="55"/>
      <c r="M291" s="55"/>
      <c r="P291" s="86"/>
      <c r="S291" s="47"/>
      <c r="T291" s="47"/>
    </row>
    <row r="292" spans="1:20" ht="16">
      <c r="A292" s="52"/>
      <c r="B292" s="52"/>
      <c r="C292" s="52"/>
      <c r="D292" s="53"/>
      <c r="E292" s="53"/>
      <c r="F292" s="66"/>
      <c r="G292" s="66"/>
      <c r="H292" s="65"/>
      <c r="I292" s="65"/>
      <c r="J292" s="65"/>
      <c r="K292" s="65"/>
      <c r="L292" s="52"/>
      <c r="M292" s="52"/>
      <c r="P292" s="86"/>
      <c r="S292" s="47"/>
      <c r="T292" s="47"/>
    </row>
    <row r="293" spans="1:20" ht="16">
      <c r="A293" s="55"/>
      <c r="B293" s="55"/>
      <c r="C293" s="55"/>
      <c r="D293" s="56"/>
      <c r="E293" s="56"/>
      <c r="F293" s="64"/>
      <c r="G293" s="64"/>
      <c r="H293" s="63"/>
      <c r="I293" s="63"/>
      <c r="J293" s="63"/>
      <c r="K293" s="63"/>
      <c r="L293" s="55"/>
      <c r="M293" s="55"/>
      <c r="P293" s="86"/>
      <c r="S293" s="47"/>
      <c r="T293" s="47"/>
    </row>
    <row r="294" spans="1:20" ht="16">
      <c r="A294" s="52"/>
      <c r="B294" s="52"/>
      <c r="C294" s="52"/>
      <c r="D294" s="53"/>
      <c r="E294" s="53"/>
      <c r="F294" s="66"/>
      <c r="G294" s="66"/>
      <c r="H294" s="65"/>
      <c r="I294" s="65"/>
      <c r="J294" s="65"/>
      <c r="K294" s="65"/>
      <c r="L294" s="52"/>
      <c r="M294" s="52"/>
      <c r="P294" s="86"/>
      <c r="S294" s="47"/>
      <c r="T294" s="47"/>
    </row>
    <row r="295" spans="1:20" ht="16">
      <c r="A295" s="55"/>
      <c r="B295" s="55"/>
      <c r="C295" s="55"/>
      <c r="D295" s="56"/>
      <c r="E295" s="56"/>
      <c r="F295" s="64"/>
      <c r="G295" s="64"/>
      <c r="H295" s="63"/>
      <c r="I295" s="63"/>
      <c r="J295" s="63"/>
      <c r="K295" s="63"/>
      <c r="L295" s="55"/>
      <c r="M295" s="55"/>
      <c r="P295" s="86"/>
      <c r="S295" s="47"/>
      <c r="T295" s="47"/>
    </row>
    <row r="296" spans="1:20" ht="16">
      <c r="A296" s="52"/>
      <c r="B296" s="52"/>
      <c r="C296" s="52"/>
      <c r="D296" s="53"/>
      <c r="E296" s="53"/>
      <c r="F296" s="66"/>
      <c r="G296" s="66"/>
      <c r="H296" s="65"/>
      <c r="I296" s="65"/>
      <c r="J296" s="65"/>
      <c r="K296" s="65"/>
      <c r="L296" s="52"/>
      <c r="M296" s="52"/>
      <c r="P296" s="86"/>
      <c r="S296" s="47"/>
      <c r="T296" s="47"/>
    </row>
    <row r="297" spans="1:20" ht="16">
      <c r="A297" s="55"/>
      <c r="B297" s="55"/>
      <c r="C297" s="55"/>
      <c r="D297" s="56"/>
      <c r="E297" s="56"/>
      <c r="F297" s="64"/>
      <c r="G297" s="64"/>
      <c r="H297" s="63"/>
      <c r="I297" s="63"/>
      <c r="J297" s="63"/>
      <c r="K297" s="63"/>
      <c r="L297" s="55"/>
      <c r="M297" s="55"/>
      <c r="P297" s="86"/>
      <c r="S297" s="47"/>
      <c r="T297" s="47"/>
    </row>
    <row r="298" spans="1:20" ht="16">
      <c r="A298" s="52"/>
      <c r="B298" s="52"/>
      <c r="C298" s="52"/>
      <c r="D298" s="53"/>
      <c r="E298" s="53"/>
      <c r="F298" s="66"/>
      <c r="G298" s="66"/>
      <c r="H298" s="65"/>
      <c r="I298" s="65"/>
      <c r="J298" s="65"/>
      <c r="K298" s="65"/>
      <c r="L298" s="52"/>
      <c r="M298" s="52"/>
      <c r="P298" s="86"/>
      <c r="S298" s="47"/>
      <c r="T298" s="47"/>
    </row>
    <row r="299" spans="1:20" ht="16">
      <c r="A299" s="55"/>
      <c r="B299" s="55"/>
      <c r="C299" s="55"/>
      <c r="D299" s="56"/>
      <c r="E299" s="56"/>
      <c r="F299" s="64"/>
      <c r="G299" s="64"/>
      <c r="H299" s="63"/>
      <c r="I299" s="63"/>
      <c r="J299" s="63"/>
      <c r="K299" s="63"/>
      <c r="L299" s="55"/>
      <c r="M299" s="55"/>
      <c r="P299" s="86"/>
      <c r="S299" s="47"/>
      <c r="T299" s="47"/>
    </row>
    <row r="300" spans="1:20" ht="16">
      <c r="A300" s="52"/>
      <c r="B300" s="52"/>
      <c r="C300" s="52"/>
      <c r="D300" s="53"/>
      <c r="E300" s="53"/>
      <c r="F300" s="66"/>
      <c r="G300" s="66"/>
      <c r="H300" s="65"/>
      <c r="I300" s="65"/>
      <c r="J300" s="65"/>
      <c r="K300" s="65"/>
      <c r="L300" s="52"/>
      <c r="M300" s="52"/>
      <c r="P300" s="86"/>
      <c r="S300" s="47"/>
      <c r="T300" s="47"/>
    </row>
    <row r="301" spans="1:20" ht="16">
      <c r="A301" s="55"/>
      <c r="B301" s="55"/>
      <c r="C301" s="55"/>
      <c r="D301" s="56"/>
      <c r="E301" s="56"/>
      <c r="F301" s="64"/>
      <c r="G301" s="64"/>
      <c r="H301" s="63"/>
      <c r="I301" s="63"/>
      <c r="J301" s="63"/>
      <c r="K301" s="63"/>
      <c r="L301" s="55"/>
      <c r="M301" s="55"/>
      <c r="P301" s="86"/>
      <c r="S301" s="47"/>
      <c r="T301" s="47"/>
    </row>
    <row r="302" spans="1:20" ht="16">
      <c r="A302" s="52"/>
      <c r="B302" s="52"/>
      <c r="C302" s="52"/>
      <c r="D302" s="53"/>
      <c r="E302" s="53"/>
      <c r="F302" s="66"/>
      <c r="G302" s="66"/>
      <c r="H302" s="65"/>
      <c r="I302" s="65"/>
      <c r="J302" s="65"/>
      <c r="K302" s="65"/>
      <c r="L302" s="52"/>
      <c r="M302" s="52"/>
      <c r="P302" s="86"/>
      <c r="S302" s="47"/>
      <c r="T302" s="47"/>
    </row>
    <row r="303" spans="1:20" ht="16">
      <c r="A303" s="55"/>
      <c r="B303" s="55"/>
      <c r="C303" s="55"/>
      <c r="D303" s="56"/>
      <c r="E303" s="56"/>
      <c r="F303" s="64"/>
      <c r="G303" s="64"/>
      <c r="H303" s="63"/>
      <c r="I303" s="63"/>
      <c r="J303" s="63"/>
      <c r="K303" s="63"/>
      <c r="L303" s="55"/>
      <c r="M303" s="55"/>
      <c r="P303" s="86"/>
      <c r="S303" s="47"/>
      <c r="T303" s="47"/>
    </row>
    <row r="304" spans="1:20" ht="16">
      <c r="A304" s="52"/>
      <c r="B304" s="52"/>
      <c r="C304" s="52"/>
      <c r="D304" s="53"/>
      <c r="E304" s="53"/>
      <c r="F304" s="66"/>
      <c r="G304" s="66"/>
      <c r="H304" s="65"/>
      <c r="I304" s="65"/>
      <c r="J304" s="65"/>
      <c r="K304" s="65"/>
      <c r="L304" s="52"/>
      <c r="M304" s="52"/>
      <c r="P304" s="86"/>
      <c r="S304" s="47"/>
      <c r="T304" s="47"/>
    </row>
    <row r="305" spans="1:20" ht="16">
      <c r="A305" s="55"/>
      <c r="B305" s="55"/>
      <c r="C305" s="55"/>
      <c r="D305" s="56"/>
      <c r="E305" s="56"/>
      <c r="F305" s="64"/>
      <c r="G305" s="64"/>
      <c r="H305" s="63"/>
      <c r="I305" s="63"/>
      <c r="J305" s="63"/>
      <c r="K305" s="63"/>
      <c r="L305" s="55"/>
      <c r="M305" s="55"/>
      <c r="P305" s="86"/>
      <c r="S305" s="47"/>
      <c r="T305" s="47"/>
    </row>
    <row r="306" spans="1:20" ht="16">
      <c r="A306" s="52"/>
      <c r="B306" s="52"/>
      <c r="C306" s="52"/>
      <c r="D306" s="53"/>
      <c r="E306" s="53"/>
      <c r="F306" s="66"/>
      <c r="G306" s="66"/>
      <c r="H306" s="65"/>
      <c r="I306" s="65"/>
      <c r="J306" s="65"/>
      <c r="K306" s="65"/>
      <c r="L306" s="52"/>
      <c r="M306" s="52"/>
      <c r="P306" s="86"/>
      <c r="S306" s="47"/>
      <c r="T306" s="47"/>
    </row>
    <row r="307" spans="1:20" ht="16">
      <c r="A307" s="55"/>
      <c r="B307" s="55"/>
      <c r="C307" s="55"/>
      <c r="D307" s="56"/>
      <c r="E307" s="56"/>
      <c r="F307" s="64"/>
      <c r="G307" s="64"/>
      <c r="H307" s="63"/>
      <c r="I307" s="63"/>
      <c r="J307" s="63"/>
      <c r="K307" s="63"/>
      <c r="L307" s="55"/>
      <c r="M307" s="55"/>
      <c r="P307" s="86"/>
      <c r="S307" s="47"/>
      <c r="T307" s="47"/>
    </row>
    <row r="308" spans="1:20" ht="16">
      <c r="A308" s="52"/>
      <c r="B308" s="52"/>
      <c r="C308" s="52"/>
      <c r="D308" s="53"/>
      <c r="E308" s="53"/>
      <c r="F308" s="66"/>
      <c r="G308" s="66"/>
      <c r="H308" s="65"/>
      <c r="I308" s="65"/>
      <c r="J308" s="65"/>
      <c r="K308" s="65"/>
      <c r="L308" s="52"/>
      <c r="M308" s="52"/>
      <c r="P308" s="86"/>
      <c r="S308" s="47"/>
      <c r="T308" s="47"/>
    </row>
    <row r="309" spans="1:20" ht="16">
      <c r="A309" s="55"/>
      <c r="B309" s="55"/>
      <c r="C309" s="55"/>
      <c r="D309" s="56"/>
      <c r="E309" s="56"/>
      <c r="F309" s="64"/>
      <c r="G309" s="64"/>
      <c r="H309" s="63"/>
      <c r="I309" s="63"/>
      <c r="J309" s="63"/>
      <c r="K309" s="63"/>
      <c r="L309" s="55"/>
      <c r="M309" s="55"/>
      <c r="P309" s="86"/>
      <c r="S309" s="47"/>
      <c r="T309" s="47"/>
    </row>
    <row r="310" spans="1:20" ht="16">
      <c r="A310" s="52"/>
      <c r="B310" s="52"/>
      <c r="C310" s="52"/>
      <c r="D310" s="53"/>
      <c r="E310" s="53"/>
      <c r="F310" s="66"/>
      <c r="G310" s="66"/>
      <c r="H310" s="65"/>
      <c r="I310" s="65"/>
      <c r="J310" s="65"/>
      <c r="K310" s="65"/>
      <c r="L310" s="52"/>
      <c r="M310" s="52"/>
      <c r="P310" s="86"/>
      <c r="S310" s="47"/>
      <c r="T310" s="47"/>
    </row>
    <row r="311" spans="1:20" ht="16">
      <c r="A311" s="55"/>
      <c r="B311" s="55"/>
      <c r="C311" s="55"/>
      <c r="D311" s="56"/>
      <c r="E311" s="56"/>
      <c r="F311" s="64"/>
      <c r="G311" s="64"/>
      <c r="H311" s="63"/>
      <c r="I311" s="63"/>
      <c r="J311" s="63"/>
      <c r="K311" s="63"/>
      <c r="L311" s="55"/>
      <c r="M311" s="55"/>
      <c r="P311" s="86"/>
      <c r="S311" s="47"/>
      <c r="T311" s="47"/>
    </row>
    <row r="312" spans="1:20" ht="16">
      <c r="A312" s="52"/>
      <c r="B312" s="52"/>
      <c r="C312" s="52"/>
      <c r="D312" s="53"/>
      <c r="E312" s="53"/>
      <c r="F312" s="66"/>
      <c r="G312" s="66"/>
      <c r="H312" s="65"/>
      <c r="I312" s="65"/>
      <c r="J312" s="65"/>
      <c r="K312" s="65"/>
      <c r="L312" s="52"/>
      <c r="M312" s="52"/>
      <c r="P312" s="86"/>
      <c r="S312" s="47"/>
      <c r="T312" s="47"/>
    </row>
    <row r="313" spans="1:20" ht="16">
      <c r="A313" s="55"/>
      <c r="B313" s="55"/>
      <c r="C313" s="55"/>
      <c r="D313" s="56"/>
      <c r="E313" s="56"/>
      <c r="F313" s="64"/>
      <c r="G313" s="64"/>
      <c r="H313" s="63"/>
      <c r="I313" s="63"/>
      <c r="J313" s="63"/>
      <c r="K313" s="63"/>
      <c r="L313" s="55"/>
      <c r="M313" s="55"/>
      <c r="P313" s="86"/>
      <c r="S313" s="47"/>
      <c r="T313" s="47"/>
    </row>
    <row r="314" spans="1:20" ht="16">
      <c r="A314" s="52"/>
      <c r="B314" s="52"/>
      <c r="C314" s="52"/>
      <c r="D314" s="53"/>
      <c r="E314" s="53"/>
      <c r="F314" s="66"/>
      <c r="G314" s="66"/>
      <c r="H314" s="65"/>
      <c r="I314" s="65"/>
      <c r="J314" s="65"/>
      <c r="K314" s="65"/>
      <c r="L314" s="52"/>
      <c r="M314" s="52"/>
      <c r="P314" s="86"/>
      <c r="S314" s="47"/>
      <c r="T314" s="47"/>
    </row>
    <row r="315" spans="1:20" ht="16">
      <c r="A315" s="55"/>
      <c r="B315" s="55"/>
      <c r="C315" s="55"/>
      <c r="D315" s="56"/>
      <c r="E315" s="56"/>
      <c r="F315" s="64"/>
      <c r="G315" s="64"/>
      <c r="H315" s="63"/>
      <c r="I315" s="63"/>
      <c r="J315" s="63"/>
      <c r="K315" s="63"/>
      <c r="L315" s="55"/>
      <c r="M315" s="55"/>
      <c r="P315" s="86"/>
      <c r="S315" s="47"/>
      <c r="T315" s="47"/>
    </row>
    <row r="316" spans="1:20" ht="16">
      <c r="A316" s="52"/>
      <c r="B316" s="52"/>
      <c r="C316" s="52"/>
      <c r="D316" s="53"/>
      <c r="E316" s="53"/>
      <c r="F316" s="66"/>
      <c r="G316" s="66"/>
      <c r="H316" s="65"/>
      <c r="I316" s="65"/>
      <c r="J316" s="65"/>
      <c r="K316" s="65"/>
      <c r="L316" s="52"/>
      <c r="M316" s="52"/>
      <c r="P316" s="86"/>
      <c r="S316" s="47"/>
      <c r="T316" s="47"/>
    </row>
    <row r="317" spans="1:20" ht="16">
      <c r="A317" s="55"/>
      <c r="B317" s="55"/>
      <c r="C317" s="55"/>
      <c r="D317" s="56"/>
      <c r="E317" s="56"/>
      <c r="F317" s="64"/>
      <c r="G317" s="64"/>
      <c r="H317" s="63"/>
      <c r="I317" s="63"/>
      <c r="J317" s="63"/>
      <c r="K317" s="63"/>
      <c r="L317" s="55"/>
      <c r="M317" s="55"/>
      <c r="P317" s="86"/>
      <c r="S317" s="47"/>
      <c r="T317" s="47"/>
    </row>
    <row r="318" spans="1:20" ht="16">
      <c r="A318" s="52"/>
      <c r="B318" s="52"/>
      <c r="C318" s="52"/>
      <c r="D318" s="53"/>
      <c r="E318" s="53"/>
      <c r="F318" s="66"/>
      <c r="G318" s="66"/>
      <c r="H318" s="65"/>
      <c r="I318" s="65"/>
      <c r="J318" s="65"/>
      <c r="K318" s="65"/>
      <c r="L318" s="52"/>
      <c r="M318" s="52"/>
      <c r="P318" s="86"/>
      <c r="S318" s="47"/>
      <c r="T318" s="47"/>
    </row>
    <row r="319" spans="1:20" ht="16">
      <c r="A319" s="55"/>
      <c r="B319" s="55"/>
      <c r="C319" s="55"/>
      <c r="D319" s="56"/>
      <c r="E319" s="56"/>
      <c r="F319" s="64"/>
      <c r="G319" s="64"/>
      <c r="H319" s="63"/>
      <c r="I319" s="63"/>
      <c r="J319" s="63"/>
      <c r="K319" s="63"/>
      <c r="L319" s="55"/>
      <c r="M319" s="55"/>
      <c r="P319" s="86"/>
      <c r="S319" s="47"/>
      <c r="T319" s="47"/>
    </row>
    <row r="320" spans="1:20" ht="16">
      <c r="A320" s="52"/>
      <c r="B320" s="52"/>
      <c r="C320" s="52"/>
      <c r="D320" s="53"/>
      <c r="E320" s="53"/>
      <c r="F320" s="66"/>
      <c r="G320" s="66"/>
      <c r="H320" s="65"/>
      <c r="I320" s="65"/>
      <c r="J320" s="65"/>
      <c r="K320" s="65"/>
      <c r="L320" s="52"/>
      <c r="M320" s="52"/>
      <c r="P320" s="86"/>
      <c r="S320" s="47"/>
      <c r="T320" s="47"/>
    </row>
    <row r="321" spans="1:20" ht="16">
      <c r="A321" s="55"/>
      <c r="B321" s="55"/>
      <c r="C321" s="55"/>
      <c r="D321" s="56"/>
      <c r="E321" s="56"/>
      <c r="F321" s="64"/>
      <c r="G321" s="64"/>
      <c r="H321" s="63"/>
      <c r="I321" s="63"/>
      <c r="J321" s="63"/>
      <c r="K321" s="63"/>
      <c r="L321" s="55"/>
      <c r="M321" s="55"/>
      <c r="P321" s="86"/>
      <c r="S321" s="47"/>
      <c r="T321" s="47"/>
    </row>
    <row r="322" spans="1:20" ht="16">
      <c r="A322" s="52"/>
      <c r="B322" s="52"/>
      <c r="C322" s="52"/>
      <c r="D322" s="53"/>
      <c r="E322" s="53"/>
      <c r="F322" s="66"/>
      <c r="G322" s="66"/>
      <c r="H322" s="65"/>
      <c r="I322" s="65"/>
      <c r="J322" s="65"/>
      <c r="K322" s="65"/>
      <c r="L322" s="52"/>
      <c r="M322" s="52"/>
      <c r="P322" s="86"/>
      <c r="S322" s="47"/>
      <c r="T322" s="47"/>
    </row>
    <row r="323" spans="1:20" ht="16">
      <c r="A323" s="55"/>
      <c r="B323" s="55"/>
      <c r="C323" s="55"/>
      <c r="D323" s="56"/>
      <c r="E323" s="56"/>
      <c r="F323" s="64"/>
      <c r="G323" s="64"/>
      <c r="H323" s="63"/>
      <c r="I323" s="63"/>
      <c r="J323" s="63"/>
      <c r="K323" s="63"/>
      <c r="L323" s="55"/>
      <c r="M323" s="55"/>
      <c r="P323" s="86"/>
      <c r="S323" s="47"/>
      <c r="T323" s="47"/>
    </row>
    <row r="324" spans="1:20" ht="16">
      <c r="A324" s="52"/>
      <c r="B324" s="52"/>
      <c r="C324" s="52"/>
      <c r="D324" s="53"/>
      <c r="E324" s="53"/>
      <c r="F324" s="66"/>
      <c r="G324" s="66"/>
      <c r="H324" s="65"/>
      <c r="I324" s="65"/>
      <c r="J324" s="65"/>
      <c r="K324" s="65"/>
      <c r="L324" s="52"/>
      <c r="M324" s="52"/>
      <c r="P324" s="86"/>
      <c r="S324" s="47"/>
      <c r="T324" s="47"/>
    </row>
    <row r="325" spans="1:20" ht="16">
      <c r="A325" s="55"/>
      <c r="B325" s="55"/>
      <c r="C325" s="55"/>
      <c r="D325" s="56"/>
      <c r="E325" s="56"/>
      <c r="F325" s="64"/>
      <c r="G325" s="64"/>
      <c r="H325" s="63"/>
      <c r="I325" s="63"/>
      <c r="J325" s="63"/>
      <c r="K325" s="63"/>
      <c r="L325" s="55"/>
      <c r="M325" s="55"/>
      <c r="P325" s="86"/>
      <c r="S325" s="47"/>
      <c r="T325" s="47"/>
    </row>
    <row r="326" spans="1:20" ht="16">
      <c r="A326" s="52"/>
      <c r="B326" s="52"/>
      <c r="C326" s="52"/>
      <c r="D326" s="53"/>
      <c r="E326" s="53"/>
      <c r="F326" s="66"/>
      <c r="G326" s="66"/>
      <c r="H326" s="65"/>
      <c r="I326" s="65"/>
      <c r="J326" s="65"/>
      <c r="K326" s="65"/>
      <c r="L326" s="52"/>
      <c r="M326" s="52"/>
      <c r="P326" s="86"/>
      <c r="S326" s="47"/>
      <c r="T326" s="47"/>
    </row>
    <row r="327" spans="1:20" ht="16">
      <c r="A327" s="55"/>
      <c r="B327" s="55"/>
      <c r="C327" s="55"/>
      <c r="D327" s="56"/>
      <c r="E327" s="56"/>
      <c r="F327" s="64"/>
      <c r="G327" s="64"/>
      <c r="H327" s="63"/>
      <c r="I327" s="63"/>
      <c r="J327" s="63"/>
      <c r="K327" s="63"/>
      <c r="L327" s="55"/>
      <c r="M327" s="55"/>
      <c r="P327" s="86"/>
      <c r="S327" s="47"/>
      <c r="T327" s="47"/>
    </row>
    <row r="328" spans="1:20" ht="16">
      <c r="A328" s="52"/>
      <c r="B328" s="52"/>
      <c r="C328" s="52"/>
      <c r="D328" s="53"/>
      <c r="E328" s="53"/>
      <c r="F328" s="66"/>
      <c r="G328" s="66"/>
      <c r="H328" s="65"/>
      <c r="I328" s="65"/>
      <c r="J328" s="65"/>
      <c r="K328" s="65"/>
      <c r="L328" s="52"/>
      <c r="M328" s="52"/>
      <c r="P328" s="86"/>
      <c r="S328" s="47"/>
      <c r="T328" s="47"/>
    </row>
    <row r="329" spans="1:20" ht="16">
      <c r="A329" s="55"/>
      <c r="B329" s="55"/>
      <c r="C329" s="55"/>
      <c r="D329" s="56"/>
      <c r="E329" s="56"/>
      <c r="F329" s="64"/>
      <c r="G329" s="64"/>
      <c r="H329" s="63"/>
      <c r="I329" s="63"/>
      <c r="J329" s="63"/>
      <c r="K329" s="63"/>
      <c r="L329" s="55"/>
      <c r="M329" s="55"/>
      <c r="P329" s="86"/>
      <c r="S329" s="47"/>
      <c r="T329" s="47"/>
    </row>
    <row r="330" spans="1:20" ht="16">
      <c r="A330" s="52"/>
      <c r="B330" s="52"/>
      <c r="C330" s="52"/>
      <c r="D330" s="53"/>
      <c r="E330" s="53"/>
      <c r="F330" s="66"/>
      <c r="G330" s="66"/>
      <c r="H330" s="65"/>
      <c r="I330" s="65"/>
      <c r="J330" s="65"/>
      <c r="K330" s="65"/>
      <c r="L330" s="52"/>
      <c r="M330" s="52"/>
      <c r="P330" s="86"/>
      <c r="S330" s="47"/>
      <c r="T330" s="47"/>
    </row>
    <row r="331" spans="1:20" ht="16">
      <c r="A331" s="55"/>
      <c r="B331" s="55"/>
      <c r="C331" s="55"/>
      <c r="D331" s="56"/>
      <c r="E331" s="56"/>
      <c r="F331" s="64"/>
      <c r="G331" s="64"/>
      <c r="H331" s="63"/>
      <c r="I331" s="63"/>
      <c r="J331" s="63"/>
      <c r="K331" s="63"/>
      <c r="L331" s="55"/>
      <c r="M331" s="55"/>
      <c r="P331" s="86"/>
      <c r="S331" s="47"/>
      <c r="T331" s="47"/>
    </row>
    <row r="332" spans="1:20" ht="16">
      <c r="A332" s="52"/>
      <c r="B332" s="52"/>
      <c r="C332" s="52"/>
      <c r="D332" s="53"/>
      <c r="E332" s="53"/>
      <c r="F332" s="66"/>
      <c r="G332" s="66"/>
      <c r="H332" s="65"/>
      <c r="I332" s="65"/>
      <c r="J332" s="65"/>
      <c r="K332" s="65"/>
      <c r="L332" s="52"/>
      <c r="M332" s="52"/>
      <c r="P332" s="86"/>
      <c r="S332" s="47"/>
      <c r="T332" s="47"/>
    </row>
    <row r="333" spans="1:20" ht="16">
      <c r="A333" s="55"/>
      <c r="B333" s="55"/>
      <c r="C333" s="55"/>
      <c r="D333" s="56"/>
      <c r="E333" s="56"/>
      <c r="F333" s="64"/>
      <c r="G333" s="64"/>
      <c r="H333" s="63"/>
      <c r="I333" s="63"/>
      <c r="J333" s="63"/>
      <c r="K333" s="63"/>
      <c r="L333" s="55"/>
      <c r="M333" s="55"/>
      <c r="P333" s="86"/>
      <c r="S333" s="47"/>
      <c r="T333" s="47"/>
    </row>
    <row r="334" spans="1:20" ht="16">
      <c r="A334" s="52"/>
      <c r="B334" s="52"/>
      <c r="C334" s="52"/>
      <c r="D334" s="53"/>
      <c r="E334" s="53"/>
      <c r="F334" s="66"/>
      <c r="G334" s="66"/>
      <c r="H334" s="65"/>
      <c r="I334" s="65"/>
      <c r="J334" s="65"/>
      <c r="K334" s="65"/>
      <c r="L334" s="52"/>
      <c r="M334" s="52"/>
      <c r="P334" s="86"/>
      <c r="S334" s="47"/>
      <c r="T334" s="47"/>
    </row>
    <row r="335" spans="1:20" ht="16">
      <c r="A335" s="55"/>
      <c r="B335" s="55"/>
      <c r="C335" s="55"/>
      <c r="D335" s="56"/>
      <c r="E335" s="56"/>
      <c r="F335" s="64"/>
      <c r="G335" s="64"/>
      <c r="H335" s="63"/>
      <c r="I335" s="63"/>
      <c r="J335" s="63"/>
      <c r="K335" s="63"/>
      <c r="L335" s="55"/>
      <c r="M335" s="55"/>
      <c r="P335" s="86"/>
      <c r="S335" s="47"/>
      <c r="T335" s="47"/>
    </row>
    <row r="336" spans="1:20" ht="16">
      <c r="A336" s="52"/>
      <c r="B336" s="52"/>
      <c r="C336" s="52"/>
      <c r="D336" s="53"/>
      <c r="E336" s="53"/>
      <c r="F336" s="66"/>
      <c r="G336" s="66"/>
      <c r="H336" s="65"/>
      <c r="I336" s="65"/>
      <c r="J336" s="65"/>
      <c r="K336" s="65"/>
      <c r="L336" s="52"/>
      <c r="M336" s="52"/>
      <c r="P336" s="86"/>
      <c r="S336" s="47"/>
      <c r="T336" s="47"/>
    </row>
    <row r="337" spans="1:20" ht="16">
      <c r="A337" s="55"/>
      <c r="B337" s="55"/>
      <c r="C337" s="55"/>
      <c r="D337" s="56"/>
      <c r="E337" s="56"/>
      <c r="F337" s="64"/>
      <c r="G337" s="64"/>
      <c r="H337" s="63"/>
      <c r="I337" s="63"/>
      <c r="J337" s="63"/>
      <c r="K337" s="63"/>
      <c r="L337" s="55"/>
      <c r="M337" s="55"/>
      <c r="P337" s="86"/>
      <c r="S337" s="47"/>
      <c r="T337" s="47"/>
    </row>
    <row r="338" spans="1:20" ht="16">
      <c r="A338" s="52"/>
      <c r="B338" s="52"/>
      <c r="C338" s="52"/>
      <c r="D338" s="53"/>
      <c r="E338" s="53"/>
      <c r="F338" s="66"/>
      <c r="G338" s="66"/>
      <c r="H338" s="65"/>
      <c r="I338" s="65"/>
      <c r="J338" s="65"/>
      <c r="K338" s="65"/>
      <c r="L338" s="52"/>
      <c r="M338" s="52"/>
      <c r="P338" s="86"/>
      <c r="S338" s="47"/>
      <c r="T338" s="47"/>
    </row>
    <row r="339" spans="1:20" ht="16">
      <c r="A339" s="55"/>
      <c r="B339" s="55"/>
      <c r="C339" s="55"/>
      <c r="D339" s="56"/>
      <c r="E339" s="56"/>
      <c r="F339" s="64"/>
      <c r="G339" s="64"/>
      <c r="H339" s="63"/>
      <c r="I339" s="63"/>
      <c r="J339" s="63"/>
      <c r="K339" s="63"/>
      <c r="L339" s="55"/>
      <c r="M339" s="55"/>
      <c r="P339" s="86"/>
      <c r="S339" s="47"/>
      <c r="T339" s="47"/>
    </row>
    <row r="340" spans="1:20" ht="16">
      <c r="A340" s="52"/>
      <c r="B340" s="52"/>
      <c r="C340" s="52"/>
      <c r="D340" s="53"/>
      <c r="E340" s="53"/>
      <c r="F340" s="66"/>
      <c r="G340" s="66"/>
      <c r="H340" s="65"/>
      <c r="I340" s="65"/>
      <c r="J340" s="65"/>
      <c r="K340" s="65"/>
      <c r="L340" s="52"/>
      <c r="M340" s="52"/>
      <c r="P340" s="86"/>
      <c r="S340" s="47"/>
      <c r="T340" s="47"/>
    </row>
    <row r="341" spans="1:20" ht="16">
      <c r="A341" s="55"/>
      <c r="B341" s="55"/>
      <c r="C341" s="55"/>
      <c r="D341" s="56"/>
      <c r="E341" s="56"/>
      <c r="F341" s="64"/>
      <c r="G341" s="64"/>
      <c r="H341" s="63"/>
      <c r="I341" s="63"/>
      <c r="J341" s="63"/>
      <c r="K341" s="63"/>
      <c r="L341" s="55"/>
      <c r="M341" s="55"/>
      <c r="P341" s="86"/>
      <c r="S341" s="47"/>
      <c r="T341" s="47"/>
    </row>
    <row r="342" spans="1:20" ht="16">
      <c r="A342" s="52"/>
      <c r="B342" s="52"/>
      <c r="C342" s="52"/>
      <c r="D342" s="53"/>
      <c r="E342" s="53"/>
      <c r="F342" s="66"/>
      <c r="G342" s="66"/>
      <c r="H342" s="65"/>
      <c r="I342" s="65"/>
      <c r="J342" s="65"/>
      <c r="K342" s="65"/>
      <c r="L342" s="52"/>
      <c r="M342" s="52"/>
      <c r="P342" s="86"/>
      <c r="S342" s="47"/>
      <c r="T342" s="47"/>
    </row>
    <row r="343" spans="1:20" ht="16">
      <c r="A343" s="55"/>
      <c r="B343" s="55"/>
      <c r="C343" s="55"/>
      <c r="D343" s="56"/>
      <c r="E343" s="56"/>
      <c r="F343" s="64"/>
      <c r="G343" s="64"/>
      <c r="H343" s="63"/>
      <c r="I343" s="63"/>
      <c r="J343" s="63"/>
      <c r="K343" s="63"/>
      <c r="L343" s="55"/>
      <c r="M343" s="55"/>
      <c r="P343" s="86"/>
      <c r="S343" s="47"/>
      <c r="T343" s="47"/>
    </row>
    <row r="344" spans="1:20" ht="16">
      <c r="A344" s="52"/>
      <c r="B344" s="52"/>
      <c r="C344" s="52"/>
      <c r="D344" s="53"/>
      <c r="E344" s="53"/>
      <c r="F344" s="66"/>
      <c r="G344" s="66"/>
      <c r="H344" s="65"/>
      <c r="I344" s="65"/>
      <c r="J344" s="65"/>
      <c r="K344" s="65"/>
      <c r="L344" s="52"/>
      <c r="M344" s="52"/>
      <c r="P344" s="86"/>
      <c r="S344" s="47"/>
      <c r="T344" s="47"/>
    </row>
    <row r="345" spans="1:20" ht="16">
      <c r="A345" s="55"/>
      <c r="B345" s="55"/>
      <c r="C345" s="55"/>
      <c r="D345" s="56"/>
      <c r="E345" s="56"/>
      <c r="F345" s="64"/>
      <c r="G345" s="64"/>
      <c r="H345" s="63"/>
      <c r="I345" s="63"/>
      <c r="J345" s="63"/>
      <c r="K345" s="63"/>
      <c r="L345" s="55"/>
      <c r="M345" s="55"/>
      <c r="P345" s="86"/>
      <c r="S345" s="47"/>
      <c r="T345" s="47"/>
    </row>
    <row r="346" spans="1:20" ht="16">
      <c r="A346" s="52"/>
      <c r="B346" s="52"/>
      <c r="C346" s="52"/>
      <c r="D346" s="53"/>
      <c r="E346" s="53"/>
      <c r="F346" s="66"/>
      <c r="G346" s="66"/>
      <c r="H346" s="65"/>
      <c r="I346" s="65"/>
      <c r="J346" s="65"/>
      <c r="K346" s="65"/>
      <c r="L346" s="52"/>
      <c r="M346" s="52"/>
      <c r="P346" s="86"/>
      <c r="S346" s="47"/>
      <c r="T346" s="47"/>
    </row>
    <row r="347" spans="1:20" ht="16">
      <c r="A347" s="55"/>
      <c r="B347" s="55"/>
      <c r="C347" s="55"/>
      <c r="D347" s="56"/>
      <c r="E347" s="56"/>
      <c r="F347" s="64"/>
      <c r="G347" s="64"/>
      <c r="H347" s="63"/>
      <c r="I347" s="63"/>
      <c r="J347" s="63"/>
      <c r="K347" s="63"/>
      <c r="L347" s="55"/>
      <c r="M347" s="55"/>
      <c r="P347" s="86"/>
      <c r="S347" s="47"/>
      <c r="T347" s="47"/>
    </row>
    <row r="348" spans="1:20" ht="16">
      <c r="A348" s="52"/>
      <c r="B348" s="52"/>
      <c r="C348" s="52"/>
      <c r="D348" s="53"/>
      <c r="E348" s="53"/>
      <c r="F348" s="66"/>
      <c r="G348" s="66"/>
      <c r="H348" s="65"/>
      <c r="I348" s="65"/>
      <c r="J348" s="65"/>
      <c r="K348" s="65"/>
      <c r="L348" s="52"/>
      <c r="M348" s="52"/>
      <c r="P348" s="86"/>
      <c r="S348" s="47"/>
      <c r="T348" s="47"/>
    </row>
    <row r="349" spans="1:20" ht="16">
      <c r="A349" s="55"/>
      <c r="B349" s="55"/>
      <c r="C349" s="55"/>
      <c r="D349" s="56"/>
      <c r="E349" s="56"/>
      <c r="F349" s="64"/>
      <c r="G349" s="64"/>
      <c r="H349" s="63"/>
      <c r="I349" s="63"/>
      <c r="J349" s="63"/>
      <c r="K349" s="63"/>
      <c r="L349" s="55"/>
      <c r="M349" s="55"/>
      <c r="P349" s="86"/>
      <c r="S349" s="47"/>
      <c r="T349" s="47"/>
    </row>
    <row r="350" spans="1:20" ht="16">
      <c r="A350" s="52"/>
      <c r="B350" s="52"/>
      <c r="C350" s="52"/>
      <c r="D350" s="53"/>
      <c r="E350" s="53"/>
      <c r="F350" s="66"/>
      <c r="G350" s="66"/>
      <c r="H350" s="65"/>
      <c r="I350" s="65"/>
      <c r="J350" s="65"/>
      <c r="K350" s="65"/>
      <c r="L350" s="52"/>
      <c r="M350" s="52"/>
      <c r="P350" s="86"/>
      <c r="S350" s="47"/>
      <c r="T350" s="47"/>
    </row>
    <row r="351" spans="1:20" ht="16">
      <c r="A351" s="55"/>
      <c r="B351" s="55"/>
      <c r="C351" s="55"/>
      <c r="D351" s="56"/>
      <c r="E351" s="56"/>
      <c r="F351" s="64"/>
      <c r="G351" s="64"/>
      <c r="H351" s="63"/>
      <c r="I351" s="63"/>
      <c r="J351" s="63"/>
      <c r="K351" s="63"/>
      <c r="L351" s="55"/>
      <c r="M351" s="55"/>
      <c r="P351" s="86"/>
      <c r="S351" s="47"/>
      <c r="T351" s="47"/>
    </row>
    <row r="352" spans="1:20" ht="16">
      <c r="A352" s="52"/>
      <c r="B352" s="52"/>
      <c r="C352" s="52"/>
      <c r="D352" s="53"/>
      <c r="E352" s="53"/>
      <c r="F352" s="66"/>
      <c r="G352" s="66"/>
      <c r="H352" s="65"/>
      <c r="I352" s="65"/>
      <c r="J352" s="65"/>
      <c r="K352" s="65"/>
      <c r="L352" s="52"/>
      <c r="M352" s="52"/>
      <c r="P352" s="86"/>
      <c r="S352" s="47"/>
      <c r="T352" s="47"/>
    </row>
    <row r="353" spans="1:20" ht="16">
      <c r="A353" s="55"/>
      <c r="B353" s="55"/>
      <c r="C353" s="55"/>
      <c r="D353" s="56"/>
      <c r="E353" s="56"/>
      <c r="F353" s="64"/>
      <c r="G353" s="64"/>
      <c r="H353" s="63"/>
      <c r="I353" s="63"/>
      <c r="J353" s="63"/>
      <c r="K353" s="63"/>
      <c r="L353" s="55"/>
      <c r="M353" s="55"/>
      <c r="P353" s="86"/>
      <c r="S353" s="47"/>
      <c r="T353" s="47"/>
    </row>
    <row r="354" spans="1:20" ht="16">
      <c r="A354" s="52"/>
      <c r="B354" s="52"/>
      <c r="C354" s="52"/>
      <c r="D354" s="53"/>
      <c r="E354" s="53"/>
      <c r="F354" s="66"/>
      <c r="G354" s="66"/>
      <c r="H354" s="65"/>
      <c r="I354" s="65"/>
      <c r="J354" s="65"/>
      <c r="K354" s="65"/>
      <c r="L354" s="52"/>
      <c r="M354" s="52"/>
      <c r="P354" s="86"/>
      <c r="S354" s="47"/>
      <c r="T354" s="47"/>
    </row>
    <row r="355" spans="1:20" ht="16">
      <c r="A355" s="55"/>
      <c r="B355" s="55"/>
      <c r="C355" s="55"/>
      <c r="D355" s="56"/>
      <c r="E355" s="56"/>
      <c r="F355" s="64"/>
      <c r="G355" s="64"/>
      <c r="H355" s="63"/>
      <c r="I355" s="63"/>
      <c r="J355" s="63"/>
      <c r="K355" s="63"/>
      <c r="L355" s="55"/>
      <c r="M355" s="55"/>
      <c r="P355" s="86"/>
      <c r="S355" s="47"/>
      <c r="T355" s="47"/>
    </row>
    <row r="356" spans="1:20" ht="16">
      <c r="A356" s="52"/>
      <c r="B356" s="52"/>
      <c r="C356" s="52"/>
      <c r="D356" s="53"/>
      <c r="E356" s="53"/>
      <c r="F356" s="66"/>
      <c r="G356" s="66"/>
      <c r="H356" s="65"/>
      <c r="I356" s="65"/>
      <c r="J356" s="65"/>
      <c r="K356" s="65"/>
      <c r="L356" s="52"/>
      <c r="M356" s="52"/>
      <c r="P356" s="86"/>
      <c r="S356" s="47"/>
      <c r="T356" s="47"/>
    </row>
    <row r="357" spans="1:20" ht="16">
      <c r="A357" s="55"/>
      <c r="B357" s="55"/>
      <c r="C357" s="55"/>
      <c r="D357" s="56"/>
      <c r="E357" s="56"/>
      <c r="F357" s="64"/>
      <c r="G357" s="64"/>
      <c r="H357" s="63"/>
      <c r="I357" s="63"/>
      <c r="J357" s="63"/>
      <c r="K357" s="63"/>
      <c r="L357" s="55"/>
      <c r="M357" s="55"/>
      <c r="P357" s="86"/>
      <c r="S357" s="47"/>
      <c r="T357" s="47"/>
    </row>
    <row r="358" spans="1:20" ht="16">
      <c r="A358" s="52"/>
      <c r="B358" s="52"/>
      <c r="C358" s="52"/>
      <c r="D358" s="53"/>
      <c r="E358" s="53"/>
      <c r="F358" s="66"/>
      <c r="G358" s="66"/>
      <c r="H358" s="65"/>
      <c r="I358" s="65"/>
      <c r="J358" s="65"/>
      <c r="K358" s="65"/>
      <c r="L358" s="52"/>
      <c r="M358" s="52"/>
      <c r="P358" s="86"/>
      <c r="S358" s="47"/>
      <c r="T358" s="47"/>
    </row>
    <row r="359" spans="1:20" ht="16">
      <c r="A359" s="55"/>
      <c r="B359" s="55"/>
      <c r="C359" s="55"/>
      <c r="D359" s="56"/>
      <c r="E359" s="56"/>
      <c r="F359" s="64"/>
      <c r="G359" s="64"/>
      <c r="H359" s="63"/>
      <c r="I359" s="63"/>
      <c r="J359" s="63"/>
      <c r="K359" s="63"/>
      <c r="L359" s="55"/>
      <c r="M359" s="55"/>
      <c r="P359" s="86"/>
      <c r="S359" s="47"/>
      <c r="T359" s="47"/>
    </row>
    <row r="360" spans="1:20" ht="16">
      <c r="A360" s="52"/>
      <c r="B360" s="52"/>
      <c r="C360" s="52"/>
      <c r="D360" s="53"/>
      <c r="E360" s="53"/>
      <c r="F360" s="66"/>
      <c r="G360" s="66"/>
      <c r="H360" s="65"/>
      <c r="I360" s="65"/>
      <c r="J360" s="65"/>
      <c r="K360" s="65"/>
      <c r="L360" s="52"/>
      <c r="M360" s="52"/>
      <c r="P360" s="86"/>
      <c r="S360" s="47"/>
      <c r="T360" s="47"/>
    </row>
    <row r="361" spans="1:20" ht="16">
      <c r="A361" s="55"/>
      <c r="B361" s="55"/>
      <c r="C361" s="55"/>
      <c r="D361" s="56"/>
      <c r="E361" s="56"/>
      <c r="F361" s="64"/>
      <c r="G361" s="64"/>
      <c r="H361" s="63"/>
      <c r="I361" s="63"/>
      <c r="J361" s="63"/>
      <c r="K361" s="63"/>
      <c r="L361" s="55"/>
      <c r="M361" s="55"/>
      <c r="P361" s="86"/>
      <c r="S361" s="47"/>
      <c r="T361" s="47"/>
    </row>
    <row r="362" spans="1:20" ht="16">
      <c r="A362" s="52"/>
      <c r="B362" s="52"/>
      <c r="C362" s="52"/>
      <c r="D362" s="53"/>
      <c r="E362" s="53"/>
      <c r="F362" s="66"/>
      <c r="G362" s="66"/>
      <c r="H362" s="65"/>
      <c r="I362" s="65"/>
      <c r="J362" s="65"/>
      <c r="K362" s="65"/>
      <c r="L362" s="52"/>
      <c r="M362" s="52"/>
      <c r="P362" s="86"/>
      <c r="S362" s="47"/>
      <c r="T362" s="47"/>
    </row>
    <row r="363" spans="1:20" ht="16">
      <c r="A363" s="55"/>
      <c r="B363" s="55"/>
      <c r="C363" s="55"/>
      <c r="D363" s="56"/>
      <c r="E363" s="56"/>
      <c r="F363" s="64"/>
      <c r="G363" s="64"/>
      <c r="H363" s="63"/>
      <c r="I363" s="63"/>
      <c r="J363" s="63"/>
      <c r="K363" s="63"/>
      <c r="L363" s="55"/>
      <c r="M363" s="55"/>
      <c r="P363" s="86"/>
      <c r="S363" s="47"/>
      <c r="T363" s="47"/>
    </row>
    <row r="364" spans="1:20" ht="16">
      <c r="A364" s="52"/>
      <c r="B364" s="52"/>
      <c r="C364" s="52"/>
      <c r="D364" s="53"/>
      <c r="E364" s="53"/>
      <c r="F364" s="66"/>
      <c r="G364" s="66"/>
      <c r="H364" s="65"/>
      <c r="I364" s="65"/>
      <c r="J364" s="65"/>
      <c r="K364" s="65"/>
      <c r="L364" s="52"/>
      <c r="M364" s="52"/>
      <c r="P364" s="86"/>
      <c r="S364" s="47"/>
      <c r="T364" s="47"/>
    </row>
    <row r="365" spans="1:20" ht="16">
      <c r="A365" s="55"/>
      <c r="B365" s="55"/>
      <c r="C365" s="55"/>
      <c r="D365" s="56"/>
      <c r="E365" s="56"/>
      <c r="F365" s="64"/>
      <c r="G365" s="64"/>
      <c r="H365" s="63"/>
      <c r="I365" s="63"/>
      <c r="J365" s="63"/>
      <c r="K365" s="63"/>
      <c r="L365" s="55"/>
      <c r="M365" s="55"/>
      <c r="P365" s="86"/>
      <c r="S365" s="47"/>
      <c r="T365" s="47"/>
    </row>
    <row r="366" spans="1:20" ht="16">
      <c r="A366" s="52"/>
      <c r="B366" s="52"/>
      <c r="C366" s="52"/>
      <c r="D366" s="53"/>
      <c r="E366" s="53"/>
      <c r="F366" s="66"/>
      <c r="G366" s="66"/>
      <c r="H366" s="65"/>
      <c r="I366" s="65"/>
      <c r="J366" s="65"/>
      <c r="K366" s="65"/>
      <c r="L366" s="52"/>
      <c r="M366" s="52"/>
      <c r="P366" s="86"/>
      <c r="S366" s="47"/>
      <c r="T366" s="47"/>
    </row>
    <row r="367" spans="1:20" ht="16">
      <c r="A367" s="55"/>
      <c r="B367" s="55"/>
      <c r="C367" s="55"/>
      <c r="D367" s="56"/>
      <c r="E367" s="56"/>
      <c r="F367" s="64"/>
      <c r="G367" s="64"/>
      <c r="H367" s="63"/>
      <c r="I367" s="63"/>
      <c r="J367" s="63"/>
      <c r="K367" s="63"/>
      <c r="L367" s="55"/>
      <c r="M367" s="55"/>
      <c r="P367" s="86"/>
      <c r="S367" s="47"/>
      <c r="T367" s="47"/>
    </row>
    <row r="368" spans="1:20" ht="16">
      <c r="A368" s="52"/>
      <c r="B368" s="52"/>
      <c r="C368" s="52"/>
      <c r="D368" s="53"/>
      <c r="E368" s="53"/>
      <c r="F368" s="66"/>
      <c r="G368" s="66"/>
      <c r="H368" s="65"/>
      <c r="I368" s="65"/>
      <c r="J368" s="65"/>
      <c r="K368" s="65"/>
      <c r="L368" s="52"/>
      <c r="M368" s="52"/>
      <c r="P368" s="86"/>
      <c r="S368" s="47"/>
      <c r="T368" s="47"/>
    </row>
    <row r="369" spans="1:20" ht="16">
      <c r="A369" s="55"/>
      <c r="B369" s="55"/>
      <c r="C369" s="55"/>
      <c r="D369" s="56"/>
      <c r="E369" s="56"/>
      <c r="F369" s="64"/>
      <c r="G369" s="64"/>
      <c r="H369" s="63"/>
      <c r="I369" s="63"/>
      <c r="J369" s="63"/>
      <c r="K369" s="63"/>
      <c r="L369" s="55"/>
      <c r="M369" s="55"/>
      <c r="P369" s="86"/>
      <c r="S369" s="47"/>
      <c r="T369" s="47"/>
    </row>
    <row r="370" spans="1:20" ht="16">
      <c r="A370" s="52"/>
      <c r="B370" s="52"/>
      <c r="C370" s="52"/>
      <c r="D370" s="53"/>
      <c r="E370" s="53"/>
      <c r="F370" s="66"/>
      <c r="G370" s="66"/>
      <c r="H370" s="65"/>
      <c r="I370" s="65"/>
      <c r="J370" s="65"/>
      <c r="K370" s="65"/>
      <c r="L370" s="52"/>
      <c r="M370" s="52"/>
      <c r="P370" s="86"/>
      <c r="S370" s="47"/>
      <c r="T370" s="47"/>
    </row>
    <row r="371" spans="1:20" ht="16">
      <c r="A371" s="55"/>
      <c r="B371" s="55"/>
      <c r="C371" s="55"/>
      <c r="D371" s="56"/>
      <c r="E371" s="56"/>
      <c r="F371" s="64"/>
      <c r="G371" s="64"/>
      <c r="H371" s="63"/>
      <c r="I371" s="63"/>
      <c r="J371" s="63"/>
      <c r="K371" s="63"/>
      <c r="L371" s="55"/>
      <c r="M371" s="55"/>
      <c r="P371" s="86"/>
      <c r="S371" s="47"/>
      <c r="T371" s="47"/>
    </row>
    <row r="372" spans="1:20" ht="16">
      <c r="A372" s="52"/>
      <c r="B372" s="52"/>
      <c r="C372" s="52"/>
      <c r="D372" s="53"/>
      <c r="E372" s="53"/>
      <c r="F372" s="66"/>
      <c r="G372" s="66"/>
      <c r="H372" s="65"/>
      <c r="I372" s="65"/>
      <c r="J372" s="65"/>
      <c r="K372" s="65"/>
      <c r="L372" s="52"/>
      <c r="M372" s="52"/>
      <c r="P372" s="86"/>
      <c r="S372" s="47"/>
      <c r="T372" s="47"/>
    </row>
    <row r="373" spans="1:20" ht="16">
      <c r="A373" s="55"/>
      <c r="B373" s="55"/>
      <c r="C373" s="55"/>
      <c r="D373" s="56"/>
      <c r="E373" s="56"/>
      <c r="F373" s="64"/>
      <c r="G373" s="64"/>
      <c r="H373" s="63"/>
      <c r="I373" s="63"/>
      <c r="J373" s="63"/>
      <c r="K373" s="63"/>
      <c r="L373" s="55"/>
      <c r="M373" s="55"/>
      <c r="P373" s="86"/>
      <c r="S373" s="47"/>
      <c r="T373" s="47"/>
    </row>
    <row r="374" spans="1:20" ht="16">
      <c r="A374" s="52"/>
      <c r="B374" s="52"/>
      <c r="C374" s="52"/>
      <c r="D374" s="53"/>
      <c r="E374" s="53"/>
      <c r="F374" s="66"/>
      <c r="G374" s="66"/>
      <c r="H374" s="65"/>
      <c r="I374" s="65"/>
      <c r="J374" s="65"/>
      <c r="K374" s="65"/>
      <c r="L374" s="52"/>
      <c r="M374" s="52"/>
      <c r="P374" s="86"/>
      <c r="S374" s="47"/>
      <c r="T374" s="47"/>
    </row>
    <row r="375" spans="1:20" ht="16">
      <c r="A375" s="55"/>
      <c r="B375" s="55"/>
      <c r="C375" s="55"/>
      <c r="D375" s="56"/>
      <c r="E375" s="56"/>
      <c r="F375" s="64"/>
      <c r="G375" s="64"/>
      <c r="H375" s="63"/>
      <c r="I375" s="63"/>
      <c r="J375" s="63"/>
      <c r="K375" s="63"/>
      <c r="L375" s="55"/>
      <c r="M375" s="55"/>
      <c r="P375" s="86"/>
      <c r="S375" s="47"/>
      <c r="T375" s="47"/>
    </row>
    <row r="376" spans="1:20" ht="16">
      <c r="A376" s="52"/>
      <c r="B376" s="52"/>
      <c r="C376" s="52"/>
      <c r="D376" s="53"/>
      <c r="E376" s="53"/>
      <c r="F376" s="66"/>
      <c r="G376" s="66"/>
      <c r="H376" s="65"/>
      <c r="I376" s="65"/>
      <c r="J376" s="65"/>
      <c r="K376" s="65"/>
      <c r="L376" s="52"/>
      <c r="M376" s="52"/>
      <c r="P376" s="86"/>
      <c r="S376" s="47"/>
      <c r="T376" s="47"/>
    </row>
    <row r="377" spans="1:20" ht="16">
      <c r="A377" s="55"/>
      <c r="B377" s="55"/>
      <c r="C377" s="55"/>
      <c r="D377" s="56"/>
      <c r="E377" s="56"/>
      <c r="F377" s="64"/>
      <c r="G377" s="64"/>
      <c r="H377" s="63"/>
      <c r="I377" s="63"/>
      <c r="J377" s="63"/>
      <c r="K377" s="63"/>
      <c r="L377" s="55"/>
      <c r="M377" s="55"/>
      <c r="P377" s="86"/>
      <c r="S377" s="47"/>
      <c r="T377" s="47"/>
    </row>
    <row r="378" spans="1:20" ht="16">
      <c r="A378" s="52"/>
      <c r="B378" s="52"/>
      <c r="C378" s="52"/>
      <c r="D378" s="53"/>
      <c r="E378" s="53"/>
      <c r="F378" s="66"/>
      <c r="G378" s="66"/>
      <c r="H378" s="65"/>
      <c r="I378" s="65"/>
      <c r="J378" s="65"/>
      <c r="K378" s="65"/>
      <c r="L378" s="52"/>
      <c r="M378" s="52"/>
      <c r="P378" s="86"/>
      <c r="S378" s="47"/>
      <c r="T378" s="47"/>
    </row>
    <row r="379" spans="1:20" ht="16">
      <c r="A379" s="55"/>
      <c r="B379" s="55"/>
      <c r="C379" s="55"/>
      <c r="D379" s="56"/>
      <c r="E379" s="56"/>
      <c r="F379" s="64"/>
      <c r="G379" s="64"/>
      <c r="H379" s="63"/>
      <c r="I379" s="63"/>
      <c r="J379" s="63"/>
      <c r="K379" s="63"/>
      <c r="L379" s="55"/>
      <c r="M379" s="55"/>
      <c r="P379" s="86"/>
      <c r="S379" s="47"/>
      <c r="T379" s="47"/>
    </row>
    <row r="380" spans="1:20" ht="16">
      <c r="A380" s="52"/>
      <c r="B380" s="52"/>
      <c r="C380" s="52"/>
      <c r="D380" s="53"/>
      <c r="E380" s="53"/>
      <c r="F380" s="66"/>
      <c r="G380" s="66"/>
      <c r="H380" s="65"/>
      <c r="I380" s="65"/>
      <c r="J380" s="65"/>
      <c r="K380" s="65"/>
      <c r="L380" s="52"/>
      <c r="M380" s="52"/>
      <c r="P380" s="86"/>
      <c r="S380" s="47"/>
      <c r="T380" s="47"/>
    </row>
    <row r="381" spans="1:20" ht="16">
      <c r="A381" s="55"/>
      <c r="B381" s="55"/>
      <c r="C381" s="55"/>
      <c r="D381" s="56"/>
      <c r="E381" s="56"/>
      <c r="F381" s="64"/>
      <c r="G381" s="64"/>
      <c r="H381" s="63"/>
      <c r="I381" s="63"/>
      <c r="J381" s="63"/>
      <c r="K381" s="63"/>
      <c r="L381" s="55"/>
      <c r="M381" s="55"/>
      <c r="P381" s="86"/>
      <c r="S381" s="47"/>
      <c r="T381" s="47"/>
    </row>
    <row r="382" spans="1:20" ht="16">
      <c r="A382" s="52"/>
      <c r="B382" s="52"/>
      <c r="C382" s="52"/>
      <c r="D382" s="53"/>
      <c r="E382" s="53"/>
      <c r="F382" s="66"/>
      <c r="G382" s="66"/>
      <c r="H382" s="65"/>
      <c r="I382" s="65"/>
      <c r="J382" s="65"/>
      <c r="K382" s="65"/>
      <c r="L382" s="52"/>
      <c r="M382" s="52"/>
      <c r="P382" s="86"/>
      <c r="S382" s="47"/>
      <c r="T382" s="47"/>
    </row>
    <row r="383" spans="1:20" ht="16">
      <c r="A383" s="55"/>
      <c r="B383" s="55"/>
      <c r="C383" s="55"/>
      <c r="D383" s="56"/>
      <c r="E383" s="56"/>
      <c r="F383" s="64"/>
      <c r="G383" s="64"/>
      <c r="H383" s="63"/>
      <c r="I383" s="63"/>
      <c r="J383" s="63"/>
      <c r="K383" s="63"/>
      <c r="L383" s="55"/>
      <c r="M383" s="55"/>
      <c r="P383" s="86"/>
      <c r="S383" s="47"/>
      <c r="T383" s="47"/>
    </row>
    <row r="384" spans="1:20" ht="16">
      <c r="A384" s="52"/>
      <c r="B384" s="52"/>
      <c r="C384" s="52"/>
      <c r="D384" s="53"/>
      <c r="E384" s="53"/>
      <c r="F384" s="66"/>
      <c r="G384" s="66"/>
      <c r="H384" s="65"/>
      <c r="I384" s="65"/>
      <c r="J384" s="65"/>
      <c r="K384" s="65"/>
      <c r="L384" s="52"/>
      <c r="M384" s="52"/>
      <c r="P384" s="86"/>
      <c r="S384" s="47"/>
      <c r="T384" s="47"/>
    </row>
    <row r="385" spans="1:20" ht="16">
      <c r="A385" s="55"/>
      <c r="B385" s="55"/>
      <c r="C385" s="55"/>
      <c r="D385" s="56"/>
      <c r="E385" s="56"/>
      <c r="F385" s="64"/>
      <c r="G385" s="64"/>
      <c r="H385" s="63"/>
      <c r="I385" s="63"/>
      <c r="J385" s="63"/>
      <c r="K385" s="63"/>
      <c r="L385" s="55"/>
      <c r="M385" s="55"/>
      <c r="P385" s="86"/>
      <c r="S385" s="47"/>
      <c r="T385" s="47"/>
    </row>
    <row r="386" spans="1:20" ht="16">
      <c r="A386" s="52"/>
      <c r="B386" s="52"/>
      <c r="C386" s="52"/>
      <c r="D386" s="53"/>
      <c r="E386" s="53"/>
      <c r="F386" s="66"/>
      <c r="G386" s="66"/>
      <c r="H386" s="65"/>
      <c r="I386" s="65"/>
      <c r="J386" s="65"/>
      <c r="K386" s="65"/>
      <c r="L386" s="52"/>
      <c r="M386" s="52"/>
      <c r="P386" s="86"/>
      <c r="S386" s="47"/>
      <c r="T386" s="47"/>
    </row>
    <row r="387" spans="1:20" ht="16">
      <c r="A387" s="55"/>
      <c r="B387" s="55"/>
      <c r="C387" s="55"/>
      <c r="D387" s="56"/>
      <c r="E387" s="56"/>
      <c r="F387" s="64"/>
      <c r="G387" s="64"/>
      <c r="H387" s="63"/>
      <c r="I387" s="63"/>
      <c r="J387" s="63"/>
      <c r="K387" s="63"/>
      <c r="L387" s="55"/>
      <c r="M387" s="55"/>
      <c r="P387" s="86"/>
      <c r="S387" s="47"/>
      <c r="T387" s="47"/>
    </row>
    <row r="388" spans="1:20" ht="16">
      <c r="A388" s="52"/>
      <c r="B388" s="52"/>
      <c r="C388" s="52"/>
      <c r="D388" s="53"/>
      <c r="E388" s="53"/>
      <c r="F388" s="66"/>
      <c r="G388" s="66"/>
      <c r="H388" s="65"/>
      <c r="I388" s="65"/>
      <c r="J388" s="65"/>
      <c r="K388" s="65"/>
      <c r="L388" s="52"/>
      <c r="M388" s="52"/>
      <c r="P388" s="86"/>
      <c r="S388" s="47"/>
      <c r="T388" s="47"/>
    </row>
    <row r="389" spans="1:20" ht="16">
      <c r="A389" s="55"/>
      <c r="B389" s="55"/>
      <c r="C389" s="55"/>
      <c r="D389" s="56"/>
      <c r="E389" s="56"/>
      <c r="F389" s="64"/>
      <c r="G389" s="64"/>
      <c r="H389" s="63"/>
      <c r="I389" s="63"/>
      <c r="J389" s="63"/>
      <c r="K389" s="63"/>
      <c r="L389" s="55"/>
      <c r="M389" s="55"/>
      <c r="P389" s="86"/>
      <c r="S389" s="47"/>
      <c r="T389" s="47"/>
    </row>
    <row r="390" spans="1:20" ht="16">
      <c r="A390" s="52"/>
      <c r="B390" s="52"/>
      <c r="C390" s="52"/>
      <c r="D390" s="53"/>
      <c r="E390" s="53"/>
      <c r="F390" s="66"/>
      <c r="G390" s="66"/>
      <c r="H390" s="65"/>
      <c r="I390" s="65"/>
      <c r="J390" s="65"/>
      <c r="K390" s="65"/>
      <c r="L390" s="52"/>
      <c r="M390" s="52"/>
      <c r="P390" s="86"/>
      <c r="S390" s="47"/>
      <c r="T390" s="47"/>
    </row>
    <row r="391" spans="1:20" ht="16">
      <c r="A391" s="55"/>
      <c r="B391" s="55"/>
      <c r="C391" s="55"/>
      <c r="D391" s="56"/>
      <c r="E391" s="56"/>
      <c r="F391" s="64"/>
      <c r="G391" s="64"/>
      <c r="H391" s="63"/>
      <c r="I391" s="63"/>
      <c r="J391" s="63"/>
      <c r="K391" s="63"/>
      <c r="L391" s="55"/>
      <c r="M391" s="55"/>
      <c r="P391" s="86"/>
      <c r="S391" s="47"/>
      <c r="T391" s="47"/>
    </row>
    <row r="392" spans="1:20" ht="16">
      <c r="A392" s="52"/>
      <c r="B392" s="52"/>
      <c r="C392" s="52"/>
      <c r="D392" s="53"/>
      <c r="E392" s="53"/>
      <c r="F392" s="66"/>
      <c r="G392" s="66"/>
      <c r="H392" s="65"/>
      <c r="I392" s="65"/>
      <c r="J392" s="65"/>
      <c r="K392" s="65"/>
      <c r="L392" s="52"/>
      <c r="M392" s="52"/>
      <c r="P392" s="86"/>
      <c r="S392" s="47"/>
      <c r="T392" s="47"/>
    </row>
    <row r="393" spans="1:20" ht="16">
      <c r="A393" s="55"/>
      <c r="B393" s="55"/>
      <c r="C393" s="55"/>
      <c r="D393" s="56"/>
      <c r="E393" s="56"/>
      <c r="F393" s="64"/>
      <c r="G393" s="64"/>
      <c r="H393" s="63"/>
      <c r="I393" s="63"/>
      <c r="J393" s="63"/>
      <c r="K393" s="63"/>
      <c r="L393" s="55"/>
      <c r="M393" s="55"/>
      <c r="P393" s="86"/>
      <c r="S393" s="47"/>
      <c r="T393" s="47"/>
    </row>
    <row r="394" spans="1:20" ht="16">
      <c r="A394" s="52"/>
      <c r="B394" s="52"/>
      <c r="C394" s="52"/>
      <c r="D394" s="53"/>
      <c r="E394" s="53"/>
      <c r="F394" s="66"/>
      <c r="G394" s="66"/>
      <c r="H394" s="65"/>
      <c r="I394" s="65"/>
      <c r="J394" s="65"/>
      <c r="K394" s="65"/>
      <c r="L394" s="52"/>
      <c r="M394" s="52"/>
      <c r="P394" s="86"/>
      <c r="S394" s="47"/>
      <c r="T394" s="47"/>
    </row>
    <row r="395" spans="1:20" ht="16">
      <c r="A395" s="55"/>
      <c r="B395" s="55"/>
      <c r="C395" s="55"/>
      <c r="D395" s="56"/>
      <c r="E395" s="56"/>
      <c r="F395" s="64"/>
      <c r="G395" s="64"/>
      <c r="H395" s="63"/>
      <c r="I395" s="63"/>
      <c r="J395" s="63"/>
      <c r="K395" s="63"/>
      <c r="L395" s="55"/>
      <c r="M395" s="55"/>
      <c r="P395" s="86"/>
      <c r="S395" s="47"/>
      <c r="T395" s="47"/>
    </row>
    <row r="396" spans="1:20" ht="16">
      <c r="A396" s="52"/>
      <c r="B396" s="52"/>
      <c r="C396" s="52"/>
      <c r="D396" s="53"/>
      <c r="E396" s="53"/>
      <c r="F396" s="66"/>
      <c r="G396" s="66"/>
      <c r="H396" s="65"/>
      <c r="I396" s="65"/>
      <c r="J396" s="65"/>
      <c r="K396" s="65"/>
      <c r="L396" s="52"/>
      <c r="M396" s="52"/>
      <c r="P396" s="86"/>
      <c r="S396" s="47"/>
      <c r="T396" s="47"/>
    </row>
    <row r="397" spans="1:20" ht="16">
      <c r="A397" s="55"/>
      <c r="B397" s="55"/>
      <c r="C397" s="55"/>
      <c r="D397" s="56"/>
      <c r="E397" s="56"/>
      <c r="F397" s="64"/>
      <c r="G397" s="64"/>
      <c r="H397" s="63"/>
      <c r="I397" s="63"/>
      <c r="J397" s="63"/>
      <c r="K397" s="63"/>
      <c r="L397" s="55"/>
      <c r="M397" s="55"/>
      <c r="P397" s="86"/>
      <c r="S397" s="47"/>
      <c r="T397" s="47"/>
    </row>
    <row r="398" spans="1:20" ht="16">
      <c r="A398" s="52"/>
      <c r="B398" s="52"/>
      <c r="C398" s="52"/>
      <c r="D398" s="53"/>
      <c r="E398" s="53"/>
      <c r="F398" s="66"/>
      <c r="G398" s="66"/>
      <c r="H398" s="65"/>
      <c r="I398" s="65"/>
      <c r="J398" s="65"/>
      <c r="K398" s="65"/>
      <c r="L398" s="52"/>
      <c r="M398" s="52"/>
      <c r="P398" s="86"/>
      <c r="S398" s="47"/>
      <c r="T398" s="47"/>
    </row>
    <row r="399" spans="1:20" ht="16">
      <c r="A399" s="55"/>
      <c r="B399" s="55"/>
      <c r="C399" s="55"/>
      <c r="D399" s="56"/>
      <c r="E399" s="56"/>
      <c r="F399" s="64"/>
      <c r="G399" s="64"/>
      <c r="H399" s="63"/>
      <c r="I399" s="63"/>
      <c r="J399" s="63"/>
      <c r="K399" s="63"/>
      <c r="L399" s="55"/>
      <c r="M399" s="55"/>
      <c r="P399" s="86"/>
      <c r="S399" s="47"/>
      <c r="T399" s="47"/>
    </row>
    <row r="400" spans="1:20" ht="16">
      <c r="A400" s="52"/>
      <c r="B400" s="52"/>
      <c r="C400" s="52"/>
      <c r="D400" s="53"/>
      <c r="E400" s="53"/>
      <c r="F400" s="66"/>
      <c r="G400" s="66"/>
      <c r="H400" s="65"/>
      <c r="I400" s="65"/>
      <c r="J400" s="65"/>
      <c r="K400" s="65"/>
      <c r="L400" s="52"/>
      <c r="M400" s="52"/>
      <c r="P400" s="86"/>
      <c r="S400" s="47"/>
      <c r="T400" s="47"/>
    </row>
    <row r="401" spans="1:20" ht="16">
      <c r="A401" s="55"/>
      <c r="B401" s="55"/>
      <c r="C401" s="55"/>
      <c r="D401" s="56"/>
      <c r="E401" s="56"/>
      <c r="F401" s="64"/>
      <c r="G401" s="64"/>
      <c r="H401" s="63"/>
      <c r="I401" s="63"/>
      <c r="J401" s="63"/>
      <c r="K401" s="63"/>
      <c r="L401" s="55"/>
      <c r="M401" s="55"/>
      <c r="P401" s="86"/>
      <c r="S401" s="47"/>
      <c r="T401" s="47"/>
    </row>
    <row r="402" spans="1:20" ht="16">
      <c r="A402" s="52"/>
      <c r="B402" s="52"/>
      <c r="C402" s="52"/>
      <c r="D402" s="53"/>
      <c r="E402" s="53"/>
      <c r="F402" s="66"/>
      <c r="G402" s="66"/>
      <c r="H402" s="65"/>
      <c r="I402" s="65"/>
      <c r="J402" s="65"/>
      <c r="K402" s="65"/>
      <c r="L402" s="52"/>
      <c r="M402" s="52"/>
      <c r="P402" s="86"/>
      <c r="S402" s="47"/>
      <c r="T402" s="47"/>
    </row>
    <row r="403" spans="1:20" ht="16">
      <c r="A403" s="55"/>
      <c r="B403" s="55"/>
      <c r="C403" s="55"/>
      <c r="D403" s="56"/>
      <c r="E403" s="56"/>
      <c r="F403" s="64"/>
      <c r="G403" s="64"/>
      <c r="H403" s="63"/>
      <c r="I403" s="63"/>
      <c r="J403" s="63"/>
      <c r="K403" s="63"/>
      <c r="L403" s="55"/>
      <c r="M403" s="55"/>
      <c r="P403" s="86"/>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row r="1188" spans="19:20">
      <c r="S1188" s="47"/>
      <c r="T1188" s="47"/>
    </row>
    <row r="1189" spans="19:20">
      <c r="S1189" s="47"/>
      <c r="T1189" s="47"/>
    </row>
  </sheetData>
  <autoFilter ref="A1:T188" xr:uid="{00000000-0009-0000-0000-000005000000}"/>
  <phoneticPr fontId="30" type="noConversion"/>
  <dataValidations count="1">
    <dataValidation type="list" allowBlank="1" showInputMessage="1" showErrorMessage="1" sqref="N2:N988"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88" t="s">
        <v>1049</v>
      </c>
      <c r="B1" s="88"/>
    </row>
    <row r="2" spans="1:8" ht="13.5" customHeight="1">
      <c r="A2" s="8" t="s">
        <v>42</v>
      </c>
      <c r="B2" s="8" t="s">
        <v>1050</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1051</v>
      </c>
      <c r="C7" s="71" t="s">
        <v>1052</v>
      </c>
      <c r="D7" s="71" t="s">
        <v>1053</v>
      </c>
      <c r="E7" s="71" t="s">
        <v>1054</v>
      </c>
      <c r="F7" s="71" t="s">
        <v>1055</v>
      </c>
      <c r="G7" s="71" t="s">
        <v>1056</v>
      </c>
      <c r="H7" s="71" t="s">
        <v>1057</v>
      </c>
    </row>
    <row r="8" spans="1:8" ht="13.5" customHeight="1">
      <c r="A8" s="9" t="s">
        <v>49</v>
      </c>
      <c r="B8" s="9">
        <f>IFERROR(SUMIF(Purchases!$B:$B,$A8,Purchases!$C:$C),0)</f>
        <v>262387</v>
      </c>
      <c r="C8" s="9">
        <f>SUM($B$8:$B$10)/3</f>
        <v>188768</v>
      </c>
      <c r="D8" s="9">
        <f>B8-C8</f>
        <v>73619</v>
      </c>
      <c r="E8" s="9">
        <f>IF(Summary!$B$6&gt;0, Summary!$B$6*VLOOKUP($A8,$A$3:$B$5,2,FALSE()),0)</f>
        <v>0</v>
      </c>
      <c r="F8" s="9">
        <f>D8+E8</f>
        <v>73619</v>
      </c>
      <c r="G8" s="9">
        <f>IFERROR(SUMIFS($E$13:$E$499,$D$13:$D$499,$A8,$B$13:$B$499,"Contribution"),0)+IFERROR(SUMIFS($E$13:$E$499,$D$13:$D$499,$A8,$B$13:$B$499,"Profit"),0)-IFERROR(SUMIFS($E$13:$E$499,$C$13:$C$499,$A8,$B$13:$B$499,"Contribution"),0)-IFERROR(SUMIFS($E$13:$E$499,$C$13:$C$499,$A8,$B$13:$B$499,"Profit"),0)</f>
        <v>18303.34</v>
      </c>
      <c r="H8" s="73">
        <f>F8-G8</f>
        <v>55315.66</v>
      </c>
    </row>
    <row r="9" spans="1:8" ht="13.5" customHeight="1">
      <c r="A9" s="11" t="s">
        <v>50</v>
      </c>
      <c r="B9" s="11">
        <f>IFERROR(SUMIF(Purchases!$B:$B,$A9,Purchases!$C:$C),0)</f>
        <v>271317</v>
      </c>
      <c r="C9" s="11">
        <f>SUM($B$8:$B$10)/3</f>
        <v>188768</v>
      </c>
      <c r="D9" s="11">
        <f>B9-C9</f>
        <v>82549</v>
      </c>
      <c r="E9" s="11">
        <f>IF(Summary!$B$6&gt;0, Summary!$B$6*VLOOKUP($A9,$A$3:$B$5,2,FALSE()),0)</f>
        <v>0</v>
      </c>
      <c r="F9" s="11">
        <f>D9+E9</f>
        <v>82549</v>
      </c>
      <c r="G9" s="11">
        <f>IFERROR(SUMIFS($E$13:$E$499,$D$13:$D$499,$A9,$B$13:$B$499,"Contribution"),0)+IFERROR(SUMIFS($E$13:$E$499,$D$13:$D$499,$A9,$B$13:$B$499,"Profit"),0)-IFERROR(SUMIFS($E$13:$E$499,$C$13:$C$499,$A9,$B$13:$B$499,"Contribution"),0)-IFERROR(SUMIFS($E$13:$E$499,$C$13:$C$499,$A9,$B$13:$B$499,"Profit"),0)</f>
        <v>41639.33</v>
      </c>
      <c r="H9" s="74">
        <f>F9-G9</f>
        <v>40909.67</v>
      </c>
    </row>
    <row r="10" spans="1:8" ht="13.5" customHeight="1">
      <c r="A10" s="9" t="s">
        <v>51</v>
      </c>
      <c r="B10" s="9">
        <f>IFERROR(SUMIF(Purchases!$B:$B,$A10,Purchases!$C:$C),0)</f>
        <v>32600</v>
      </c>
      <c r="C10" s="9">
        <f>SUM($B$8:$B$10)/3</f>
        <v>188768</v>
      </c>
      <c r="D10" s="9">
        <f>B10-C10</f>
        <v>-156168</v>
      </c>
      <c r="E10" s="9">
        <f>IF(Summary!$B$6&gt;0, Summary!$B$6*VLOOKUP($A10,$A$3:$B$5,2,FALSE()),0)</f>
        <v>0</v>
      </c>
      <c r="F10" s="9">
        <f>D10+E10</f>
        <v>-156168</v>
      </c>
      <c r="G10" s="9">
        <f>IFERROR(SUMIFS($E$13:$E$499,$D$13:$D$499,$A10,$B$13:$B$499,"Contribution"),0)+IFERROR(SUMIFS($E$13:$E$499,$D$13:$D$499,$A10,$B$13:$B$499,"Profit"),0)-IFERROR(SUMIFS($E$13:$E$499,$C$13:$C$499,$A10,$B$13:$B$499,"Contribution"),0)-IFERROR(SUMIFS($E$13:$E$499,$C$13:$C$499,$A10,$B$13:$B$499,"Profit"),0)</f>
        <v>-59942.67</v>
      </c>
      <c r="H10" s="73">
        <f>F10-G10</f>
        <v>-96225.33</v>
      </c>
    </row>
    <row r="12" spans="1:8" s="75" customFormat="1" ht="15.75" customHeight="1">
      <c r="A12" s="89" t="s">
        <v>1058</v>
      </c>
      <c r="B12" s="89"/>
      <c r="C12" s="89"/>
      <c r="D12" s="89"/>
      <c r="E12" s="89"/>
      <c r="F12" s="89"/>
    </row>
    <row r="13" spans="1:8" s="72" customFormat="1" ht="13.5" customHeight="1">
      <c r="A13" s="71" t="s">
        <v>98</v>
      </c>
      <c r="B13" s="71" t="s">
        <v>1059</v>
      </c>
      <c r="C13" s="71" t="s">
        <v>1060</v>
      </c>
      <c r="D13" s="71" t="s">
        <v>1061</v>
      </c>
      <c r="E13" s="71" t="s">
        <v>99</v>
      </c>
      <c r="F13" s="71" t="s">
        <v>100</v>
      </c>
    </row>
    <row r="14" spans="1:8" ht="13.5" customHeight="1">
      <c r="A14" s="76">
        <v>45952</v>
      </c>
      <c r="B14" s="9" t="s">
        <v>1062</v>
      </c>
      <c r="C14" s="9" t="s">
        <v>51</v>
      </c>
      <c r="D14" s="9" t="s">
        <v>49</v>
      </c>
      <c r="E14" s="69">
        <v>16032</v>
      </c>
      <c r="F14" s="9"/>
    </row>
    <row r="15" spans="1:8" ht="13.5" customHeight="1">
      <c r="A15" s="77">
        <v>45952</v>
      </c>
      <c r="B15" s="11" t="s">
        <v>1062</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1062</v>
      </c>
      <c r="C18" s="9" t="s">
        <v>50</v>
      </c>
      <c r="D18" s="9" t="s">
        <v>51</v>
      </c>
      <c r="E18" s="69">
        <v>3209.34</v>
      </c>
      <c r="F18" s="9"/>
    </row>
    <row r="19" spans="1:6" ht="13.5" customHeight="1">
      <c r="A19" s="77">
        <v>45970</v>
      </c>
      <c r="B19" s="11" t="s">
        <v>1062</v>
      </c>
      <c r="C19" s="11" t="s">
        <v>50</v>
      </c>
      <c r="D19" s="11" t="s">
        <v>49</v>
      </c>
      <c r="E19" s="70">
        <v>411</v>
      </c>
      <c r="F19" s="11"/>
    </row>
    <row r="20" spans="1:6" ht="13.5" customHeight="1">
      <c r="A20" s="76">
        <v>45973</v>
      </c>
      <c r="B20" s="9" t="s">
        <v>1062</v>
      </c>
      <c r="C20" s="9" t="s">
        <v>50</v>
      </c>
      <c r="D20" s="9" t="s">
        <v>51</v>
      </c>
      <c r="E20" s="69">
        <v>905</v>
      </c>
      <c r="F20" s="9"/>
    </row>
    <row r="21" spans="1:6" ht="13.5" customHeight="1">
      <c r="A21" s="77">
        <v>45973</v>
      </c>
      <c r="B21" s="11" t="s">
        <v>1062</v>
      </c>
      <c r="C21" s="11" t="s">
        <v>49</v>
      </c>
      <c r="D21" s="11" t="s">
        <v>51</v>
      </c>
      <c r="E21" s="70">
        <v>904</v>
      </c>
      <c r="F21" s="11"/>
    </row>
    <row r="22" spans="1:6" ht="13.5" customHeight="1">
      <c r="A22" s="76">
        <v>46058</v>
      </c>
      <c r="B22" s="9" t="s">
        <v>1062</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1062</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1062</v>
      </c>
      <c r="C26" s="9" t="s">
        <v>50</v>
      </c>
      <c r="D26" s="9" t="s">
        <v>49</v>
      </c>
      <c r="E26" s="69">
        <v>4933.33</v>
      </c>
      <c r="F26" s="9"/>
    </row>
    <row r="27" spans="1:6" ht="13.5" customHeight="1">
      <c r="A27" s="77">
        <v>46093</v>
      </c>
      <c r="B27" s="11" t="s">
        <v>1062</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1063</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1064</v>
      </c>
    </row>
    <row r="3" spans="1:7" s="72" customFormat="1" ht="13.5" customHeight="1">
      <c r="A3" s="71" t="s">
        <v>42</v>
      </c>
      <c r="B3" s="71" t="s">
        <v>1065</v>
      </c>
      <c r="C3" s="71" t="s">
        <v>1050</v>
      </c>
      <c r="D3" s="71" t="s">
        <v>1066</v>
      </c>
      <c r="E3" s="71" t="s">
        <v>1067</v>
      </c>
      <c r="F3" s="71" t="s">
        <v>1068</v>
      </c>
      <c r="G3" s="71" t="s">
        <v>1069</v>
      </c>
    </row>
    <row r="4" spans="1:7" ht="13.5" customHeight="1">
      <c r="A4" s="9" t="s">
        <v>49</v>
      </c>
      <c r="B4" s="9">
        <f>IFERROR(SUMIFS(Sales!$C:$C,Sales!$E:$E,$A4,Sales!$I:$I,"Completed"),0)</f>
        <v>441179</v>
      </c>
      <c r="C4" s="9">
        <f>VLOOKUP($A4,PartnerShares!$A$3:$B$5,2,FALSE())</f>
        <v>0.33339999999999997</v>
      </c>
      <c r="D4" s="9">
        <f>Summary!$B$4*C4</f>
        <v>169811.62219999998</v>
      </c>
      <c r="E4" s="9">
        <f>B4-D4</f>
        <v>271367.37780000002</v>
      </c>
      <c r="F4" s="9">
        <f>IFERROR(SUMIFS(PartnerShares!$E$13:$E$499,PartnerShares!$D$13:$D$499,$A4,PartnerShares!$B$13:$B$499,"Cash"),0)-IFERROR(SUMIFS(PartnerShares!$E$13:$E$499,PartnerShares!$C$13:$C$499,$A4,PartnerShares!$B$13:$B$499,"Cash"),0)</f>
        <v>-137310.02600000001</v>
      </c>
      <c r="G4" s="73">
        <f>E4+F4</f>
        <v>134057.3518</v>
      </c>
    </row>
    <row r="5" spans="1:7" ht="13.5" customHeight="1">
      <c r="A5" s="11" t="s">
        <v>50</v>
      </c>
      <c r="B5" s="11">
        <f>IFERROR(SUMIFS(Sales!$C:$C,Sales!$E:$E,$A5,Sales!$I:$I,"Completed"),0)</f>
        <v>54624</v>
      </c>
      <c r="C5" s="11">
        <f>VLOOKUP($A5,PartnerShares!$A$3:$B$5,2,FALSE())</f>
        <v>0.3332</v>
      </c>
      <c r="D5" s="11">
        <f>Summary!$B$4*C5</f>
        <v>169709.7556</v>
      </c>
      <c r="E5" s="11">
        <f>B5-D5</f>
        <v>-115085.7556</v>
      </c>
      <c r="F5" s="11">
        <f>IFERROR(SUMIFS(PartnerShares!$E$13:$E$499,PartnerShares!$D$13:$D$499,$A5,PartnerShares!$B$13:$B$499,"Cash"),0)-IFERROR(SUMIFS(PartnerShares!$E$13:$E$499,PartnerShares!$C$13:$C$499,$A5,PartnerShares!$B$13:$B$499,"Cash"),0)</f>
        <v>71587.042000000001</v>
      </c>
      <c r="G5" s="74">
        <f>E5+F5</f>
        <v>-43498.713600000003</v>
      </c>
    </row>
    <row r="6" spans="1:7" ht="13.5" customHeight="1">
      <c r="A6" s="9" t="s">
        <v>51</v>
      </c>
      <c r="B6" s="9">
        <f>IFERROR(SUMIFS(Sales!$C:$C,Sales!$E:$E,$A6,Sales!$I:$I,"Completed"),0)</f>
        <v>12530</v>
      </c>
      <c r="C6" s="9">
        <f>VLOOKUP($A6,PartnerShares!$A$3:$B$5,2,FALSE())</f>
        <v>0.33339999999999997</v>
      </c>
      <c r="D6" s="9">
        <f>Summary!$B$4*C6</f>
        <v>169811.62219999998</v>
      </c>
      <c r="E6" s="9">
        <f>B6-D6</f>
        <v>-157281.62219999998</v>
      </c>
      <c r="F6" s="9">
        <f>IFERROR(SUMIFS(PartnerShares!$E$13:$E$499,PartnerShares!$D$13:$D$499,$A6,PartnerShares!$B$13:$B$499,"Cash"),0)-IFERROR(SUMIFS(PartnerShares!$E$13:$E$499,PartnerShares!$C$13:$C$499,$A6,PartnerShares!$B$13:$B$499,"Cash"),0)</f>
        <v>65722.984000000011</v>
      </c>
      <c r="G6" s="73">
        <f>E6+F6</f>
        <v>-91558.638199999972</v>
      </c>
    </row>
    <row r="9" spans="1:7" ht="13.5" customHeight="1">
      <c r="A9" s="6" t="s">
        <v>0</v>
      </c>
    </row>
    <row r="10" spans="1:7" ht="13.5" customHeight="1">
      <c r="A10" s="6" t="s">
        <v>1070</v>
      </c>
    </row>
    <row r="11" spans="1:7" ht="13.5" customHeight="1">
      <c r="A11" s="6" t="s">
        <v>1071</v>
      </c>
    </row>
    <row r="12" spans="1:7" ht="13.5" customHeight="1">
      <c r="A12" s="6" t="s">
        <v>1072</v>
      </c>
    </row>
    <row r="13" spans="1:7" ht="13.5" customHeight="1">
      <c r="A13" s="6" t="s">
        <v>1073</v>
      </c>
    </row>
    <row r="14" spans="1:7" ht="13.5" customHeight="1">
      <c r="A14" s="6" t="s">
        <v>1074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2026-08-10T02:36:11Z</dcterms:modified>
  <dc:language>en-US</dc:language>
</cp:coreProperties>
</file>