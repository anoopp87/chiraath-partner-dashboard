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0C09D621-73C1-2640-A940-2765A1C50676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Sales!$A$1:$I$257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<sst xmlns="http://schemas.openxmlformats.org/spreadsheetml/2006/main" count="2855" uniqueCount="1141">
  <si>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</si>
  <si>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</si>
  <si>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</si>
  <si>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</si>
  <si>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</si>
  <si>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</si>
  <si>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</si>
  <si>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</si>
  <si>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</si>
  <si>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</si>
  <si>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</si>
  <si>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</si>
  <si>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</si>
  <si>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</si>
  <si>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</si>
  <si>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</si>
  <si>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</si>
  <si>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</si>
  <si>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</si>
  <si>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</si>
  <si>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</si>
  <si>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</si>
  <si>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</si>
  <si>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</si>
  <si>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</si>
  <si>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</si>
  <si>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</si>
  <si>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</si>
  <si>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</si>
  <si>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</si>
  <si>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</si>
  <si>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</si>
  <si>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</si>
  <si>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</si>
  <si>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</si>
  <si>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</si>
  <si>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</si>
  <si>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</si>
  <si>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</si>
  <si>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</si>
  <si>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</si>
  <si>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</si>
  <si>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</si>
  <si>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</si>
  <si>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</si>
  <si>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</si>
  <si>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</si>
  <si>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</si>
  <si>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</si>
  <si>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</si>
  <si>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</si>
  <si>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</si>
  <si>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</si>
  <si>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</si>
  <si>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</si>
  <si>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</si>
  <si>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</si>
  <si>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</si>
  <si>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</si>
  <si>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</si>
  <si>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</si>
  <si>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</si>
  <si>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</si>
  <si>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</si>
  <si>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</si>
  <si>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</si>
  <si>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</si>
  <si>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</si>
  <si>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</si>
  <si>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</si>
  <si>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</si>
  <si>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</si>
  <si>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</si>
  <si>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</si>
  <si>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</si>
  <si>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</si>
  <si>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</si>
  <si>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</si>
  <si>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</si>
  <si>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</si>
  <si>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</si>
  <si>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</si>
  <si>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</si>
  <si>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</si>
  <si>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</si>
  <si>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</si>
  <si>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</si>
  <si>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</si>
  <si>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</si>
  <si>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</si>
  <si>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</si>
  <si>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</si>
  <si>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</si>
  <si>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</si>
  <si>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</si>
  <si>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</si>
  <si>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</si>
  <si>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</si>
  <si>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</si>
  <si>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</si>
  <si>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</si>
  <si>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</si>
  <si>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</si>
  <si>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</si>
  <si>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</si>
  <si>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</si>
  <si>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</si>
  <si>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</si>
  <si>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</si>
  <si>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</si>
  <si>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</si>
  <si>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</si>
  <si>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</si>
  <si>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</si>
  <si>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</si>
  <si>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</si>
  <si>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</si>
  <si>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</si>
  <si>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</si>
  <si>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</si>
  <si>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</si>
  <si>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</si>
  <si>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</si>
  <si>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</si>
  <si>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</si>
  <si>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</si>
  <si>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</si>
  <si>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</si>
  <si>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</si>
  <si>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</si>
  <si>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</si>
  <si>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</si>
  <si>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</si>
  <si>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</si>
  <si>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</si>
  <si>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</si>
  <si>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</si>
  <si>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</si>
  <si>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</si>
  <si>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</si>
  <si>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</si>
  <si>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</si>
  <si>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</si>
  <si>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</si>
  <si>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</si>
  <si>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</si>
  <si>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</si>
  <si>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</si>
  <si>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</si>
  <si>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</si>
  <si>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</si>
  <si>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</si>
  <si>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</si>
  <si>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</si>
  <si>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</si>
  <si>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</si>
  <si>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</si>
  <si>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</si>
  <si>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</si>
  <si>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</si>
  <si>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</si>
  <si>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</si>
  <si>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</si>
  <si>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</si>
  <si>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</si>
  <si>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</si>
  <si>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</si>
  <si>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</si>
  <si>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</si>
  <si>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</si>
  <si>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</si>
  <si>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</si>
  <si>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</si>
  <si>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</si>
  <si>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</si>
  <si>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</si>
  <si>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</si>
  <si>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</si>
  <si>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</si>
  <si>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</si>
  <si>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</si>
  <si>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</si>
  <si>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</si>
  <si>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</si>
  <si>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</si>
  <si>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</si>
  <si>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</si>
  <si>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</si>
  <si>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</si>
  <si>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</si>
  <si>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</si>
  <si>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</si>
  <si>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</si>
  <si>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</si>
  <si>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</si>
  <si>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</si>
  <si>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</si>
  <si>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</si>
  <si>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</si>
  <si>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</si>
  <si>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</si>
  <si>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</si>
  <si>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</si>
  <si>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</si>
  <si>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</si>
  <si>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</si>
  <si>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</si>
  <si>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</si>
  <si>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</si>
  <si>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</si>
  <si>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</si>
  <si>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</si>
  <si>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</si>
  <si>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</si>
  <si>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</si>
  <si>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</si>
  <si>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</si>
  <si>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</si>
  <si>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</si>
  <si>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</si>
  <si>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</si>
  <si>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</si>
  <si>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</si>
  <si>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</si>
  <si>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</si>
  <si>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</si>
  <si>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</si>
  <si>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</si>
  <si>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</si>
  <si>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</si>
  <si>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</si>
  <si>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</si>
  <si>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</si>
  <si>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</si>
  <si>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</si>
  <si>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</si>
  <si>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</si>
  <si>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</si>
  <si>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</si>
  <si>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</si>
  <si>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</si>
  <si>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</si>
  <si>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</si>
  <si>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</si>
  <si>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</si>
  <si>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</si>
  <si>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</si>
  <si>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</si>
  <si>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</si>
  <si>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</si>
  <si>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</si>
  <si>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</si>
  <si>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</si>
  <si>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</si>
  <si>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</si>
  <si>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</si>
  <si>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</si>
  <si>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</si>
  <si>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</si>
  <si>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</si>
  <si>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</si>
  <si>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</si>
  <si>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</si>
  <si>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</si>
  <si>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</si>
  <si>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</si>
  <si>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</si>
  <si>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</si>
  <si>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</si>
  <si>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</si>
  <si>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</si>
  <si>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</si>
  <si>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</si>
  <si>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</si>
  <si>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</si>
  <si>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</si>
  <si>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</si>
  <si>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</si>
  <si>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</si>
  <si>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</si>
  <si>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</si>
  <si>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</si>
  <si>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</si>
  <si>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</si>
  <si>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</si>
  <si>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</si>
  <si>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</si>
  <si>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</si>
  <si>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</si>
  <si>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</si>
  <si>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</si>
  <si>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</si>
  <si>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</si>
  <si>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</si>
  <si>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</si>
  <si>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</si>
  <si>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</si>
  <si>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</si>
  <si>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</si>
  <si>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</si>
  <si>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</si>
  <si>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</si>
  <si>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</si>
  <si>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</si>
  <si>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</si>
  <si>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</si>
  <si>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</si>
  <si>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</si>
  <si>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</si>
  <si>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</si>
  <si>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</si>
  <si>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</si>
  <si>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</si>
  <si>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</si>
  <si>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</si>
  <si>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</si>
  <si>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</si>
  <si>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</si>
  <si>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</si>
  <si>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</si>
  <si>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</si>
  <si>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</si>
  <si>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</si>
  <si>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</si>
  <si>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</si>
  <si>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</si>
  <si>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</si>
  <si>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</si>
  <si>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</si>
  <si>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</si>
  <si>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</si>
  <si>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</si>
  <si>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</si>
  <si>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</si>
  <si>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</si>
  <si>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</si>
  <si>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</si>
  <si>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</si>
  <si>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</si>
  <si>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</si>
  <si>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</si>
  <si>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</si>
  <si>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</si>
  <si>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</si>
  <si>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</si>
  <si>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</si>
  <si>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</si>
  <si>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</si>
  <si>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</si>
  <si>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</si>
  <si>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</si>
  <si>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</si>
  <si>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</si>
  <si>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</si>
  <si>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</si>
  <si>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</si>
  <si>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</si>
  <si>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</si>
  <si>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</si>
  <si>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</si>
  <si>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</si>
  <si>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</si>
  <si>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</si>
  <si>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</si>
  <si>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</si>
  <si>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</si>
  <si>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</si>
  <si>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</si>
  <si>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</si>
  <si>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</si>
  <si>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</si>
  <si>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</si>
  <si>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</si>
  <si>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</si>
  <si>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</si>
  <si>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</si>
  <si>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</si>
  <si>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</si>
  <si>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</si>
  <si>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</si>
  <si>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</si>
  <si>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</si>
  <si>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</si>
  <si>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</si>
  <si>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</si>
  <si>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</si>
  <si>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</si>
  <si>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</si>
  <si>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</si>
  <si>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</si>
  <si>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</si>
  <si>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</si>
  <si>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</si>
  <si>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</si>
  <si>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</si>
  <si>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</si>
  <si>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</si>
  <si>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</si>
  <si>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</si>
  <si>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</si>
  <si>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</si>
  <si>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</si>
  <si>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</si>
  <si>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</si>
  <si>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</si>
  <si>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</si>
  <si>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</si>
  <si>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</si>
  <si>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</si>
  <si>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</si>
  <si>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</si>
  <si>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</si>
  <si>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</si>
  <si>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</si>
  <si>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</si>
  <si>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</si>
  <si>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</si>
  <si>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</si>
  <si>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</si>
  <si>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</si>
  <si>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</si>
  <si>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</si>
  <si>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</si>
  <si>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</si>
  <si>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</si>
  <si>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</si>
  <si>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</si>
  <si>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</si>
  <si>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</si>
  <si>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</si>
  <si>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</si>
  <si>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</si>
  <si>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</si>
  <si>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</si>
  <si>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</si>
  <si>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</si>
  <si>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</si>
  <si>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</si>
  <si>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</si>
  <si>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</si>
  <si>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</si>
  <si>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</si>
  <si>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</si>
  <si>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</si>
  <si>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</si>
  <si>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</si>
  <si>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</si>
  <si>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</si>
  <si>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</si>
  <si>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</si>
  <si>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</si>
  <si>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</si>
  <si>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</si>
  <si>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</si>
  <si>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</si>
  <si>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</si>
  <si>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</si>
  <si>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</si>
  <si>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</si>
  <si>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</si>
  <si>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</si>
  <si>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</si>
  <si>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</si>
  <si>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</si>
  <si>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</si>
  <si>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</si>
  <si>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</si>
  <si>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</si>
  <si>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</si>
  <si>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</si>
  <si>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</si>
  <si>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</si>
  <si>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</si>
  <si>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</si>
  <si>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</si>
  <si>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</si>
  <si>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</si>
  <si>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</si>
  <si>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</si>
  <si>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</si>
  <si>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</si>
  <si>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</si>
  <si>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</si>
  <si>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</si>
  <si>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</si>
  <si>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</si>
  <si>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</si>
  <si>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</si>
  <si>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</si>
  <si>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</si>
  <si>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</si>
  <si>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</si>
  <si>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</si>
  <si>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</si>
  <si>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</si>
  <si>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</si>
  <si>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</si>
  <si>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</si>
  <si>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</si>
  <si>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</si>
  <si>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</si>
  <si>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</si>
  <si>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</si>
  <si>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</si>
  <si>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</si>
  <si>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</si>
  <si>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</si>
  <si>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</si>
  <si>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</si>
  <si>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</si>
  <si>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</si>
  <si>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</si>
  <si>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</si>
  <si>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</si>
  <si>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</si>
  <si>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</si>
  <si>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</si>
  <si>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</si>
  <si>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</si>
  <si>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</si>
  <si>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</si>
  <si>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</si>
  <si>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</si>
  <si>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</si>
  <si>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</si>
  <si>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</si>
  <si>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</si>
  <si>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</si>
  <si>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</si>
  <si>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</si>
  <si>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</si>
  <si>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</si>
  <si>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</si>
  <si>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</si>
  <si>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</si>
  <si>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</si>
  <si>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</si>
  <si>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</si>
  <si>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</si>
  <si>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</si>
  <si>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</si>
  <si>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</si>
  <si>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</si>
  <si>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</si>
  <si>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</si>
  <si>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</si>
  <si>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</si>
  <si>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</si>
  <si>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</si>
  <si>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</si>
  <si>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</si>
  <si>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</si>
  <si>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</si>
  <si>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</si>
  <si>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</si>
  <si>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</si>
  <si>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</si>
  <si>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</si>
  <si>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</si>
  <si>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</si>
  <si>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</si>
  <si>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</si>
  <si>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</si>
  <si>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</si>
  <si>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</si>
  <si>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</si>
  <si>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</si>
  <si>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</si>
  <si>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</si>
  <si>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</si>
  <si>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</si>
  <si>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</si>
  <si>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</si>
  <si>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</si>
  <si>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</si>
  <si>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</si>
  <si>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</si>
  <si>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</si>
  <si>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</si>
  <si>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</si>
  <si>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</si>
  <si>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</si>
  <si>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</si>
  <si>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</si>
  <si>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</si>
  <si>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</si>
  <si>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</si>
  <si>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</si>
  <si>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</si>
  <si>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</si>
  <si>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</si>
  <si>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</si>
  <si>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</si>
  <si>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</si>
  <si>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</si>
  <si>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</si>
  <si>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</si>
  <si>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</si>
  <si>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</si>
  <si>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</si>
  <si>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</si>
  <si>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</si>
  <si>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</si>
  <si>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</si>
  <si>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</si>
  <si>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</si>
  <si>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</si>
  <si>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</si>
  <si>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</si>
  <si>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</si>
  <si>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</si>
  <si>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</si>
  <si>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</si>
  <si>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</si>
  <si>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</si>
  <si>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</si>
  <si>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</si>
  <si>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</si>
  <si>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</si>
  <si>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</si>
  <si>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</si>
  <si>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</si>
  <si>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</si>
  <si>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</si>
  <si>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</si>
  <si>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</si>
  <si>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</si>
  <si>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</si>
  <si>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</si>
  <si>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</si>
  <si>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</si>
  <si>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</si>
  <si>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</si>
  <si>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</si>
  <si>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</si>
  <si>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</si>
  <si>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</si>
  <si>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</si>
  <si>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</si>
  <si>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</si>
  <si>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</si>
  <si>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</si>
  <si>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</si>
  <si>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</si>
  <si>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</si>
  <si>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</si>
  <si>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</si>
  <si>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</si>
  <si>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</si>
  <si>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</si>
  <si>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</si>
  <si>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</si>
  <si>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</si>
  <si>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</si>
  <si>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</si>
  <si>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</si>
  <si>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</si>
  <si>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</si>
  <si>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</si>
  <si>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</si>
  <si>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</si>
  <si>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</si>
  <si>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</si>
  <si>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</si>
  <si>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</si>
  <si>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</si>
  <si>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</si>
  <si>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</si>
  <si>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</si>
  <si>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</si>
  <si>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</si>
  <si>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</si>
  <si>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</si>
  <si>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</si>
  <si>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</si>
  <si>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</si>
  <si>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</si>
  <si>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</si>
  <si>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</si>
  <si>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</si>
  <si>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</si>
  <si>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</si>
  <si>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</si>
  <si>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</si>
  <si>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</si>
  <si>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</si>
  <si>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</si>
  <si>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</si>
  <si>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</si>
  <si>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</si>
  <si>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</si>
  <si>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</si>
  <si>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</si>
  <si>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</si>
  <si>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</si>
  <si>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</si>
  <si>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</si>
  <si>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</si>
  <si>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</si>
  <si>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</si>
  <si>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</si>
  <si>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</si>
  <si>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</si>
  <si>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</si>
  <si>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</si>
  <si>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</si>
  <si>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</si>
  <si>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</si>
  <si>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</si>
  <si>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</si>
  <si>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</si>
  <si>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</si>
  <si>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</si>
  <si>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</si>
  <si>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</si>
  <si>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</si>
  <si>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</si>
  <si>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</si>
  <si>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</si>
  <si>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</si>
  <si>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</si>
  <si>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</si>
  <si>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</si>
  <si>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</si>
  <si>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</si>
  <si>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</si>
  <si>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</si>
  <si>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</si>
  <si>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</si>
  <si>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</si>
  <si>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</si>
  <si>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</si>
  <si>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</si>
  <si>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</si>
  <si>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</si>
  <si>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</si>
  <si>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</si>
  <si>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</si>
  <si>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</si>
  <si>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</si>
  <si>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</si>
  <si>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</si>
  <si>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</si>
  <si>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</si>
  <si>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</si>
  <si>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</si>
  <si>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</si>
  <si>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</si>
  <si>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</si>
  <si>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</si>
  <si>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</si>
  <si>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</si>
  <si>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</si>
  <si>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</si>
  <si>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</si>
  <si>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</si>
  <si>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</si>
  <si>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</si>
  <si>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</si>
  <si>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</si>
  <si>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</si>
  <si>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</si>
  <si>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</si>
  <si>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</si>
  <si>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</si>
  <si>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</si>
  <si>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</si>
  <si>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</si>
  <si>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</si>
  <si>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</si>
  <si>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</si>
  <si>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</si>
  <si>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</si>
  <si>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</si>
  <si>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</si>
  <si>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</si>
  <si>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</si>
  <si>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</si>
  <si>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</si>
  <si>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</si>
  <si>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</si>
  <si>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</si>
  <si>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</si>
  <si>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</si>
  <si>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</si>
  <si>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</si>
  <si>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</si>
  <si>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</si>
  <si>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</si>
  <si>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</si>
  <si>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</si>
  <si>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</si>
  <si>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</si>
  <si>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</si>
  <si>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</si>
  <si>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</si>
  <si>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</si>
  <si>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</si>
  <si>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</si>
  <si>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</si>
  <si>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</si>
  <si>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</si>
  <si>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</si>
  <si>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</si>
  <si>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</si>
  <si>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</si>
  <si>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</si>
  <si>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</si>
  <si>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</si>
  <si>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</si>
  <si>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</si>
  <si>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</si>
  <si>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</si>
  <si>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</si>
  <si>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</si>
  <si>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</si>
  <si>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</si>
  <si>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</si>
  <si>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</si>
  <si>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</si>
  <si>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</si>
  <si>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</si>
  <si>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</si>
  <si>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</si>
  <si>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</si>
  <si>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</si>
  <si>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</si>
  <si>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</si>
  <si>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</si>
  <si>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</si>
  <si>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</si>
  <si>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</si>
  <si>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</si>
  <si>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</si>
  <si>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</si>
  <si>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</si>
  <si>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</si>
  <si>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</si>
  <si>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</si>
  <si>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</si>
  <si>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</si>
  <si>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</si>
  <si>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</si>
  <si>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</si>
  <si>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</si>
  <si>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</si>
  <si>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</si>
  <si>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</si>
  <si>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</si>
  <si>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</si>
  <si>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</si>
  <si>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</si>
  <si>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</si>
  <si>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</si>
  <si>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</si>
  <si>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</si>
  <si>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</si>
  <si>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</si>
  <si>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</si>
  <si>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</si>
  <si>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</si>
  <si>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</si>
  <si>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</si>
  <si>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</si>
  <si>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</si>
  <si>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</si>
  <si>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</si>
  <si>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</si>
  <si>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</si>
  <si>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</si>
  <si>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</si>
  <si>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</si>
  <si>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</si>
  <si>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</si>
  <si>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</si>
  <si>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</si>
  <si>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</si>
  <si>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</si>
  <si>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</si>
  <si>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</si>
  <si>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</si>
  <si>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</si>
  <si>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</si>
  <si>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</si>
  <si>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</si>
  <si>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</si>
  <si>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</si>
  <si>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</si>
  <si>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</si>
  <si>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</si>
  <si>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</si>
  <si>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</si>
  <si>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</si>
  <si>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</si>
  <si>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</si>
  <si>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</si>
  <si>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</si>
  <si>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</si>
  <si>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</si>
  <si>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</si>
  <si>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</si>
  <si>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</si>
  <si>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</si>
  <si>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</si>
  <si>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</si>
  <si>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</si>
  <si>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</si>
  <si>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</si>
  <si>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</si>
  <si>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</si>
  <si>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</si>
  <si>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</si>
  <si>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</si>
  <si>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</si>
  <si>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</si>
  <si>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</si>
  <si>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</si>
  <si>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</si>
  <si>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</si>
  <si>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</si>
  <si>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</si>
  <si>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</si>
  <si>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</si>
  <si>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</si>
  <si>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</si>
  <si>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</si>
  <si>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</si>
  <si>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</si>
  <si>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</si>
  <si>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</si>
  <si>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</si>
  <si>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</si>
  <si>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</si>
  <si>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</si>
  <si>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</si>
  <si>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</si>
  <si>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</si>
  <si>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</si>
  <si>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</si>
  <si>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</si>
  <si>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</si>
  <si>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</si>
  <si>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</si>
  <si>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</si>
  <si>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</si>
  <si>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</si>
  <si>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</si>
  <si>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</si>
  <si>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</si>
  <si>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</si>
  <si>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</si>
  <si>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</si>
  <si>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</si>
  <si>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</si>
  <si>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</si>
  <si>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</si>
  <si>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</si>
  <si>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</si>
  <si>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</si>
  <si>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</si>
  <si>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</si>
  <si>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</si>
  <si>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</si>
  <si>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</si>
  <si>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</si>
  <si>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</si>
  <si>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</si>
  <si>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</si>
  <si>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</si>
  <si>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</si>
  <si>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</si>
  <si>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</si>
  <si>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</si>
  <si>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</si>
  <si>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</si>
  <si>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</si>
  <si>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</si>
  <si>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</si>
  <si>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</si>
  <si>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</si>
  <si>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</si>
  <si>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</si>
  <si>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</si>
  <si>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</si>
  <si>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</si>
  <si>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</si>
  <si>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</si>
  <si>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</si>
  <si>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</si>
  <si>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</si>
  <si>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</si>
  <si>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</si>
  <si>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</si>
  <si>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</si>
  <si>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</si>
  <si>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</si>
  <si>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</si>
  <si>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</si>
  <si>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</si>
  <si>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</si>
  <si>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</si>
  <si>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</si>
  <si>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</si>
  <si>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</si>
  <si>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</si>
  <si>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</si>
  <si>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</si>
  <si>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</si>
  <si>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</si>
  <si>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</si>
  <si>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</si>
  <si>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</si>
  <si>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</si>
  <si>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</si>
  <si>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</si>
  <si>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</si>
  <si>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</si>
  <si>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</si>
  <si>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</si>
  <si>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</si>
  <si>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</si>
  <si>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</si>
  <si>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</si>
  <si>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</si>
  <si>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</si>
  <si>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</si>
  <si>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</si>
  <si>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Nishitha Friend - brown/maroon (1100)</t>
  </si>
  <si>
    <t>Blue/maroon, light green/maroon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</si>
  <si>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</si>
  <si>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</si>
  <si>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</si>
  <si>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</si>
  <si>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</si>
  <si>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</si>
  <si>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</si>
  <si>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</si>
  <si>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</si>
  <si>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</si>
  <si>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</si>
  <si>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</si>
  <si>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</si>
  <si>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</si>
  <si>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</si>
  <si>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</si>
  <si>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</si>
  <si>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</si>
  <si>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</si>
  <si>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</si>
  <si>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</si>
  <si>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</si>
  <si>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</si>
  <si>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</si>
  <si>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</si>
  <si>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</si>
  <si>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</si>
  <si>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</si>
  <si>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</si>
  <si>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</si>
  <si>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</si>
  <si>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</si>
  <si>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</si>
  <si>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</si>
  <si>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</si>
  <si>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</si>
  <si>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</si>
  <si>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</si>
  <si>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</si>
  <si>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</si>
  <si>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</si>
  <si>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</si>
  <si>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</si>
  <si>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</si>
  <si>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</si>
  <si>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</si>
  <si>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</si>
  <si>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</si>
  <si>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</si>
  <si>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</si>
  <si>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</si>
  <si>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</si>
  <si>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</si>
  <si>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</si>
  <si>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</si>
  <si>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</si>
  <si>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</si>
  <si>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</si>
  <si>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</si>
  <si>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</si>
  <si>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</si>
  <si>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</si>
  <si>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</si>
  <si>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</si>
  <si>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</si>
  <si>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</si>
  <si>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</si>
  <si>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</si>
  <si>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</si>
  <si>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Sheeba George, Soji Thomas, Jessy Joseph, Jeeja Anil ,Sanam, Geetha, Sushama Bhaskar, Divya Jacob, Baby Johny, Jayasree, Navya, Bindu Saji, Vanajakshi, Abudhabi Customer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</si>
  <si>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</si>
  <si>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</si>
  <si>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</si>
  <si>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</si>
  <si>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</si>
  <si>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</si>
  <si>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</si>
  <si>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</si>
  <si>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</si>
  <si>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</si>
  <si>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</si>
  <si>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</si>
  <si>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</si>
  <si>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</si>
  <si>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</si>
  <si>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</si>
  <si>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</si>
  <si>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Green/maroon - Rajitha Teacher,  chikku green - Razia Salim, Rust Orange/Coffee Brown - Nishida, Chikku Maroon(1200) - Nishida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</si>
  <si>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</si>
  <si>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</si>
  <si>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</si>
  <si>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</si>
  <si>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</si>
  <si>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</si>
  <si>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</si>
  <si>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</si>
  <si>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</si>
  <si>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</si>
  <si>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</si>
  <si>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</si>
  <si>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</si>
  <si>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</si>
  <si>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</si>
  <si>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</si>
  <si>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</si>
  <si>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</si>
  <si>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</si>
  <si>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</si>
  <si>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CHR-180 Salwar XL, CHR-87 - Red sallwar with elephant print</t>
  </si>
  <si>
    <t>Susmi (1200) - L
Sreelakshmi (1000) - XL, Prema (1000) - XXL, Jisha bank - M(1100)</t>
  </si>
  <si>
    <t>Shinoob School - 1500(XXL), Jisha Bank (XL)</t>
  </si>
  <si>
    <t>M,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</si>
</sst>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263</c:v>
                </c:pt>
                <c:pt idx="1">
                  <c:v>91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158</c:v>
                </c:pt>
                <c:pt idx="1">
                  <c:v>57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60357</c:v>
                </c:pt>
                <c:pt idx="1">
                  <c:v>123959.43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28696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72885</c:v>
                </c:pt>
                <c:pt idx="6">
                  <c:v>7299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-26158</c:v>
                </c:pt>
                <c:pt idx="6">
                  <c:v>-21397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358</c:v>
                </c:pt>
                <c:pt idx="1">
                  <c:v>-265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A16" sqref="A16:G28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482843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426237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435697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-56606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62654.993333333347</v>
      </c>
      <c r="C10" s="9"/>
    </row>
    <row r="11" spans="1:6" ht="13.5" customHeight="1">
      <c r="A11" s="11" t="s">
        <v>50</v>
      </c>
      <c r="B11" s="14">
        <f>PartnerShares!H9</f>
        <v>5750.0033333333413</v>
      </c>
      <c r="C11" s="11"/>
    </row>
    <row r="12" spans="1:6" ht="13.5" customHeight="1">
      <c r="A12" s="9" t="s">
        <v>51</v>
      </c>
      <c r="B12" s="13">
        <f>PartnerShares!H10</f>
        <v>-68404.996666666659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241906</v>
      </c>
      <c r="C18" s="10">
        <f>PartnerShares!C8</f>
        <v>160947.66666666666</v>
      </c>
      <c r="D18" s="10">
        <f>PartnerShares!D8</f>
        <v>80958.333333333343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62654.993333333347</v>
      </c>
      <c r="G18" s="16" t="str">
        <f>IF(ROUND(F18,0)&gt;0,"Receive ₹"&amp;TEXT(ABS(F18),"#,##0"),IF(ROUND(F18,0)&lt;0,"Pay ₹"&amp;TEXT(ABS(F18),"#,##0"),"✓ Settled"))</f>
        <v>Receive ₹62,655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160947.66666666666</v>
      </c>
      <c r="D19" s="12">
        <f>PartnerShares!D9</f>
        <v>47389.333333333343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5750.0033333333413</v>
      </c>
      <c r="G19" s="17" t="str">
        <f>IF(ROUND(F19,0)&gt;0,"Receive ₹"&amp;TEXT(ABS(F19),"#,##0"),IF(ROUND(F19,0)&lt;0,"Pay ₹"&amp;TEXT(ABS(F19),"#,##0"),"✓ Settled"))</f>
        <v>Receive ₹5,750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160947.66666666666</v>
      </c>
      <c r="D20" s="10">
        <f>PartnerShares!D10</f>
        <v>-128347.66666666666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-68404.996666666659</v>
      </c>
      <c r="G20" s="17" t="str">
        <f>IF(ROUND(F20,0)&gt;0,"Receive ₹"&amp;TEXT(ABS(F20),"#,##0"),IF(ROUND(F20,0)&lt;0,"Pay ₹"&amp;TEXT(ABS(F20),"#,##0"),"✓ Settled"))</f>
        <v>Pay ₹68,405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359083</v>
      </c>
      <c r="C26" s="10">
        <f>'Cash Pool'!D4</f>
        <v>142107.41579999999</v>
      </c>
      <c r="D26" s="10">
        <f>'Cash Pool'!E4</f>
        <v>216975.58420000001</v>
      </c>
      <c r="E26" s="10">
        <f>'Cash Pool'!F4</f>
        <v>-137310.02600000001</v>
      </c>
      <c r="F26" s="13">
        <f>'Cash Pool'!G4</f>
        <v>79665.558199999999</v>
      </c>
      <c r="G26" s="17" t="str">
        <f>IF(ROUND(F26,0)&gt;0,"Pay ₹"&amp;TEXT(ABS(F26),"#,##0"),IF(ROUND(F26,0)&lt;0,"Receive ₹"&amp;TEXT(ABS(F26),"#,##0"),"✓ Settled"))</f>
        <v>Pay ₹79,666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142022.1684</v>
      </c>
      <c r="D27" s="12">
        <f>'Cash Pool'!E5</f>
        <v>-87398.168399999995</v>
      </c>
      <c r="E27" s="12">
        <f>'Cash Pool'!F5</f>
        <v>71587.042000000001</v>
      </c>
      <c r="F27" s="14">
        <f>'Cash Pool'!G5</f>
        <v>-15811.126399999994</v>
      </c>
      <c r="G27" s="18" t="str">
        <f>IF(ROUND(F27,0)&gt;0,"Pay ₹"&amp;TEXT(ABS(F27),"#,##0"),IF(ROUND(F27,0)&lt;0,"Receive ₹"&amp;TEXT(ABS(F27),"#,##0"),"✓ Settled"))</f>
        <v>Receive ₹15,811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142107.41579999999</v>
      </c>
      <c r="D28" s="10">
        <f>'Cash Pool'!E6</f>
        <v>-129577.41579999999</v>
      </c>
      <c r="E28" s="10">
        <f>'Cash Pool'!F6</f>
        <v>65722.984000000011</v>
      </c>
      <c r="F28" s="13">
        <f>'Cash Pool'!G6</f>
        <v>-63854.431799999977</v>
      </c>
      <c r="G28" s="16" t="str">
        <f>IF(ROUND(F28,0)&gt;0,"Pay ₹"&amp;TEXT(ABS(F28),"#,##0"),IF(ROUND(F28,0)&lt;0,"Receive ₹"&amp;TEXT(ABS(F28),"#,##0"),"✓ Settled"))</f>
        <v>Receive ₹63,854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46205</v>
      </c>
    </row>
    <row r="5" spans="1:8" ht="15" customHeight="1">
      <c r="A5" s="19" t="s">
        <v>41</v>
      </c>
      <c r="B5" s="21">
        <f>Summary!B3</f>
        <v>482843</v>
      </c>
      <c r="D5" s="19" t="s">
        <v>69</v>
      </c>
      <c r="E5" s="21">
        <f>Summary!B4</f>
        <v>426237</v>
      </c>
    </row>
    <row r="6" spans="1:8" ht="15" customHeight="1">
      <c r="A6" s="19" t="s">
        <v>70</v>
      </c>
      <c r="B6" s="21">
        <f>Summary!B6</f>
        <v>-56606</v>
      </c>
      <c r="D6" s="19" t="s">
        <v>71</v>
      </c>
      <c r="E6" s="21">
        <f>SUMIFS(INVENTORY!K:K, INVENTORY!N:N, "&lt;&gt;Sold Out")</f>
        <v>175757.63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358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-265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28696</v>
      </c>
      <c r="C16" s="21">
        <f>IFERROR(SUMPRODUCT((TEXT(Sales!$A$2:$A$995,"MMM")=$A16)*(YEAR(Sales!$A$2:$A$995)=$B$7)*Sales!$C$2:$C$995),0)</f>
        <v>7299</v>
      </c>
      <c r="D16" s="21">
        <f t="shared" si="0"/>
        <v>-21397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263</v>
      </c>
      <c r="H47" s="30">
        <f>SUMIF(INVENTORY!C:C, F47, INVENTORY!G:G)</f>
        <v>158</v>
      </c>
      <c r="J47" s="30" t="s">
        <v>96</v>
      </c>
      <c r="K47" s="31">
        <f t="array" ref="K47">SUMPRODUCT((INVENTORY!$C$2:$C$477=J47)*(INVENTORY!$D$2:$D$477)*(INVENTORY!$G$2:$G$477))</f>
        <v>60357</v>
      </c>
    </row>
    <row r="48" spans="6:11" ht="15" customHeight="1">
      <c r="F48" s="29" t="s">
        <v>96</v>
      </c>
      <c r="G48" s="30">
        <f>SUMIF(INVENTORY!C:C, F48, INVENTORY!F:F)</f>
        <v>91</v>
      </c>
      <c r="H48" s="30">
        <f>SUMIF(INVENTORY!C:C, F48, INVENTORY!G:G)</f>
        <v>57</v>
      </c>
      <c r="J48" s="30" t="s">
        <v>95</v>
      </c>
      <c r="K48" s="31">
        <f t="array" ref="K48">SUMPRODUCT((INVENTORY!$C$2:$C$477=J48)*(INVENTORY!$D$2:$D$477)*(INVENTORY!$G$2:$G$477))</f>
        <v>123959.43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91" sqref="D9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1134</v>
      </c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31" activePane="bottomLeft" state="frozen"/>
      <selection pane="bottomLeft" activeCell="E261" sqref="E261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/>
      <c r="E158" s="53" t="s">
        <v>49</v>
      </c>
      <c r="F158" s="56"/>
      <c r="G158" s="56"/>
      <c r="H158" s="57" t="s">
        <v>341</v>
      </c>
      <c r="I158" s="53" t="s">
        <v>356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3000</v>
      </c>
      <c r="D194" s="53"/>
      <c r="E194" s="53"/>
      <c r="F194" s="56"/>
      <c r="G194" s="56"/>
      <c r="H194" s="57" t="s">
        <v>415</v>
      </c>
      <c r="I194" s="53" t="s">
        <v>356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1114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/>
      <c r="E249" s="53"/>
      <c r="F249" s="56"/>
      <c r="G249" s="56"/>
      <c r="H249" s="57" t="s">
        <v>1093</v>
      </c>
      <c r="I249" s="53" t="s">
        <v>356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1095</v>
      </c>
      <c r="I250" s="49" t="s">
        <v>356</v>
      </c>
    </row>
    <row r="251" spans="1:9" ht="14">
      <c r="A251" s="52">
        <v>46201</v>
      </c>
      <c r="B251" s="53" t="s">
        <v>1117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1100</v>
      </c>
      <c r="I252" s="49" t="s">
        <v>148</v>
      </c>
    </row>
    <row r="253" spans="1:9" ht="14">
      <c r="A253" s="52">
        <v>46201</v>
      </c>
      <c r="B253" s="53" t="s">
        <v>1101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1102</v>
      </c>
      <c r="I253" s="53" t="s">
        <v>148</v>
      </c>
    </row>
    <row r="254" spans="1:9" ht="14">
      <c r="A254" s="48">
        <v>46201</v>
      </c>
      <c r="B254" s="49" t="s">
        <v>1103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1104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1107</v>
      </c>
      <c r="I255" s="53" t="s">
        <v>148</v>
      </c>
    </row>
    <row r="256" spans="1:9" ht="14">
      <c r="A256" s="48">
        <v>46203</v>
      </c>
      <c r="B256" s="49" t="s">
        <v>1118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1119</v>
      </c>
      <c r="I256" s="49" t="s">
        <v>148</v>
      </c>
    </row>
    <row r="257" spans="1:9" ht="14">
      <c r="A257" s="52">
        <v>46204</v>
      </c>
      <c r="B257" s="53" t="s">
        <v>1122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1123</v>
      </c>
      <c r="I257" s="53" t="s">
        <v>148</v>
      </c>
    </row>
    <row r="258" spans="1:9" ht="14">
      <c r="A258" s="48">
        <v>46205</v>
      </c>
      <c r="B258" s="49" t="s">
        <v>1125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1126</v>
      </c>
      <c r="I258" s="49" t="s">
        <v>148</v>
      </c>
    </row>
    <row r="259" spans="1:9" ht="14">
      <c r="A259" s="52">
        <v>46205</v>
      </c>
      <c r="B259" s="53" t="s">
        <v>1125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1129</v>
      </c>
      <c r="I259" s="53" t="s">
        <v>148</v>
      </c>
    </row>
    <row r="260" spans="1:9" ht="14">
      <c r="A260" s="48">
        <v>46205</v>
      </c>
      <c r="B260" s="49" t="s">
        <v>1131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1130</v>
      </c>
      <c r="I260" s="49" t="s">
        <v>148</v>
      </c>
    </row>
    <row r="261" spans="1:9" ht="14">
      <c r="A261" s="52">
        <v>46205</v>
      </c>
      <c r="B261" s="53" t="s">
        <v>1136</v>
      </c>
      <c r="C261" s="54">
        <v>2400</v>
      </c>
      <c r="D261" s="53"/>
      <c r="E261" s="53"/>
      <c r="F261" s="56"/>
      <c r="G261" s="56"/>
      <c r="H261" s="57" t="s">
        <v>1137</v>
      </c>
      <c r="I261" s="53" t="s">
        <v>356</v>
      </c>
    </row>
    <row r="262" spans="1:9">
      <c r="A262" s="48"/>
      <c r="B262" s="49"/>
      <c r="C262" s="50"/>
      <c r="D262" s="49"/>
      <c r="E262" s="49"/>
      <c r="F262" s="49"/>
      <c r="G262" s="49"/>
      <c r="H262" s="51"/>
      <c r="I262" s="49"/>
    </row>
    <row r="263" spans="1:9">
      <c r="A263" s="52"/>
      <c r="B263" s="53"/>
      <c r="C263" s="54"/>
      <c r="D263" s="53"/>
      <c r="E263" s="53"/>
      <c r="F263" s="56"/>
      <c r="G263" s="56"/>
      <c r="H263" s="57"/>
      <c r="I263" s="53"/>
    </row>
    <row r="264" spans="1:9">
      <c r="A264" s="48"/>
      <c r="B264" s="49"/>
      <c r="C264" s="50"/>
      <c r="D264" s="49"/>
      <c r="E264" s="49"/>
      <c r="F264" s="49"/>
      <c r="G264" s="49"/>
      <c r="H264" s="51"/>
      <c r="I264" s="49"/>
    </row>
    <row r="265" spans="1:9">
      <c r="A265" s="52"/>
      <c r="B265" s="53"/>
      <c r="C265" s="54"/>
      <c r="D265" s="53"/>
      <c r="E265" s="53"/>
      <c r="F265" s="56"/>
      <c r="G265" s="56"/>
      <c r="H265" s="57"/>
      <c r="I265" s="53"/>
    </row>
    <row r="266" spans="1:9">
      <c r="A266" s="48"/>
      <c r="B266" s="49"/>
      <c r="C266" s="50"/>
      <c r="D266" s="49"/>
      <c r="E266" s="49"/>
      <c r="F266" s="49"/>
      <c r="G266" s="49"/>
      <c r="H266" s="51"/>
      <c r="I266" s="49"/>
    </row>
    <row r="267" spans="1:9">
      <c r="A267" s="52"/>
      <c r="B267" s="53"/>
      <c r="C267" s="54"/>
      <c r="D267" s="53"/>
      <c r="E267" s="53"/>
      <c r="F267" s="56"/>
      <c r="G267" s="56"/>
      <c r="H267" s="57"/>
      <c r="I267" s="53"/>
    </row>
    <row r="268" spans="1:9">
      <c r="A268" s="48"/>
      <c r="B268" s="49"/>
      <c r="C268" s="50"/>
      <c r="D268" s="49"/>
      <c r="E268" s="49"/>
      <c r="F268" s="49"/>
      <c r="G268" s="49"/>
      <c r="H268" s="51"/>
      <c r="I268" s="49"/>
    </row>
    <row r="269" spans="1:9">
      <c r="A269" s="52"/>
      <c r="B269" s="53"/>
      <c r="C269" s="54"/>
      <c r="D269" s="53"/>
      <c r="E269" s="53"/>
      <c r="F269" s="56"/>
      <c r="G269" s="56"/>
      <c r="H269" s="57"/>
      <c r="I269" s="53"/>
    </row>
    <row r="270" spans="1:9">
      <c r="A270" s="48"/>
      <c r="B270" s="49"/>
      <c r="C270" s="50"/>
      <c r="D270" s="49"/>
      <c r="E270" s="49"/>
      <c r="F270" s="49"/>
      <c r="G270" s="49"/>
      <c r="H270" s="51"/>
      <c r="I270" s="49"/>
    </row>
    <row r="271" spans="1:9">
      <c r="A271" s="52"/>
      <c r="B271" s="53"/>
      <c r="C271" s="54"/>
      <c r="D271" s="53"/>
      <c r="E271" s="53"/>
      <c r="F271" s="56"/>
      <c r="G271" s="56"/>
      <c r="H271" s="57"/>
      <c r="I271" s="53"/>
    </row>
    <row r="272" spans="1:9">
      <c r="A272" s="48"/>
      <c r="B272" s="49"/>
      <c r="C272" s="50"/>
      <c r="D272" s="49"/>
      <c r="E272" s="49"/>
      <c r="F272" s="49"/>
      <c r="G272" s="49"/>
      <c r="H272" s="51"/>
      <c r="I272" s="49"/>
    </row>
    <row r="273" spans="1:9">
      <c r="A273" s="52"/>
      <c r="B273" s="53"/>
      <c r="C273" s="54"/>
      <c r="D273" s="53"/>
      <c r="E273" s="53"/>
      <c r="F273" s="56"/>
      <c r="G273" s="56"/>
      <c r="H273" s="57"/>
      <c r="I273" s="53"/>
    </row>
    <row r="274" spans="1:9">
      <c r="A274" s="48"/>
      <c r="B274" s="49"/>
      <c r="C274" s="50"/>
      <c r="D274" s="49"/>
      <c r="E274" s="49"/>
      <c r="F274" s="49"/>
      <c r="G274" s="49"/>
      <c r="H274" s="51"/>
      <c r="I274" s="49"/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5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D1" zoomScaleNormal="100" workbookViewId="0">
      <pane ySplit="1" topLeftCell="A172" activePane="bottomLeft" state="frozen"/>
      <selection activeCell="E1" sqref="E1"/>
      <selection pane="bottomLeft" activeCell="O181" sqref="O181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1</v>
      </c>
      <c r="G59" s="67">
        <v>2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1145</v>
      </c>
      <c r="K59" s="66">
        <f t="shared" si="2"/>
        <v>2290</v>
      </c>
      <c r="L59" s="66" t="s">
        <v>621</v>
      </c>
      <c r="M59" s="66"/>
      <c r="N59" s="66" t="s">
        <v>589</v>
      </c>
      <c r="O59" s="66" t="s">
        <v>622</v>
      </c>
      <c r="P59" s="66" t="s">
        <v>623</v>
      </c>
      <c r="Q59" s="66"/>
      <c r="R59" s="66"/>
      <c r="S59" s="66"/>
      <c r="T59" s="66"/>
    </row>
    <row r="60" spans="1:246" ht="15" customHeight="1">
      <c r="A60" s="63" t="s">
        <v>624</v>
      </c>
      <c r="B60" s="63" t="s">
        <v>625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626</v>
      </c>
      <c r="M60" s="63" t="s">
        <v>49</v>
      </c>
      <c r="N60" s="63" t="s">
        <v>504</v>
      </c>
      <c r="O60" s="63"/>
      <c r="P60" s="63" t="s">
        <v>627</v>
      </c>
      <c r="Q60" s="63"/>
      <c r="R60" s="63"/>
      <c r="S60" s="63"/>
      <c r="T60" s="63"/>
    </row>
    <row r="61" spans="1:246" ht="45" customHeight="1">
      <c r="A61" s="66" t="s">
        <v>628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629</v>
      </c>
      <c r="M61" s="66"/>
      <c r="N61" s="66" t="s">
        <v>589</v>
      </c>
      <c r="O61" s="66" t="s">
        <v>630</v>
      </c>
      <c r="P61" s="66" t="s">
        <v>631</v>
      </c>
      <c r="Q61" s="66" t="s">
        <v>632</v>
      </c>
      <c r="R61" s="66"/>
      <c r="S61" s="66"/>
      <c r="T61" s="66"/>
    </row>
    <row r="62" spans="1:246" ht="15" customHeight="1">
      <c r="A62" s="63" t="s">
        <v>633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634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635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636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637</v>
      </c>
      <c r="B65" s="66" t="s">
        <v>638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639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640</v>
      </c>
      <c r="B66" s="63" t="s">
        <v>641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642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643</v>
      </c>
      <c r="B67" s="66" t="s">
        <v>644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645</v>
      </c>
      <c r="B68" s="63" t="s">
        <v>646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647</v>
      </c>
      <c r="M68" s="63"/>
      <c r="N68" s="63" t="s">
        <v>589</v>
      </c>
      <c r="O68" s="63"/>
      <c r="P68" s="63" t="s">
        <v>648</v>
      </c>
      <c r="Q68" s="63"/>
      <c r="R68" s="63"/>
      <c r="S68" s="63"/>
      <c r="T68" s="63"/>
    </row>
    <row r="69" spans="1:20" ht="15" customHeight="1">
      <c r="A69" s="66" t="s">
        <v>649</v>
      </c>
      <c r="B69" s="66" t="s">
        <v>650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651</v>
      </c>
      <c r="P69" s="66"/>
      <c r="Q69" s="66"/>
      <c r="R69" s="66"/>
      <c r="S69" s="66"/>
      <c r="T69" s="66"/>
    </row>
    <row r="70" spans="1:20" ht="15" customHeight="1">
      <c r="A70" s="63" t="s">
        <v>652</v>
      </c>
      <c r="B70" s="63" t="s">
        <v>653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654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655</v>
      </c>
      <c r="B71" s="66" t="s">
        <v>656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657</v>
      </c>
      <c r="M71" s="66" t="s">
        <v>49</v>
      </c>
      <c r="N71" s="66" t="s">
        <v>504</v>
      </c>
      <c r="O71" s="66"/>
      <c r="P71" s="66" t="s">
        <v>658</v>
      </c>
      <c r="Q71" s="66"/>
      <c r="R71" s="66"/>
      <c r="S71" s="66"/>
      <c r="T71" s="66"/>
    </row>
    <row r="72" spans="1:20" ht="15" customHeight="1">
      <c r="A72" s="63" t="s">
        <v>659</v>
      </c>
      <c r="B72" s="63" t="s">
        <v>660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661</v>
      </c>
      <c r="B73" s="66" t="s">
        <v>662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663</v>
      </c>
      <c r="B74" s="63" t="s">
        <v>664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665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666</v>
      </c>
      <c r="B76" s="63" t="s">
        <v>667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668</v>
      </c>
      <c r="B77" s="66" t="s">
        <v>669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670</v>
      </c>
      <c r="M77" s="66"/>
      <c r="N77" s="66" t="s">
        <v>589</v>
      </c>
      <c r="O77" s="66" t="s">
        <v>671</v>
      </c>
      <c r="P77" s="66"/>
      <c r="Q77" s="66"/>
      <c r="R77" s="66"/>
      <c r="S77" s="66"/>
      <c r="T77" s="66"/>
    </row>
    <row r="78" spans="1:20" ht="15" customHeight="1">
      <c r="A78" s="63" t="s">
        <v>672</v>
      </c>
      <c r="B78" s="63" t="s">
        <v>673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674</v>
      </c>
      <c r="M78" s="63"/>
      <c r="N78" s="63" t="s">
        <v>589</v>
      </c>
      <c r="O78" s="63" t="s">
        <v>675</v>
      </c>
      <c r="P78" s="63"/>
      <c r="Q78" s="63"/>
      <c r="R78" s="63"/>
      <c r="S78" s="63"/>
      <c r="T78" s="63"/>
    </row>
    <row r="79" spans="1:20" ht="15" customHeight="1">
      <c r="A79" s="66" t="s">
        <v>676</v>
      </c>
      <c r="B79" s="66" t="s">
        <v>677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678</v>
      </c>
      <c r="M79" s="66"/>
      <c r="N79" s="66" t="s">
        <v>679</v>
      </c>
      <c r="O79" s="66" t="s">
        <v>675</v>
      </c>
      <c r="P79" s="66"/>
      <c r="Q79" s="66"/>
      <c r="R79" s="66"/>
      <c r="S79" s="66"/>
      <c r="T79" s="66"/>
    </row>
    <row r="80" spans="1:20" ht="15" customHeight="1">
      <c r="A80" s="63" t="s">
        <v>680</v>
      </c>
      <c r="B80" s="63" t="s">
        <v>681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682</v>
      </c>
      <c r="M80" s="63"/>
      <c r="N80" s="63" t="s">
        <v>589</v>
      </c>
      <c r="O80" s="63" t="s">
        <v>683</v>
      </c>
      <c r="P80" s="63"/>
      <c r="Q80" s="63"/>
      <c r="R80" s="63"/>
      <c r="S80" s="63"/>
      <c r="T80" s="63"/>
    </row>
    <row r="81" spans="1:20" ht="30" customHeight="1">
      <c r="A81" s="66" t="s">
        <v>684</v>
      </c>
      <c r="B81" s="66" t="s">
        <v>685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686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687</v>
      </c>
      <c r="B82" s="63" t="s">
        <v>688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689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690</v>
      </c>
      <c r="B83" s="66" t="s">
        <v>691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692</v>
      </c>
      <c r="M83" s="66"/>
      <c r="N83" s="66" t="s">
        <v>504</v>
      </c>
      <c r="O83" s="66" t="s">
        <v>693</v>
      </c>
      <c r="P83" s="66"/>
      <c r="Q83" s="66"/>
      <c r="R83" s="66"/>
      <c r="S83" s="66"/>
      <c r="T83" s="66"/>
    </row>
    <row r="84" spans="1:20" ht="15" customHeight="1">
      <c r="A84" s="63" t="s">
        <v>694</v>
      </c>
      <c r="B84" s="63" t="s">
        <v>695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696</v>
      </c>
      <c r="M84" s="63"/>
      <c r="N84" s="63" t="s">
        <v>589</v>
      </c>
      <c r="O84" s="63" t="s">
        <v>697</v>
      </c>
      <c r="P84" s="63"/>
      <c r="Q84" s="63"/>
      <c r="R84" s="63"/>
      <c r="S84" s="63"/>
      <c r="T84" s="63"/>
    </row>
    <row r="85" spans="1:20" ht="15" customHeight="1">
      <c r="A85" s="66" t="s">
        <v>698</v>
      </c>
      <c r="B85" s="66" t="s">
        <v>699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700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701</v>
      </c>
      <c r="B86" s="63" t="s">
        <v>702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703</v>
      </c>
      <c r="M86" s="63"/>
      <c r="N86" s="63" t="s">
        <v>589</v>
      </c>
      <c r="O86" s="63" t="s">
        <v>704</v>
      </c>
      <c r="P86" s="63"/>
      <c r="Q86" s="63"/>
      <c r="R86" s="63"/>
      <c r="S86" s="63"/>
      <c r="T86" s="63"/>
    </row>
    <row r="87" spans="1:20" ht="15" customHeight="1">
      <c r="A87" s="66" t="s">
        <v>705</v>
      </c>
      <c r="B87" s="66" t="s">
        <v>706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679</v>
      </c>
      <c r="O87" s="66" t="s">
        <v>707</v>
      </c>
      <c r="P87" s="66"/>
      <c r="Q87" s="66"/>
      <c r="R87" s="66"/>
      <c r="S87" s="66"/>
      <c r="T87" s="66"/>
    </row>
    <row r="88" spans="1:20" ht="30" customHeight="1">
      <c r="A88" s="63" t="s">
        <v>708</v>
      </c>
      <c r="B88" s="63" t="s">
        <v>709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1138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710</v>
      </c>
      <c r="B89" s="66" t="s">
        <v>711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712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713</v>
      </c>
      <c r="B90" s="63" t="s">
        <v>714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715</v>
      </c>
      <c r="B91" s="66" t="s">
        <v>716</v>
      </c>
      <c r="C91" s="66" t="s">
        <v>717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718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719</v>
      </c>
      <c r="B92" s="63" t="s">
        <v>720</v>
      </c>
      <c r="C92" s="63" t="s">
        <v>717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721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722</v>
      </c>
      <c r="B93" s="66" t="s">
        <v>723</v>
      </c>
      <c r="C93" s="66" t="s">
        <v>97</v>
      </c>
      <c r="D93" s="67">
        <v>472</v>
      </c>
      <c r="E93" s="67">
        <v>650</v>
      </c>
      <c r="F93" s="67">
        <v>2</v>
      </c>
      <c r="G93" s="67">
        <v>1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944</v>
      </c>
      <c r="K93" s="66">
        <f t="shared" si="6"/>
        <v>472</v>
      </c>
      <c r="L93" s="66" t="s">
        <v>724</v>
      </c>
      <c r="M93" s="66"/>
      <c r="N93" s="63" t="s">
        <v>589</v>
      </c>
      <c r="O93" s="66" t="s">
        <v>216</v>
      </c>
      <c r="P93" s="66"/>
      <c r="Q93" s="66"/>
      <c r="R93" s="66"/>
      <c r="S93" s="66"/>
      <c r="T93" s="66"/>
    </row>
    <row r="94" spans="1:20" ht="15" customHeight="1">
      <c r="A94" s="63" t="s">
        <v>725</v>
      </c>
      <c r="B94" s="63" t="s">
        <v>726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727</v>
      </c>
      <c r="B95" s="66" t="s">
        <v>728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729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730</v>
      </c>
      <c r="B96" s="63" t="s">
        <v>731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679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732</v>
      </c>
      <c r="B97" s="66" t="s">
        <v>733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734</v>
      </c>
      <c r="B98" s="63" t="s">
        <v>735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736</v>
      </c>
      <c r="B99" s="66" t="s">
        <v>737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738</v>
      </c>
      <c r="B100" s="63" t="s">
        <v>739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740</v>
      </c>
      <c r="B101" s="66" t="s">
        <v>741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742</v>
      </c>
      <c r="B102" s="63" t="s">
        <v>743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744</v>
      </c>
      <c r="B103" s="66" t="s">
        <v>745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746</v>
      </c>
      <c r="B104" s="63" t="s">
        <v>747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748</v>
      </c>
      <c r="B105" s="66" t="s">
        <v>749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750</v>
      </c>
      <c r="B106" s="63" t="s">
        <v>751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752</v>
      </c>
      <c r="B107" s="66" t="s">
        <v>753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754</v>
      </c>
      <c r="B108" s="63" t="s">
        <v>755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756</v>
      </c>
      <c r="B109" s="66" t="s">
        <v>757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758</v>
      </c>
      <c r="B110" s="63" t="s">
        <v>759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760</v>
      </c>
      <c r="B111" s="66" t="s">
        <v>761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762</v>
      </c>
      <c r="B112" s="63" t="s">
        <v>763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679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764</v>
      </c>
      <c r="B113" s="66" t="s">
        <v>765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766</v>
      </c>
      <c r="B114" s="63" t="s">
        <v>767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768</v>
      </c>
      <c r="B115" s="66" t="s">
        <v>769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770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771</v>
      </c>
      <c r="B116" s="63" t="s">
        <v>772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773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774</v>
      </c>
      <c r="B117" s="66" t="s">
        <v>775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776</v>
      </c>
      <c r="B118" s="63" t="s">
        <v>777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778</v>
      </c>
      <c r="M118" s="63"/>
      <c r="N118" s="63" t="s">
        <v>504</v>
      </c>
      <c r="O118" s="63"/>
      <c r="P118" s="63" t="s">
        <v>779</v>
      </c>
      <c r="Q118" s="63"/>
      <c r="R118" s="63"/>
      <c r="S118" s="63"/>
      <c r="T118" s="63"/>
    </row>
    <row r="119" spans="1:246" ht="15" customHeight="1">
      <c r="A119" s="66" t="s">
        <v>780</v>
      </c>
      <c r="B119" s="66" t="s">
        <v>781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782</v>
      </c>
      <c r="B120" s="63" t="s">
        <v>783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1105</v>
      </c>
      <c r="M120" s="63" t="s">
        <v>49</v>
      </c>
      <c r="N120" s="63" t="s">
        <v>589</v>
      </c>
      <c r="O120" s="63"/>
      <c r="P120" s="63" t="s">
        <v>1106</v>
      </c>
      <c r="Q120" s="63"/>
      <c r="R120" s="63"/>
      <c r="S120" s="63"/>
      <c r="T120" s="63"/>
    </row>
    <row r="121" spans="1:246" ht="15" customHeight="1">
      <c r="A121" s="66" t="s">
        <v>784</v>
      </c>
      <c r="B121" s="66" t="s">
        <v>785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786</v>
      </c>
      <c r="M121" s="66"/>
      <c r="N121" s="66" t="s">
        <v>504</v>
      </c>
      <c r="O121" s="66"/>
      <c r="P121" s="66" t="s">
        <v>787</v>
      </c>
      <c r="Q121" s="66"/>
      <c r="R121" s="66"/>
      <c r="S121" s="66"/>
      <c r="T121" s="66"/>
    </row>
    <row r="122" spans="1:246" ht="15" customHeight="1">
      <c r="A122" s="63" t="s">
        <v>788</v>
      </c>
      <c r="B122" s="63" t="s">
        <v>789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790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791</v>
      </c>
      <c r="B123" s="75" t="s">
        <v>792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793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794</v>
      </c>
      <c r="B124" s="77" t="s">
        <v>795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796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797</v>
      </c>
      <c r="B125" s="75" t="s">
        <v>798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799</v>
      </c>
      <c r="M125" s="75"/>
      <c r="N125" s="75" t="s">
        <v>504</v>
      </c>
      <c r="O125" s="75"/>
      <c r="P125" s="75" t="s">
        <v>800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801</v>
      </c>
      <c r="B126" s="63" t="s">
        <v>802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803</v>
      </c>
      <c r="M126" s="63"/>
      <c r="N126" s="63" t="s">
        <v>504</v>
      </c>
      <c r="O126" s="63" t="s">
        <v>804</v>
      </c>
      <c r="P126" s="63"/>
      <c r="Q126" s="63"/>
      <c r="R126" s="63"/>
      <c r="S126" s="63"/>
      <c r="T126" s="63"/>
    </row>
    <row r="127" spans="1:246" ht="15" customHeight="1">
      <c r="A127" s="75" t="s">
        <v>805</v>
      </c>
      <c r="B127" s="66" t="s">
        <v>806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807</v>
      </c>
      <c r="B128" s="63" t="s">
        <v>808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1094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809</v>
      </c>
      <c r="B129" s="66" t="s">
        <v>810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811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812</v>
      </c>
      <c r="B130" s="63" t="s">
        <v>813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814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815</v>
      </c>
      <c r="B131" s="66" t="s">
        <v>816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679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817</v>
      </c>
      <c r="B132" s="63" t="s">
        <v>818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819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820</v>
      </c>
      <c r="B133" s="66" t="s">
        <v>821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679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822</v>
      </c>
      <c r="B134" s="63" t="s">
        <v>823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679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824</v>
      </c>
      <c r="B135" s="66" t="s">
        <v>825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826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827</v>
      </c>
      <c r="B136" s="63" t="s">
        <v>828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829</v>
      </c>
      <c r="M136" s="63"/>
      <c r="N136" s="63" t="s">
        <v>504</v>
      </c>
      <c r="O136" s="63"/>
      <c r="P136" s="63" t="s">
        <v>830</v>
      </c>
      <c r="Q136" s="63"/>
      <c r="R136" s="63"/>
      <c r="S136" s="63"/>
      <c r="T136" s="63"/>
    </row>
    <row r="137" spans="1:20" ht="15" customHeight="1">
      <c r="A137" s="75" t="s">
        <v>831</v>
      </c>
      <c r="B137" s="66" t="s">
        <v>832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833</v>
      </c>
      <c r="B138" s="63" t="s">
        <v>834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835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836</v>
      </c>
      <c r="B139" s="66" t="s">
        <v>837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838</v>
      </c>
      <c r="B140" s="63" t="s">
        <v>839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840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841</v>
      </c>
      <c r="B141" s="66" t="s">
        <v>842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843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844</v>
      </c>
      <c r="B142" s="63" t="s">
        <v>845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846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847</v>
      </c>
      <c r="B143" s="66" t="s">
        <v>848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679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849</v>
      </c>
      <c r="B144" s="63" t="s">
        <v>850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679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851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852</v>
      </c>
      <c r="B146" s="63" t="s">
        <v>853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854</v>
      </c>
      <c r="M146" s="63"/>
      <c r="N146" s="63" t="s">
        <v>589</v>
      </c>
      <c r="O146" s="63"/>
      <c r="P146" s="63" t="s">
        <v>855</v>
      </c>
      <c r="Q146" s="63"/>
      <c r="R146" s="63"/>
      <c r="S146" s="63"/>
      <c r="T146" s="63"/>
    </row>
    <row r="147" spans="1:20" ht="63.75" customHeight="1">
      <c r="A147" s="66" t="s">
        <v>856</v>
      </c>
      <c r="B147" s="66" t="s">
        <v>857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1091</v>
      </c>
      <c r="M147" s="66"/>
      <c r="N147" s="66" t="s">
        <v>589</v>
      </c>
      <c r="O147" s="66"/>
      <c r="P147" s="66" t="s">
        <v>1092</v>
      </c>
      <c r="Q147" s="66"/>
      <c r="R147" s="66"/>
      <c r="S147" s="66"/>
      <c r="T147" s="66"/>
    </row>
    <row r="148" spans="1:20" ht="15" customHeight="1">
      <c r="A148" s="63" t="s">
        <v>858</v>
      </c>
      <c r="B148" s="63" t="s">
        <v>859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860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861</v>
      </c>
      <c r="B149" s="66" t="s">
        <v>862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863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864</v>
      </c>
      <c r="B150" s="63" t="s">
        <v>865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679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866</v>
      </c>
      <c r="B151" s="66" t="s">
        <v>867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868</v>
      </c>
      <c r="M151" s="66"/>
      <c r="N151" s="66" t="s">
        <v>589</v>
      </c>
      <c r="O151" s="66" t="s">
        <v>216</v>
      </c>
      <c r="P151" s="66" t="s">
        <v>869</v>
      </c>
      <c r="Q151" s="66"/>
      <c r="R151" s="66"/>
      <c r="S151" s="66"/>
      <c r="T151" s="66"/>
    </row>
    <row r="152" spans="1:20" ht="15" customHeight="1">
      <c r="A152" s="63" t="s">
        <v>870</v>
      </c>
      <c r="B152" s="63" t="s">
        <v>871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872</v>
      </c>
      <c r="M152" s="63"/>
      <c r="N152" s="63" t="s">
        <v>589</v>
      </c>
      <c r="O152" s="63" t="s">
        <v>873</v>
      </c>
      <c r="P152" s="63" t="s">
        <v>874</v>
      </c>
      <c r="Q152" s="63"/>
      <c r="R152" s="63"/>
      <c r="S152" s="63"/>
      <c r="T152" s="63"/>
    </row>
    <row r="153" spans="1:20" ht="15" customHeight="1">
      <c r="A153" s="66" t="s">
        <v>875</v>
      </c>
      <c r="B153" s="66" t="s">
        <v>876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877</v>
      </c>
      <c r="M153" s="66"/>
      <c r="N153" s="66" t="s">
        <v>504</v>
      </c>
      <c r="O153" s="66"/>
      <c r="P153" s="66" t="s">
        <v>878</v>
      </c>
      <c r="Q153" s="66"/>
      <c r="R153" s="66"/>
      <c r="S153" s="66"/>
      <c r="T153" s="66"/>
    </row>
    <row r="154" spans="1:20" ht="15" customHeight="1">
      <c r="A154" s="63" t="s">
        <v>879</v>
      </c>
      <c r="B154" s="63" t="s">
        <v>880</v>
      </c>
      <c r="C154" s="63" t="s">
        <v>96</v>
      </c>
      <c r="D154" s="64">
        <v>949</v>
      </c>
      <c r="E154" s="64">
        <v>1450</v>
      </c>
      <c r="F154" s="78">
        <v>1</v>
      </c>
      <c r="G154" s="78">
        <v>2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949</v>
      </c>
      <c r="K154" s="77">
        <f t="shared" si="10"/>
        <v>1898</v>
      </c>
      <c r="L154" s="63" t="s">
        <v>881</v>
      </c>
      <c r="M154" s="63"/>
      <c r="N154" s="63" t="s">
        <v>589</v>
      </c>
      <c r="O154" s="63" t="s">
        <v>882</v>
      </c>
      <c r="P154" s="63"/>
      <c r="Q154" s="63"/>
      <c r="R154" s="63"/>
      <c r="S154" s="63"/>
      <c r="T154" s="63"/>
    </row>
    <row r="155" spans="1:20" ht="15" customHeight="1">
      <c r="A155" s="66" t="s">
        <v>883</v>
      </c>
      <c r="B155" s="66" t="s">
        <v>884</v>
      </c>
      <c r="C155" s="66" t="s">
        <v>96</v>
      </c>
      <c r="D155" s="67">
        <v>949</v>
      </c>
      <c r="E155" s="67">
        <v>1450</v>
      </c>
      <c r="F155" s="76">
        <v>0</v>
      </c>
      <c r="G155" s="76">
        <v>3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0</v>
      </c>
      <c r="K155" s="75">
        <f t="shared" si="10"/>
        <v>2847</v>
      </c>
      <c r="L155" s="66"/>
      <c r="M155" s="66"/>
      <c r="N155" s="66" t="s">
        <v>679</v>
      </c>
      <c r="O155" s="66" t="s">
        <v>885</v>
      </c>
      <c r="P155" s="66"/>
      <c r="Q155" s="66"/>
      <c r="R155" s="66"/>
      <c r="S155" s="66"/>
      <c r="T155" s="66"/>
    </row>
    <row r="156" spans="1:20" ht="15" customHeight="1">
      <c r="A156" s="63" t="s">
        <v>886</v>
      </c>
      <c r="B156" s="63" t="s">
        <v>887</v>
      </c>
      <c r="C156" s="63" t="s">
        <v>96</v>
      </c>
      <c r="D156" s="64">
        <v>950</v>
      </c>
      <c r="E156" s="64">
        <v>1550</v>
      </c>
      <c r="F156" s="78">
        <v>1</v>
      </c>
      <c r="G156" s="78">
        <v>3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950</v>
      </c>
      <c r="K156" s="77">
        <f t="shared" si="10"/>
        <v>2850</v>
      </c>
      <c r="L156" s="63" t="s">
        <v>888</v>
      </c>
      <c r="M156" s="63"/>
      <c r="N156" s="63" t="s">
        <v>589</v>
      </c>
      <c r="O156" s="63" t="s">
        <v>885</v>
      </c>
      <c r="P156" s="63"/>
      <c r="Q156" s="63"/>
      <c r="R156" s="63"/>
      <c r="S156" s="63"/>
      <c r="T156" s="63"/>
    </row>
    <row r="157" spans="1:20" ht="15" customHeight="1">
      <c r="A157" s="66" t="s">
        <v>889</v>
      </c>
      <c r="B157" s="66" t="s">
        <v>890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891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892</v>
      </c>
      <c r="B158" s="63" t="s">
        <v>893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894</v>
      </c>
      <c r="M158" s="63"/>
      <c r="N158" s="63" t="s">
        <v>679</v>
      </c>
      <c r="O158" s="63" t="s">
        <v>895</v>
      </c>
      <c r="P158" s="63"/>
      <c r="Q158" s="63"/>
      <c r="R158" s="63"/>
      <c r="S158" s="63"/>
      <c r="T158" s="63"/>
    </row>
    <row r="159" spans="1:20" ht="15" customHeight="1">
      <c r="A159" s="66" t="s">
        <v>896</v>
      </c>
      <c r="B159" s="66" t="s">
        <v>897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898</v>
      </c>
      <c r="M159" s="66"/>
      <c r="N159" s="66" t="s">
        <v>589</v>
      </c>
      <c r="O159" s="66" t="s">
        <v>899</v>
      </c>
      <c r="P159" s="66"/>
      <c r="Q159" s="66"/>
      <c r="R159" s="66"/>
      <c r="S159" s="66"/>
      <c r="T159" s="66"/>
    </row>
    <row r="160" spans="1:20" ht="15" customHeight="1">
      <c r="A160" s="63" t="s">
        <v>900</v>
      </c>
      <c r="B160" s="63" t="s">
        <v>901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902</v>
      </c>
      <c r="B161" s="66" t="s">
        <v>903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904</v>
      </c>
      <c r="B162" s="63" t="s">
        <v>905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906</v>
      </c>
      <c r="B163" s="66" t="s">
        <v>907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679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908</v>
      </c>
      <c r="B164" s="63" t="s">
        <v>909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910</v>
      </c>
      <c r="M164" s="63"/>
      <c r="N164" s="63" t="s">
        <v>589</v>
      </c>
      <c r="O164" s="63"/>
      <c r="P164" s="63" t="s">
        <v>911</v>
      </c>
      <c r="Q164" s="63"/>
      <c r="R164" s="63"/>
      <c r="S164" s="63"/>
      <c r="T164" s="63"/>
    </row>
    <row r="165" spans="1:20" ht="15" customHeight="1">
      <c r="A165" s="66" t="s">
        <v>912</v>
      </c>
      <c r="B165" s="66" t="s">
        <v>913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914</v>
      </c>
      <c r="Q165" s="66"/>
      <c r="R165" s="66"/>
      <c r="S165" s="66"/>
      <c r="T165" s="66"/>
    </row>
    <row r="166" spans="1:20" ht="15" customHeight="1">
      <c r="A166" s="63" t="s">
        <v>915</v>
      </c>
      <c r="B166" s="63" t="s">
        <v>916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1120</v>
      </c>
      <c r="M166" s="63"/>
      <c r="N166" s="63" t="s">
        <v>504</v>
      </c>
      <c r="O166" s="63"/>
      <c r="P166" s="63" t="s">
        <v>1121</v>
      </c>
      <c r="Q166" s="63"/>
      <c r="R166" s="63"/>
      <c r="S166" s="63"/>
      <c r="T166" s="63"/>
    </row>
    <row r="167" spans="1:20" ht="15" customHeight="1">
      <c r="A167" s="66" t="s">
        <v>917</v>
      </c>
      <c r="B167" s="66" t="s">
        <v>918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919</v>
      </c>
      <c r="M167" s="66"/>
      <c r="N167" s="66" t="s">
        <v>589</v>
      </c>
      <c r="O167" s="66"/>
      <c r="P167" s="66" t="s">
        <v>920</v>
      </c>
      <c r="Q167" s="66"/>
      <c r="R167" s="66"/>
      <c r="S167" s="66"/>
      <c r="T167" s="66"/>
    </row>
    <row r="168" spans="1:20" ht="15" customHeight="1">
      <c r="A168" s="63" t="s">
        <v>921</v>
      </c>
      <c r="B168" s="63" t="s">
        <v>922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923</v>
      </c>
      <c r="M168" s="63"/>
      <c r="N168" s="63" t="s">
        <v>589</v>
      </c>
      <c r="O168" s="63"/>
      <c r="P168" s="63" t="s">
        <v>924</v>
      </c>
      <c r="Q168" s="63"/>
      <c r="R168" s="63"/>
      <c r="S168" s="63"/>
      <c r="T168" s="63"/>
    </row>
    <row r="169" spans="1:20" ht="15" customHeight="1">
      <c r="A169" s="66" t="s">
        <v>925</v>
      </c>
      <c r="B169" s="66" t="s">
        <v>926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679</v>
      </c>
      <c r="O169" s="66"/>
      <c r="P169" s="66" t="s">
        <v>927</v>
      </c>
      <c r="Q169" s="66"/>
      <c r="R169" s="66"/>
      <c r="S169" s="66"/>
      <c r="T169" s="66"/>
    </row>
    <row r="170" spans="1:20" ht="30" customHeight="1">
      <c r="A170" s="63" t="s">
        <v>928</v>
      </c>
      <c r="B170" s="63" t="s">
        <v>929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930</v>
      </c>
      <c r="M170" s="63"/>
      <c r="N170" s="63" t="s">
        <v>504</v>
      </c>
      <c r="O170" s="63"/>
      <c r="P170" s="63" t="s">
        <v>931</v>
      </c>
      <c r="Q170" s="63"/>
      <c r="R170" s="63"/>
      <c r="S170" s="63"/>
      <c r="T170" s="63"/>
    </row>
    <row r="171" spans="1:20" ht="31.5" customHeight="1">
      <c r="A171" s="66" t="s">
        <v>932</v>
      </c>
      <c r="B171" s="63" t="s">
        <v>933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934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935</v>
      </c>
      <c r="B172" s="63" t="s">
        <v>936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938</v>
      </c>
      <c r="B173" s="66" t="s">
        <v>939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940</v>
      </c>
      <c r="B174" s="63" t="s">
        <v>941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942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943</v>
      </c>
      <c r="B175" s="66" t="s">
        <v>944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1128</v>
      </c>
      <c r="M175" s="66"/>
      <c r="N175" s="66" t="s">
        <v>589</v>
      </c>
      <c r="O175" s="66"/>
      <c r="P175" s="66" t="s">
        <v>1127</v>
      </c>
      <c r="Q175" s="66"/>
      <c r="R175" s="66"/>
      <c r="S175" s="66"/>
      <c r="T175" s="66"/>
    </row>
    <row r="176" spans="1:20" ht="24" customHeight="1">
      <c r="A176" s="63" t="s">
        <v>945</v>
      </c>
      <c r="B176" s="63" t="s">
        <v>946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948</v>
      </c>
      <c r="B177" s="66" t="s">
        <v>949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950</v>
      </c>
      <c r="M177" s="66"/>
      <c r="N177" s="66" t="s">
        <v>504</v>
      </c>
      <c r="O177" s="66"/>
      <c r="P177" s="66" t="s">
        <v>951</v>
      </c>
      <c r="Q177" s="66"/>
      <c r="R177" s="66"/>
      <c r="S177" s="66"/>
      <c r="T177" s="66"/>
    </row>
    <row r="178" spans="1:20" ht="15" customHeight="1">
      <c r="A178" s="63" t="s">
        <v>952</v>
      </c>
      <c r="B178" s="63" t="s">
        <v>953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954</v>
      </c>
      <c r="M178" s="63"/>
      <c r="N178" s="63" t="s">
        <v>504</v>
      </c>
      <c r="O178" s="63"/>
      <c r="P178" s="63" t="s">
        <v>955</v>
      </c>
      <c r="Q178" s="63"/>
      <c r="R178" s="63"/>
      <c r="S178" s="63"/>
      <c r="T178" s="63"/>
    </row>
    <row r="179" spans="1:20" ht="30" customHeight="1">
      <c r="A179" s="66" t="s">
        <v>956</v>
      </c>
      <c r="B179" s="66" t="s">
        <v>957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958</v>
      </c>
      <c r="M179" s="66"/>
      <c r="N179" s="66" t="s">
        <v>504</v>
      </c>
      <c r="O179" s="66"/>
      <c r="P179" s="66" t="s">
        <v>959</v>
      </c>
      <c r="Q179" s="66"/>
      <c r="R179" s="66"/>
      <c r="S179" s="66"/>
      <c r="T179" s="66"/>
    </row>
    <row r="180" spans="1:20" ht="33.75" customHeight="1">
      <c r="A180" s="63" t="s">
        <v>960</v>
      </c>
      <c r="B180" s="63" t="s">
        <v>961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962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963</v>
      </c>
      <c r="B181" s="66" t="s">
        <v>964</v>
      </c>
      <c r="C181" s="66" t="s">
        <v>96</v>
      </c>
      <c r="D181" s="67">
        <v>1019</v>
      </c>
      <c r="E181" s="67">
        <v>1499</v>
      </c>
      <c r="F181" s="76">
        <v>2</v>
      </c>
      <c r="G181" s="76">
        <v>2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2038</v>
      </c>
      <c r="K181" s="75">
        <f t="shared" si="10"/>
        <v>2038</v>
      </c>
      <c r="L181" s="66" t="s">
        <v>1139</v>
      </c>
      <c r="M181" s="66"/>
      <c r="N181" s="66" t="s">
        <v>589</v>
      </c>
      <c r="O181" s="66" t="s">
        <v>1140</v>
      </c>
      <c r="P181" s="66" t="s">
        <v>965</v>
      </c>
      <c r="Q181" s="66"/>
      <c r="R181" s="66"/>
      <c r="S181" s="66"/>
      <c r="T181" s="66"/>
    </row>
    <row r="182" spans="1:20" ht="15" customHeight="1">
      <c r="A182" s="63" t="s">
        <v>966</v>
      </c>
      <c r="B182" s="63" t="s">
        <v>967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679</v>
      </c>
      <c r="O182" s="63"/>
      <c r="P182" s="63" t="s">
        <v>968</v>
      </c>
      <c r="Q182" s="63"/>
      <c r="R182" s="63"/>
      <c r="S182" s="63"/>
      <c r="T182" s="63"/>
    </row>
    <row r="183" spans="1:20" ht="15" customHeight="1">
      <c r="A183" s="66" t="s">
        <v>969</v>
      </c>
      <c r="B183" s="66" t="s">
        <v>970</v>
      </c>
      <c r="C183" s="66" t="s">
        <v>95</v>
      </c>
      <c r="D183" s="67">
        <v>419</v>
      </c>
      <c r="E183" s="67">
        <v>699</v>
      </c>
      <c r="F183" s="76">
        <v>1</v>
      </c>
      <c r="G183" s="76">
        <v>7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419</v>
      </c>
      <c r="K183" s="75">
        <f t="shared" si="10"/>
        <v>2933</v>
      </c>
      <c r="L183" s="66" t="s">
        <v>1124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39.75" customHeight="1">
      <c r="A184" s="63" t="s">
        <v>971</v>
      </c>
      <c r="B184" s="63" t="s">
        <v>972</v>
      </c>
      <c r="C184" s="63" t="s">
        <v>95</v>
      </c>
      <c r="D184" s="64">
        <v>891</v>
      </c>
      <c r="E184" s="64">
        <v>1380</v>
      </c>
      <c r="F184" s="78">
        <v>14</v>
      </c>
      <c r="G184" s="78">
        <v>6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12474</v>
      </c>
      <c r="K184" s="77">
        <f t="shared" si="10"/>
        <v>5346</v>
      </c>
      <c r="L184" s="63" t="s">
        <v>1098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973</v>
      </c>
      <c r="B185" s="66" t="s">
        <v>974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975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976</v>
      </c>
      <c r="B186" s="63" t="s">
        <v>792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679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977</v>
      </c>
      <c r="B187" s="66" t="s">
        <v>978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679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979</v>
      </c>
      <c r="B188" s="63" t="s">
        <v>980</v>
      </c>
      <c r="C188" s="63" t="s">
        <v>95</v>
      </c>
      <c r="D188" s="64">
        <v>891</v>
      </c>
      <c r="E188" s="64">
        <v>1380</v>
      </c>
      <c r="F188" s="78">
        <v>0</v>
      </c>
      <c r="G188" s="78">
        <v>2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0</v>
      </c>
      <c r="K188" s="77">
        <f t="shared" si="10"/>
        <v>1782</v>
      </c>
      <c r="L188" s="63"/>
      <c r="M188" s="63"/>
      <c r="N188" s="63" t="s">
        <v>679</v>
      </c>
      <c r="O188" s="63"/>
      <c r="P188" s="63"/>
      <c r="Q188" s="63"/>
      <c r="R188" s="63"/>
      <c r="S188" s="63"/>
      <c r="T188" s="63"/>
    </row>
    <row r="189" spans="1:20" ht="30" customHeight="1">
      <c r="A189" s="66" t="s">
        <v>981</v>
      </c>
      <c r="B189" s="63" t="s">
        <v>982</v>
      </c>
      <c r="C189" s="63" t="s">
        <v>95</v>
      </c>
      <c r="D189" s="64">
        <v>891</v>
      </c>
      <c r="E189" s="64">
        <v>1380</v>
      </c>
      <c r="F189" s="76">
        <v>4</v>
      </c>
      <c r="G189" s="76">
        <v>4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3564</v>
      </c>
      <c r="K189" s="75">
        <f t="shared" si="10"/>
        <v>3564</v>
      </c>
      <c r="L189" s="66" t="s">
        <v>1116</v>
      </c>
      <c r="M189" s="66"/>
      <c r="N189" s="66" t="s">
        <v>589</v>
      </c>
      <c r="O189" s="66"/>
      <c r="P189" s="66" t="s">
        <v>1115</v>
      </c>
      <c r="Q189" s="66"/>
      <c r="R189" s="66"/>
      <c r="S189" s="66"/>
      <c r="T189" s="66"/>
    </row>
    <row r="190" spans="1:20" ht="15" customHeight="1">
      <c r="A190" s="63" t="s">
        <v>983</v>
      </c>
      <c r="B190" s="66" t="s">
        <v>984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985</v>
      </c>
      <c r="P190" s="58" t="s">
        <v>986</v>
      </c>
      <c r="S190" s="58"/>
      <c r="T190" s="58"/>
    </row>
    <row r="191" spans="1:20" ht="30" customHeight="1">
      <c r="A191" s="66" t="s">
        <v>987</v>
      </c>
      <c r="B191" s="63" t="s">
        <v>988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679</v>
      </c>
      <c r="P191" s="58" t="s">
        <v>989</v>
      </c>
      <c r="S191" s="58"/>
      <c r="T191" s="58"/>
    </row>
    <row r="192" spans="1:20" ht="15" customHeight="1">
      <c r="A192" s="63" t="s">
        <v>990</v>
      </c>
      <c r="B192" s="66" t="s">
        <v>991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1108</v>
      </c>
      <c r="M192" s="63"/>
      <c r="N192" s="58" t="s">
        <v>589</v>
      </c>
      <c r="P192" s="58" t="s">
        <v>1109</v>
      </c>
      <c r="S192" s="58"/>
      <c r="T192" s="58"/>
    </row>
    <row r="193" spans="1:20" ht="15" customHeight="1">
      <c r="A193" s="66" t="s">
        <v>992</v>
      </c>
      <c r="B193" s="63" t="s">
        <v>993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679</v>
      </c>
      <c r="P193" s="58" t="s">
        <v>994</v>
      </c>
      <c r="S193" s="58"/>
      <c r="T193" s="58"/>
    </row>
    <row r="194" spans="1:20" ht="15" customHeight="1">
      <c r="A194" s="63" t="s">
        <v>995</v>
      </c>
      <c r="B194" s="63" t="s">
        <v>996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679</v>
      </c>
      <c r="P194" s="58" t="s">
        <v>997</v>
      </c>
      <c r="S194" s="58"/>
      <c r="T194" s="58"/>
    </row>
    <row r="195" spans="1:20" ht="15" customHeight="1">
      <c r="A195" s="66" t="s">
        <v>998</v>
      </c>
      <c r="B195" s="66" t="s">
        <v>999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1000</v>
      </c>
      <c r="M195" s="66"/>
      <c r="N195" s="58" t="s">
        <v>589</v>
      </c>
      <c r="P195" s="58" t="s">
        <v>1001</v>
      </c>
      <c r="S195" s="58"/>
      <c r="T195" s="58"/>
    </row>
    <row r="196" spans="1:20" ht="15" customHeight="1">
      <c r="A196" s="63" t="s">
        <v>1002</v>
      </c>
      <c r="B196" s="63" t="s">
        <v>1003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1097</v>
      </c>
      <c r="M196" s="63"/>
      <c r="N196" s="58" t="s">
        <v>589</v>
      </c>
      <c r="P196" s="58" t="s">
        <v>1096</v>
      </c>
      <c r="S196" s="58"/>
      <c r="T196" s="58"/>
    </row>
    <row r="197" spans="1:20" ht="15" customHeight="1">
      <c r="A197" s="66" t="s">
        <v>1004</v>
      </c>
      <c r="B197" s="66" t="s">
        <v>1005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679</v>
      </c>
      <c r="P197" s="58" t="s">
        <v>1006</v>
      </c>
      <c r="S197" s="58"/>
      <c r="T197" s="58"/>
    </row>
    <row r="198" spans="1:20" ht="15" customHeight="1">
      <c r="A198" s="63" t="s">
        <v>1007</v>
      </c>
      <c r="B198" s="63" t="s">
        <v>1008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679</v>
      </c>
      <c r="P198" s="58" t="s">
        <v>1009</v>
      </c>
      <c r="S198" s="58"/>
      <c r="T198" s="58"/>
    </row>
    <row r="199" spans="1:20" ht="15" customHeight="1">
      <c r="A199" s="66" t="s">
        <v>1010</v>
      </c>
      <c r="B199" s="63" t="s">
        <v>1011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679</v>
      </c>
      <c r="P199" s="58" t="s">
        <v>1012</v>
      </c>
      <c r="S199" s="58"/>
      <c r="T199" s="58"/>
    </row>
    <row r="200" spans="1:20" ht="30" customHeight="1">
      <c r="A200" s="63" t="s">
        <v>1013</v>
      </c>
      <c r="B200" s="66" t="s">
        <v>1014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1112</v>
      </c>
      <c r="M200" s="63"/>
      <c r="N200" s="58" t="s">
        <v>589</v>
      </c>
      <c r="P200" s="58" t="s">
        <v>1113</v>
      </c>
      <c r="S200" s="58"/>
      <c r="T200" s="58"/>
    </row>
    <row r="201" spans="1:20" ht="15" customHeight="1">
      <c r="A201" s="66" t="s">
        <v>1015</v>
      </c>
      <c r="B201" s="63" t="s">
        <v>1016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1017</v>
      </c>
      <c r="M201" s="66"/>
      <c r="N201" s="58" t="s">
        <v>589</v>
      </c>
      <c r="P201" s="58" t="s">
        <v>1018</v>
      </c>
      <c r="S201" s="58"/>
      <c r="T201" s="58"/>
    </row>
    <row r="202" spans="1:20" ht="15" customHeight="1">
      <c r="A202" s="63" t="s">
        <v>1019</v>
      </c>
      <c r="B202" s="66" t="s">
        <v>1020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1132</v>
      </c>
      <c r="M202" s="63"/>
      <c r="N202" s="58" t="s">
        <v>589</v>
      </c>
      <c r="P202" s="58" t="s">
        <v>1133</v>
      </c>
      <c r="S202" s="58"/>
      <c r="T202" s="58"/>
    </row>
    <row r="203" spans="1:20" ht="15" customHeight="1">
      <c r="A203" s="66" t="s">
        <v>1021</v>
      </c>
      <c r="B203" s="63" t="s">
        <v>1022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1023</v>
      </c>
      <c r="M203" s="66"/>
      <c r="N203" s="58" t="s">
        <v>504</v>
      </c>
      <c r="P203" s="58" t="s">
        <v>1024</v>
      </c>
      <c r="S203" s="58"/>
      <c r="T203" s="58"/>
    </row>
    <row r="204" spans="1:20" ht="15" customHeight="1">
      <c r="A204" s="63" t="s">
        <v>1025</v>
      </c>
      <c r="B204" s="63" t="s">
        <v>1026</v>
      </c>
      <c r="C204" s="63" t="s">
        <v>95</v>
      </c>
      <c r="D204" s="64">
        <v>880</v>
      </c>
      <c r="E204" s="64">
        <v>1350</v>
      </c>
      <c r="F204" s="78">
        <v>1</v>
      </c>
      <c r="G204" s="78">
        <v>2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880</v>
      </c>
      <c r="K204" s="77">
        <f t="shared" si="14"/>
        <v>1760</v>
      </c>
      <c r="L204" s="63" t="s">
        <v>1027</v>
      </c>
      <c r="M204" s="63"/>
      <c r="N204" s="58" t="s">
        <v>589</v>
      </c>
      <c r="P204" s="58" t="s">
        <v>1028</v>
      </c>
      <c r="S204" s="58"/>
      <c r="T204" s="58"/>
    </row>
    <row r="205" spans="1:20" ht="15" customHeight="1">
      <c r="A205" s="66" t="s">
        <v>1029</v>
      </c>
      <c r="B205" s="66" t="s">
        <v>1030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1031</v>
      </c>
      <c r="M205" s="66"/>
      <c r="N205" s="58" t="s">
        <v>679</v>
      </c>
      <c r="P205" s="58" t="s">
        <v>1032</v>
      </c>
      <c r="S205" s="58"/>
      <c r="T205" s="58"/>
    </row>
    <row r="206" spans="1:20" ht="15" customHeight="1">
      <c r="A206" s="63" t="s">
        <v>1033</v>
      </c>
      <c r="B206" s="63" t="s">
        <v>1034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679</v>
      </c>
      <c r="P206" s="58" t="s">
        <v>1035</v>
      </c>
      <c r="S206" s="58"/>
      <c r="T206" s="58"/>
    </row>
    <row r="207" spans="1:20" ht="15" customHeight="1">
      <c r="A207" s="66" t="s">
        <v>1036</v>
      </c>
      <c r="B207" s="66" t="s">
        <v>1037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1038</v>
      </c>
      <c r="M207" s="66"/>
      <c r="N207" s="58" t="s">
        <v>589</v>
      </c>
      <c r="P207" s="58" t="s">
        <v>1039</v>
      </c>
      <c r="S207" s="58"/>
      <c r="T207" s="58"/>
    </row>
    <row r="208" spans="1:20" ht="30" customHeight="1">
      <c r="A208" s="63" t="s">
        <v>1040</v>
      </c>
      <c r="B208" s="63" t="s">
        <v>1041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679</v>
      </c>
      <c r="P208" s="58" t="s">
        <v>1042</v>
      </c>
      <c r="S208" s="58"/>
      <c r="T208" s="58"/>
    </row>
    <row r="209" spans="1:20" ht="15" customHeight="1">
      <c r="A209" s="66" t="s">
        <v>1043</v>
      </c>
      <c r="B209" s="63" t="s">
        <v>1044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1111</v>
      </c>
      <c r="M209" s="66"/>
      <c r="N209" s="58" t="s">
        <v>589</v>
      </c>
      <c r="P209" s="58" t="s">
        <v>1110</v>
      </c>
      <c r="S209" s="58"/>
      <c r="T209" s="58"/>
    </row>
    <row r="210" spans="1:20" ht="15" customHeight="1">
      <c r="A210" s="63" t="s">
        <v>1045</v>
      </c>
      <c r="B210" s="66" t="s">
        <v>1046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679</v>
      </c>
      <c r="P210" s="58" t="s">
        <v>1047</v>
      </c>
      <c r="S210" s="58"/>
      <c r="T210" s="58"/>
    </row>
    <row r="211" spans="1:20" ht="15" customHeight="1">
      <c r="A211" s="66" t="s">
        <v>1048</v>
      </c>
      <c r="B211" s="63" t="s">
        <v>909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679</v>
      </c>
      <c r="P211" s="58" t="s">
        <v>1049</v>
      </c>
      <c r="S211" s="58"/>
      <c r="T211" s="58"/>
    </row>
    <row r="212" spans="1:20" ht="15" customHeight="1">
      <c r="A212" s="63" t="s">
        <v>1050</v>
      </c>
      <c r="B212" s="66" t="s">
        <v>1135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679</v>
      </c>
      <c r="S212" s="58"/>
      <c r="T212" s="58"/>
    </row>
    <row r="213" spans="1:20" ht="15" customHeight="1">
      <c r="A213" s="66" t="s">
        <v>1051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1052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1053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1054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1055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1056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1057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1058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1059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1060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1061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1062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1063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1064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1065</v>
      </c>
      <c r="B1" s="92"/>
    </row>
    <row r="2" spans="1:8" ht="13.5" customHeight="1">
      <c r="A2" s="8" t="s">
        <v>42</v>
      </c>
      <c r="B2" s="8" t="s">
        <v>1066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1067</v>
      </c>
      <c r="C7" s="83" t="s">
        <v>1068</v>
      </c>
      <c r="D7" s="83" t="s">
        <v>1069</v>
      </c>
      <c r="E7" s="83" t="s">
        <v>1070</v>
      </c>
      <c r="F7" s="83" t="s">
        <v>1071</v>
      </c>
      <c r="G7" s="83" t="s">
        <v>1072</v>
      </c>
      <c r="H7" s="83" t="s">
        <v>1073</v>
      </c>
    </row>
    <row r="8" spans="1:8" ht="13.5" customHeight="1">
      <c r="A8" s="9" t="s">
        <v>49</v>
      </c>
      <c r="B8" s="9">
        <f>IFERROR(SUMIF(Purchases!$B:$B,$A8,Purchases!$C:$C),0)</f>
        <v>241906</v>
      </c>
      <c r="C8" s="9">
        <f>SUM($B$8:$B$10)/3</f>
        <v>160947.66666666666</v>
      </c>
      <c r="D8" s="9">
        <f>B8-C8</f>
        <v>80958.333333333343</v>
      </c>
      <c r="E8" s="9">
        <f>IF(Summary!$B$6&gt;0, Summary!$B$6*VLOOKUP($A8,$A$3:$B$5,2,FALSE()),0)</f>
        <v>0</v>
      </c>
      <c r="F8" s="9">
        <f>D8+E8</f>
        <v>80958.333333333343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62654.993333333347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160947.66666666666</v>
      </c>
      <c r="D9" s="11">
        <f>B9-C9</f>
        <v>47389.333333333343</v>
      </c>
      <c r="E9" s="11">
        <f>IF(Summary!$B$6&gt;0, Summary!$B$6*VLOOKUP($A9,$A$3:$B$5,2,FALSE()),0)</f>
        <v>0</v>
      </c>
      <c r="F9" s="11">
        <f>D9+E9</f>
        <v>47389.333333333343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5750.0033333333413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160947.66666666666</v>
      </c>
      <c r="D10" s="9">
        <f>B10-C10</f>
        <v>-128347.66666666666</v>
      </c>
      <c r="E10" s="9">
        <f>IF(Summary!$B$6&gt;0, Summary!$B$6*VLOOKUP($A10,$A$3:$B$5,2,FALSE()),0)</f>
        <v>0</v>
      </c>
      <c r="F10" s="9">
        <f>D10+E10</f>
        <v>-128347.66666666666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-68404.996666666659</v>
      </c>
    </row>
    <row r="12" spans="1:8" s="87" customFormat="1" ht="15.75" customHeight="1">
      <c r="A12" s="93" t="s">
        <v>1074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1075</v>
      </c>
      <c r="C13" s="83" t="s">
        <v>1076</v>
      </c>
      <c r="D13" s="83" t="s">
        <v>1077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1078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1078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1078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1078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1078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1078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1078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1078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1078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1078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1079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1080</v>
      </c>
    </row>
    <row r="3" spans="1:7" s="84" customFormat="1" ht="13.5" customHeight="1">
      <c r="A3" s="83" t="s">
        <v>42</v>
      </c>
      <c r="B3" s="83" t="s">
        <v>1081</v>
      </c>
      <c r="C3" s="83" t="s">
        <v>1066</v>
      </c>
      <c r="D3" s="83" t="s">
        <v>1082</v>
      </c>
      <c r="E3" s="83" t="s">
        <v>1083</v>
      </c>
      <c r="F3" s="83" t="s">
        <v>1084</v>
      </c>
      <c r="G3" s="83" t="s">
        <v>1085</v>
      </c>
    </row>
    <row r="4" spans="1:7" ht="13.5" customHeight="1">
      <c r="A4" s="9" t="s">
        <v>49</v>
      </c>
      <c r="B4" s="9">
        <f>IFERROR(SUMIFS(Sales!$C:$C,Sales!$E:$E,$A4,Sales!$I:$I,"Completed"),0)</f>
        <v>359083</v>
      </c>
      <c r="C4" s="9">
        <f>VLOOKUP($A4,PartnerShares!$A$3:$B$5,2,FALSE())</f>
        <v>0.33339999999999997</v>
      </c>
      <c r="D4" s="9">
        <f>Summary!$B$4*C4</f>
        <v>142107.41579999999</v>
      </c>
      <c r="E4" s="9">
        <f>B4-D4</f>
        <v>216975.58420000001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79665.558199999999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142022.1684</v>
      </c>
      <c r="E5" s="11">
        <f>B5-D5</f>
        <v>-87398.168399999995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-15811.126399999994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142107.41579999999</v>
      </c>
      <c r="E6" s="9">
        <f>B6-D6</f>
        <v>-129577.41579999999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-63854.431799999977</v>
      </c>
    </row>
    <row r="9" spans="1:7" ht="13.5" customHeight="1">
      <c r="A9" s="6" t="s">
        <v>0</v>
      </c>
    </row>
    <row r="10" spans="1:7" ht="13.5" customHeight="1">
      <c r="A10" s="6" t="s">
        <v>1086</v>
      </c>
    </row>
    <row r="11" spans="1:7" ht="13.5" customHeight="1">
      <c r="A11" s="6" t="s">
        <v>1087</v>
      </c>
    </row>
    <row r="12" spans="1:7" ht="13.5" customHeight="1">
      <c r="A12" s="6" t="s">
        <v>1088</v>
      </c>
    </row>
    <row r="13" spans="1:7" ht="13.5" customHeight="1">
      <c r="A13" s="6" t="s">
        <v>1089</v>
      </c>
    </row>
    <row r="14" spans="1:7" ht="13.5" customHeight="1">
      <c r="A14" s="6" t="s">
        <v>1090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2026-07-03T01:10:59Z</dcterms:modified>
  <dc:language>en-US</dc:language>
</cp:coreProperties>
</file>