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0877EBD5-9369-174C-9C54-C9FEB07C1797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5" i="6" l="1"/>
  <c r="I175" i="6"/>
  <c r="J175" i="6" s="1"/>
  <c r="H174" i="6"/>
  <c r="I174" i="6"/>
  <c r="J174" i="6" s="1"/>
  <c r="H172" i="6"/>
  <c r="I172" i="6"/>
  <c r="J172" i="6" s="1"/>
  <c r="H173" i="6"/>
  <c r="I173" i="6"/>
  <c r="K173" i="6" s="1"/>
  <c r="H171" i="6"/>
  <c r="I171" i="6"/>
  <c r="J171" i="6" s="1"/>
  <c r="K171" i="6"/>
  <c r="H170" i="6"/>
  <c r="I170" i="6"/>
  <c r="J170" i="6" s="1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5" i="6" l="1"/>
  <c r="K172" i="6"/>
  <c r="K174" i="6"/>
  <c r="J173" i="6"/>
  <c r="K170" i="6"/>
  <c r="K169" i="6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<sst xmlns="http://schemas.openxmlformats.org/spreadsheetml/2006/main" count="2047" uniqueCount="822">
  <si>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</si>
  <si>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</si>
  <si>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</si>
  <si>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</si>
  <si>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</si>
  <si>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</si>
  <si>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</si>
  <si>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</si>
  <si>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</si>
  <si>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</si>
  <si>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</si>
  <si>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</si>
  <si>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</si>
  <si>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</si>
  <si>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</si>
  <si>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</si>
  <si>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</si>
  <si>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</si>
  <si>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</si>
  <si>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</si>
  <si>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</si>
  <si>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</si>
  <si>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</si>
  <si>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</si>
  <si>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</si>
  <si>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</si>
  <si>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</si>
  <si>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</si>
  <si>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</si>
  <si>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</si>
  <si>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</si>
  <si>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</si>
  <si>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</si>
  <si>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</si>
  <si>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</si>
  <si>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</si>
  <si>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</si>
  <si>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</si>
  <si>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</si>
  <si>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</si>
  <si>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</si>
  <si>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</si>
  <si>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</si>
  <si>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</si>
  <si>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</si>
  <si>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</si>
  <si>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</si>
  <si>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</si>
  <si>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</si>
  <si>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</si>
  <si>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</si>
  <si>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</si>
  <si>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</si>
  <si>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</si>
  <si>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</si>
  <si>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</si>
  <si>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</si>
  <si>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</si>
  <si>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</si>
  <si>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</si>
  <si>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</si>
  <si>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</si>
  <si>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</si>
  <si>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</si>
  <si>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</si>
  <si>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</si>
  <si>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</si>
  <si>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</si>
  <si>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</si>
  <si>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</si>
  <si>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</si>
  <si>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</si>
  <si>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</si>
  <si>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</si>
  <si>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</si>
  <si>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</si>
  <si>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</si>
  <si>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</si>
  <si>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</si>
  <si>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</si>
  <si>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</si>
  <si>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</si>
  <si>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</si>
  <si>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</si>
  <si>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</si>
  <si>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</si>
  <si>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</si>
  <si>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</si>
  <si>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</si>
  <si>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</si>
  <si>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</si>
  <si>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</si>
  <si>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</si>
  <si>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</si>
  <si>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</si>
  <si>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</si>
  <si>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</si>
  <si>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</si>
  <si>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</si>
  <si>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</si>
  <si>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</si>
  <si>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</si>
  <si>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</si>
  <si>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</si>
  <si>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</si>
  <si>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</si>
  <si>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</si>
  <si>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</si>
  <si>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</si>
  <si>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</si>
  <si>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</si>
  <si>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</si>
  <si>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</si>
  <si>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</si>
  <si>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</si>
  <si>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</si>
  <si>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</si>
  <si>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</si>
  <si>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</si>
  <si>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</si>
  <si>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</si>
  <si>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</si>
  <si>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</si>
  <si>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</si>
  <si>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</si>
  <si>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</si>
  <si>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</si>
  <si>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</si>
  <si>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</si>
  <si>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</si>
  <si>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</si>
  <si>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</si>
  <si>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</si>
  <si>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</si>
  <si>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</si>
  <si>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</si>
  <si>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</si>
  <si>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</si>
  <si>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</si>
  <si>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</si>
  <si>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</si>
  <si>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</si>
  <si>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</si>
  <si>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</si>
  <si>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</si>
  <si>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</si>
  <si>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</si>
  <si>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</si>
  <si>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</si>
  <si>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</si>
  <si>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</si>
  <si>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</si>
  <si>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</si>
  <si>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</si>
  <si>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</si>
  <si>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</si>
  <si>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</si>
  <si>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</si>
  <si>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</si>
  <si>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</si>
  <si>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</si>
  <si>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</si>
  <si>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</si>
  <si>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</si>
  <si>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</si>
  <si>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</si>
  <si>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</si>
  <si>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</si>
  <si>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</si>
  <si>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</si>
  <si>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</si>
  <si>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</si>
  <si>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</si>
  <si>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</si>
  <si>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</si>
  <si>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</si>
  <si>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</si>
  <si>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</si>
  <si>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</si>
  <si>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</si>
  <si>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</si>
  <si>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</si>
  <si>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</si>
  <si>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</si>
  <si>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</si>
  <si>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</si>
  <si>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</si>
  <si>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</si>
  <si>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</si>
  <si>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</si>
  <si>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</si>
  <si>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</si>
  <si>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</si>
  <si>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</si>
  <si>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</si>
  <si>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</si>
  <si>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</si>
  <si>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</si>
  <si>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</si>
  <si>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</si>
  <si>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</si>
  <si>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</si>
  <si>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</si>
  <si>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</si>
  <si>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</si>
  <si>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</si>
  <si>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</si>
  <si>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</si>
  <si>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</si>
  <si>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</si>
  <si>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</si>
  <si>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</si>
  <si>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</si>
  <si>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</si>
  <si>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</si>
  <si>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</si>
  <si>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</si>
  <si>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</si>
  <si>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</si>
  <si>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</si>
  <si>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</si>
  <si>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</si>
  <si>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</si>
  <si>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</si>
  <si>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</si>
  <si>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</si>
  <si>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</si>
  <si>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</si>
  <si>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</si>
  <si>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</si>
  <si>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</si>
  <si>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</si>
  <si>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</si>
  <si>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</si>
  <si>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</si>
  <si>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</si>
  <si>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</si>
  <si>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</si>
  <si>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</si>
  <si>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</si>
  <si>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</si>
  <si>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</si>
  <si>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</si>
  <si>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</si>
  <si>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</si>
  <si>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</si>
  <si>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</si>
  <si>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</si>
  <si>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</si>
  <si>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</si>
  <si>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</si>
  <si>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</si>
  <si>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</si>
  <si>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</si>
  <si>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</si>
  <si>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</si>
  <si>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</si>
  <si>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</si>
  <si>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</si>
  <si>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</si>
  <si>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</si>
  <si>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</si>
  <si>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</si>
  <si>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</si>
  <si>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</si>
  <si>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</si>
  <si>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</si>
  <si>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</si>
  <si>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</si>
  <si>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</si>
  <si>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</si>
  <si>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</si>
  <si>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</si>
  <si>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</si>
  <si>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</si>
  <si>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</si>
  <si>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</si>
  <si>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</si>
  <si>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</si>
  <si>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</si>
  <si>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</si>
  <si>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</si>
  <si>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</si>
  <si>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</si>
  <si>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</si>
  <si>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</si>
  <si>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</si>
  <si>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</si>
  <si>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</si>
  <si>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</si>
  <si>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</si>
  <si>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</si>
  <si>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</si>
  <si>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</si>
  <si>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</si>
  <si>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</si>
  <si>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</si>
  <si>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</si>
  <si>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</si>
  <si>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</si>
  <si>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</si>
  <si>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</si>
  <si>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</si>
  <si>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</si>
  <si>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</si>
  <si>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</si>
  <si>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</si>
  <si>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</si>
  <si>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</si>
  <si>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</si>
  <si>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</si>
  <si>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</si>
  <si>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</si>
  <si>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</si>
  <si>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</si>
  <si>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</si>
  <si>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</si>
  <si>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</si>
  <si>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</si>
  <si>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</si>
  <si>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</si>
  <si>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</si>
  <si>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</si>
  <si>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</si>
  <si>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</si>
  <si>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</si>
  <si>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</si>
  <si>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</si>
  <si>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</si>
  <si>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</si>
  <si>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</si>
  <si>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</si>
  <si>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</si>
  <si>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</si>
  <si>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</si>
  <si>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</si>
  <si>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</si>
  <si>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</si>
  <si>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</si>
  <si>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</si>
  <si>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</si>
  <si>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</si>
  <si>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</si>
  <si>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</si>
  <si>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</si>
  <si>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</si>
  <si>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</si>
  <si>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</si>
  <si>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</si>
  <si>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</si>
  <si>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</si>
  <si>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</si>
  <si>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</si>
  <si>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</si>
  <si>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</si>
  <si>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</si>
  <si>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</si>
  <si>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</si>
  <si>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</si>
  <si>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</si>
  <si>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</si>
  <si>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</si>
  <si>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</si>
  <si>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</si>
  <si>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</si>
  <si>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</si>
  <si>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</si>
  <si>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</si>
  <si>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</si>
  <si>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</si>
  <si>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</si>
  <si>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</si>
  <si>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</si>
  <si>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</si>
  <si>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</si>
  <si>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</si>
  <si>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</si>
  <si>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</si>
  <si>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</si>
  <si>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</si>
  <si>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</si>
  <si>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</si>
  <si>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</si>
  <si>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</si>
  <si>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</si>
  <si>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</si>
  <si>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</si>
  <si>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</si>
  <si>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</si>
  <si>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</si>
  <si>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</si>
  <si>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</si>
  <si>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</si>
  <si>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</si>
  <si>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</si>
  <si>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</si>
  <si>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</si>
  <si>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</si>
  <si>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</si>
  <si>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</si>
  <si>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</si>
  <si>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</si>
  <si>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</si>
  <si>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</si>
  <si>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</si>
  <si>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</si>
  <si>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</si>
  <si>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</si>
  <si>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</si>
  <si>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</si>
  <si>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</si>
  <si>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</si>
  <si>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</si>
  <si>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</si>
  <si>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</si>
  <si>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</si>
  <si>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</si>
  <si>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</si>
  <si>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</si>
  <si>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</si>
  <si>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</si>
  <si>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</si>
  <si>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</si>
  <si>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</si>
  <si>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</si>
  <si>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</si>
  <si>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</si>
  <si>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</si>
  <si>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</si>
  <si>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</si>
  <si>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</si>
  <si>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</si>
  <si>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</si>
  <si>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</si>
  <si>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</si>
  <si>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</si>
  <si>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</si>
  <si>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</si>
  <si>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</si>
  <si>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</si>
  <si>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</si>
  <si>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</si>
  <si>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</si>
  <si>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</si>
  <si>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</si>
  <si>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</si>
  <si>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</si>
  <si>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</si>
  <si>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</si>
  <si>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</si>
  <si>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</si>
  <si>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</si>
  <si>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</si>
  <si>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</si>
  <si>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</si>
  <si>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</si>
  <si>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</si>
  <si>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</si>
  <si>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</si>
  <si>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</si>
  <si>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</si>
  <si>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</si>
  <si>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</si>
  <si>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</si>
  <si>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</si>
  <si>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</si>
  <si>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</si>
  <si>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</si>
  <si>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</si>
  <si>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</si>
  <si>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</si>
  <si>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</si>
  <si>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</si>
  <si>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</si>
  <si>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</si>
  <si>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</si>
  <si>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</si>
  <si>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</si>
  <si>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</si>
  <si>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</si>
  <si>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</si>
  <si>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</si>
  <si>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</si>
  <si>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</si>
  <si>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</si>
  <si>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</si>
  <si>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</si>
  <si>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</si>
  <si>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</si>
  <si>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</si>
  <si>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</si>
  <si>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</si>
  <si>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</si>
  <si>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</si>
  <si>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</si>
  <si>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</si>
  <si>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</si>
  <si>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</si>
  <si>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</si>
  <si>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</si>
  <si>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</si>
  <si>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</si>
  <si>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</si>
  <si>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</si>
  <si>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</si>
  <si>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</si>
  <si>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</si>
  <si>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</si>
  <si>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</si>
  <si>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</si>
  <si>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</si>
  <si>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</si>
  <si>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</si>
  <si>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</si>
  <si>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</si>
  <si>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</si>
  <si>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</si>
  <si>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</si>
  <si>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</si>
  <si>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</si>
  <si>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</si>
  <si>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</si>
  <si>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</si>
  <si>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</si>
  <si>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</si>
  <si>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</si>
  <si>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</si>
  <si>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</si>
  <si>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</si>
  <si>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</si>
  <si>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</si>
  <si>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</si>
  <si>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</si>
  <si>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</si>
  <si>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</si>
  <si>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</si>
  <si>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</si>
  <si>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</si>
  <si>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</si>
  <si>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</si>
  <si>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</si>
  <si>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</si>
  <si>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</si>
  <si>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</si>
  <si>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</si>
  <si>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</si>
  <si>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</si>
  <si>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</si>
  <si>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</si>
  <si>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</si>
  <si>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</si>
  <si>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</si>
  <si>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</si>
  <si>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</si>
  <si>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</si>
  <si>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</si>
  <si>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</si>
  <si>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</si>
  <si>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</si>
  <si>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</si>
  <si>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</si>
  <si>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</si>
  <si>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</si>
  <si>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</si>
  <si>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</si>
  <si>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</si>
  <si>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</si>
  <si>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</si>
  <si>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</si>
  <si>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</si>
  <si>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</si>
  <si>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</si>
  <si>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</si>
  <si>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</si>
  <si>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</si>
  <si>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</si>
  <si>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</si>
  <si>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</si>
  <si>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</si>
  <si>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</si>
  <si>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</si>
  <si>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</si>
  <si>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</si>
  <si>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</si>
  <si>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</si>
  <si>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</si>
  <si>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</si>
  <si>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</si>
  <si>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</si>
  <si>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</si>
  <si>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</si>
  <si>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</si>
  <si>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</si>
  <si>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</si>
  <si>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</si>
  <si>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</si>
  <si>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</si>
  <si>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</si>
  <si>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</si>
  <si>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</si>
  <si>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</si>
  <si>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</si>
  <si>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</si>
  <si>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</si>
  <si>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</si>
  <si>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</si>
  <si>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</si>
  <si>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</si>
  <si>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</si>
  <si>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</si>
  <si>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</si>
  <si>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</si>
  <si>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</si>
  <si>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</si>
  <si>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</si>
  <si>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</si>
  <si>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</si>
  <si>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</si>
  <si>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</si>
  <si>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</si>
  <si>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</si>
  <si>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</si>
  <si>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</si>
  <si>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</si>
  <si>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</si>
  <si>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</si>
  <si>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</si>
  <si>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</si>
  <si>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</si>
  <si>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</si>
  <si>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</si>
  <si>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</si>
  <si>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</si>
  <si>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</si>
  <si>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</si>
  <si>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</si>
  <si>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</si>
  <si>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</si>
  <si>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</si>
  <si>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</si>
  <si>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</si>
  <si>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</si>
  <si>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</si>
  <si>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</si>
  <si>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</si>
  <si>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</si>
  <si>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</si>
  <si>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</si>
  <si>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</si>
  <si>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</si>
  <si>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</si>
  <si>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</si>
  <si>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</si>
  <si>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</si>
  <si>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</si>
  <si>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</si>
  <si>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</si>
  <si>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</si>
  <si>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</si>
  <si>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</si>
  <si>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</si>
  <si>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</si>
  <si>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</si>
  <si>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</si>
  <si>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</si>
  <si>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</si>
  <si>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</si>
  <si>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</si>
  <si>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</si>
  <si>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</si>
  <si>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</si>
  <si>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</si>
  <si>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</si>
  <si>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</si>
  <si>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</si>
  <si>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</si>
  <si>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</si>
  <si>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</si>
  <si>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</si>
  <si>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</si>
  <si>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</si>
  <si>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</si>
  <si>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</si>
  <si>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</si>
  <si>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</si>
  <si>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</si>
  <si>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</si>
  <si>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</si>
  <si>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</si>
  <si>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</si>
  <si>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</si>
  <si>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</si>
  <si>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</si>
  <si>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</si>
  <si>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</si>
  <si>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</si>
  <si>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</si>
  <si>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</si>
  <si>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</si>
  <si>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</si>
  <si>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</si>
  <si>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</si>
  <si>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</si>
  <si>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</si>
  <si>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</si>
  <si>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</si>
  <si>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</si>
  <si>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</si>
  <si>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</si>
  <si>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</si>
  <si>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</si>
  <si>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</si>
  <si>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</si>
  <si>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</si>
  <si>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</si>
  <si>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</si>
  <si>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</si>
  <si>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</si>
  <si>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</si>
  <si>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</si>
  <si>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</si>
  <si>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</si>
  <si>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</si>
  <si>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</si>
  <si>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</si>
  <si>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</si>
  <si>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</si>
  <si>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</si>
  <si>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</si>
  <si>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</si>
  <si>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</si>
  <si>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</si>
  <si>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</si>
  <si>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</si>
  <si>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</si>
  <si>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</si>
  <si>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</si>
  <si>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</si>
  <si>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</si>
  <si>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</si>
  <si>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</si>
  <si>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</si>
  <si>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</si>
  <si>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</si>
  <si>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</si>
  <si>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</si>
  <si>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</si>
  <si>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</si>
  <si>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</si>
  <si>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</si>
  <si>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</si>
  <si>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</si>
  <si>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</si>
  <si>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</si>
  <si>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</si>
  <si>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</si>
  <si>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</si>
  <si>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</si>
  <si>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</si>
  <si>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</si>
  <si>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</si>
  <si>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</si>
  <si>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</si>
  <si>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</si>
  <si>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</si>
  <si>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</si>
  <si>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</si>
  <si>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</si>
  <si>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</si>
  <si>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</si>
  <si>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</si>
  <si>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</si>
  <si>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</si>
  <si>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</si>
  <si>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</si>
  <si>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</si>
  <si>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</si>
  <si>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</si>
  <si>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</si>
  <si>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</si>
  <si>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</si>
  <si>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</si>
  <si>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</si>
  <si>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</si>
  <si>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</si>
  <si>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</si>
  <si>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</si>
  <si>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</si>
  <si>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</si>
  <si>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</si>
  <si>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Dark biege with bottle green, Biege Maroon combination, Green</t>
  </si>
  <si>
    <t>Rajna - 740, Malini - 980, Baby Khadeeja - 980</t>
  </si>
  <si>
    <t>Shinoob - 1100, Sruthi - 1100</t>
  </si>
  <si>
    <t>Green Cotton Silk (CHR-88)</t>
  </si>
  <si>
    <t>Swapna Binu(Thrisurr)</t>
  </si>
  <si>
    <t>Yellow Green (CHR-146)</t>
  </si>
  <si>
    <t>CHR-170</t>
  </si>
  <si>
    <t>Kerala Saree Temple design</t>
  </si>
  <si>
    <t>CHR-171</t>
  </si>
  <si>
    <t>Kerala Saree Kathakali</t>
  </si>
  <si>
    <t>Kerala Saree floral embroidery</t>
  </si>
  <si>
    <t>CHR-172</t>
  </si>
  <si>
    <t>CHR-173</t>
  </si>
  <si>
    <t>Sungudi Saree (Alice Christy inspired)</t>
  </si>
  <si>
    <t>Rani Pink(1), Jet Black(2), Maroon(3), Dark Green(1), navy Blue (2), Off white (1)</t>
  </si>
  <si>
    <t>Matka Silk Saree collections - old design</t>
  </si>
  <si>
    <t>CHR-174</t>
  </si>
  <si>
    <t>Matka Silk Saree collections - new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</si>
  <si>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</si>
  <si>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</si>
  <si>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Peacok Blue/Maroon - 3
Purple/Green - 1
Navy Blue/Maroon - 3
Maroon/Navy Blue - 1
Lavender/Violet - 1
Grey/Blue - 1</t>
  </si>
  <si>
    <t>Banarasi Sarees with Paisley motifs</t>
  </si>
  <si>
    <t>Chokda Rust Orange, Dolla</t>
  </si>
  <si>
    <t>Ranju(1000)</t>
  </si>
  <si>
    <t>burned orange (lotus)</t>
  </si>
  <si>
    <t>Sreeja -Green:1250, Ranju - rust orange:1000</t>
  </si>
  <si>
    <t>Jute Silk Checked Saree</t>
  </si>
  <si>
    <t xml:space="preserve">Khadi Cotton Saree (Jar Border)  </t>
  </si>
  <si>
    <t>Narayanpet sarees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</si>
  <si>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</si>
  <si>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Rasha Suresh (PKD)</t>
  </si>
  <si>
    <t>Banarasi Rust 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</si>
</sst>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wrapText="1"/>
    </xf>
    <xf numFmtId="0" fontId="4" fillId="7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136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83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60679.093333333331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21469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-17927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214</c:v>
                </c:pt>
                <c:pt idx="1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2" sqref="B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318687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264051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268581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-54636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2121.66</v>
      </c>
      <c r="C10" s="9"/>
    </row>
    <row r="11" spans="1:6" ht="13.5" customHeight="1">
      <c r="A11" s="11" t="s">
        <v>50</v>
      </c>
      <c r="B11" s="14">
        <f>PartnerShares!H9</f>
        <v>11564.669999999998</v>
      </c>
      <c r="C11" s="11"/>
    </row>
    <row r="12" spans="1:6" ht="13.5" customHeight="1">
      <c r="A12" s="9" t="s">
        <v>51</v>
      </c>
      <c r="B12" s="13">
        <f>PartnerShares!H10</f>
        <v>-13686.330000000002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126654</v>
      </c>
      <c r="C18" s="10">
        <f>PartnerShares!C8</f>
        <v>106229</v>
      </c>
      <c r="D18" s="10">
        <f>PartnerShares!D8</f>
        <v>20425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2121.66</v>
      </c>
      <c r="G18" s="17" t="str">
        <f>IF(ROUND(F18,0)&gt;0,"Receive ₹"&amp;TEXT(ABS(F18),"#,##0"),IF(ROUND(F18,0)&lt;0,"Pay ₹"&amp;TEXT(ABS(F18),"#,##0"),"✓ Settled"))</f>
        <v>Receive ₹2,122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106229</v>
      </c>
      <c r="D19" s="12">
        <f>PartnerShares!D9</f>
        <v>53204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11564.669999999998</v>
      </c>
      <c r="G19" s="19" t="str">
        <f>IF(ROUND(F19,0)&gt;0,"Receive ₹"&amp;TEXT(ABS(F19),"#,##0"),IF(ROUND(F19,0)&lt;0,"Pay ₹"&amp;TEXT(ABS(F19),"#,##0"),"✓ Settled"))</f>
        <v>Receive ₹11,565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106229</v>
      </c>
      <c r="D20" s="10">
        <f>PartnerShares!D10</f>
        <v>-73629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-13686.330000000002</v>
      </c>
      <c r="G20" s="19" t="str">
        <f>IF(ROUND(F20,0)&gt;0,"Receive ₹"&amp;TEXT(ABS(F20),"#,##0"),IF(ROUND(F20,0)&lt;0,"Pay ₹"&amp;TEXT(ABS(F20),"#,##0"),"✓ Settled"))</f>
        <v>Pay ₹13,686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243102</v>
      </c>
      <c r="C26" s="10">
        <f>'Cash Pool'!D4</f>
        <v>88034.603399999993</v>
      </c>
      <c r="D26" s="10">
        <f>'Cash Pool'!E4</f>
        <v>155067.39660000001</v>
      </c>
      <c r="E26" s="10">
        <f>'Cash Pool'!F4</f>
        <v>-137310.02600000001</v>
      </c>
      <c r="F26" s="13">
        <f>'Cash Pool'!G4</f>
        <v>17757.370599999995</v>
      </c>
      <c r="G26" s="19" t="str">
        <f>IF(ROUND(F26,0)&gt;0,"Pay ₹"&amp;TEXT(ABS(F26),"#,##0"),IF(ROUND(F26,0)&lt;0,"Receive ₹"&amp;TEXT(ABS(F26),"#,##0"),"✓ Settled"))</f>
        <v>Pay ₹17,757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87981.7932</v>
      </c>
      <c r="D27" s="12">
        <f>'Cash Pool'!E5</f>
        <v>-79562.7932</v>
      </c>
      <c r="E27" s="12">
        <f>'Cash Pool'!F5</f>
        <v>71587.042000000001</v>
      </c>
      <c r="F27" s="14">
        <f>'Cash Pool'!G5</f>
        <v>-7975.7511999999988</v>
      </c>
      <c r="G27" s="20" t="str">
        <f>IF(ROUND(F27,0)&gt;0,"Pay ₹"&amp;TEXT(ABS(F27),"#,##0"),IF(ROUND(F27,0)&lt;0,"Receive ₹"&amp;TEXT(ABS(F27),"#,##0"),"✓ Settled"))</f>
        <v>Receive ₹7,976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88034.603399999993</v>
      </c>
      <c r="D28" s="10">
        <f>'Cash Pool'!E6</f>
        <v>-75504.603399999993</v>
      </c>
      <c r="E28" s="10">
        <f>'Cash Pool'!F6</f>
        <v>65722.984000000011</v>
      </c>
      <c r="F28" s="13">
        <f>'Cash Pool'!G6</f>
        <v>-9781.6193999999814</v>
      </c>
      <c r="G28" s="17" t="str">
        <f>IF(ROUND(F28,0)&gt;0,"Pay ₹"&amp;TEXT(ABS(F28),"#,##0"),IF(ROUND(F28,0)&lt;0,"Receive ₹"&amp;TEXT(ABS(F28),"#,##0"),"✓ Settled"))</f>
        <v>Receive ₹9,782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46127</v>
      </c>
    </row>
    <row r="5" spans="1:8" ht="15" customHeight="1">
      <c r="A5" s="21" t="s">
        <v>41</v>
      </c>
      <c r="B5" s="23">
        <f>Summary!B3</f>
        <v>318687</v>
      </c>
      <c r="D5" s="21" t="s">
        <v>69</v>
      </c>
      <c r="E5" s="23">
        <f>Summary!B4</f>
        <v>264051</v>
      </c>
    </row>
    <row r="6" spans="1:8" ht="15" customHeight="1">
      <c r="A6" s="21" t="s">
        <v>70</v>
      </c>
      <c r="B6" s="23">
        <f>Summary!B6</f>
        <v>-54636</v>
      </c>
      <c r="D6" s="21" t="s">
        <v>71</v>
      </c>
      <c r="E6" s="23">
        <f>SUMIFS(INVENTORY!K:K, INVENTORY!N:N, "&lt;&gt;Sold Out")</f>
        <v>131374.09333333332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214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156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39396</v>
      </c>
      <c r="C13" s="29">
        <f>IFERROR(SUMPRODUCT((TEXT(Sales!$A$2:$A$997,"MMM")=$A13)*(YEAR(Sales!$A$2:$A$997)=$B$7)*Sales!$C$2:$C$997),0)</f>
        <v>21469</v>
      </c>
      <c r="D13" s="29">
        <f t="shared" si="0"/>
        <v>-17927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136</v>
      </c>
      <c r="H47" s="32">
        <f>SUMIF(INVENTORY!C:C, F47, INVENTORY!G:G)</f>
        <v>83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60679.093333333331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C61" sqref="C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780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50</v>
      </c>
      <c r="C63" s="42">
        <v>24251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tabSelected="1" zoomScale="130" zoomScaleNormal="130" workbookViewId="0">
      <pane ySplit="1" topLeftCell="A132" activePane="bottomLeft" state="frozen"/>
      <selection pane="bottomLeft" activeCell="J155" sqref="J155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755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311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750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751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756</v>
      </c>
      <c r="I141" s="50" t="s">
        <v>139</v>
      </c>
    </row>
    <row r="142" spans="1:9" ht="16">
      <c r="A142" s="53">
        <v>46119</v>
      </c>
      <c r="B142" s="54" t="s">
        <v>757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758</v>
      </c>
      <c r="I142" s="54" t="s">
        <v>139</v>
      </c>
    </row>
    <row r="143" spans="1:9">
      <c r="A143" s="49">
        <v>46120</v>
      </c>
      <c r="B143" s="50" t="s">
        <v>759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760</v>
      </c>
      <c r="I143" s="50" t="s">
        <v>139</v>
      </c>
    </row>
    <row r="144" spans="1:9" ht="16">
      <c r="A144" s="53">
        <v>46120</v>
      </c>
      <c r="B144" s="54" t="s">
        <v>762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763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773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782</v>
      </c>
      <c r="I146" s="54" t="s">
        <v>311</v>
      </c>
    </row>
    <row r="147" spans="1:9">
      <c r="A147" s="49">
        <v>46122</v>
      </c>
      <c r="B147" s="50" t="s">
        <v>784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783</v>
      </c>
      <c r="I147" s="50" t="s">
        <v>139</v>
      </c>
    </row>
    <row r="148" spans="1:9" ht="16">
      <c r="A148" s="53">
        <v>46122</v>
      </c>
      <c r="B148" s="54" t="s">
        <v>787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786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766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793</v>
      </c>
      <c r="I150" s="54" t="s">
        <v>139</v>
      </c>
    </row>
    <row r="151" spans="1:9">
      <c r="A151" s="49">
        <v>46125</v>
      </c>
      <c r="B151" s="50" t="s">
        <v>794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795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773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773</v>
      </c>
      <c r="I153" s="50" t="s">
        <v>139</v>
      </c>
    </row>
    <row r="154" spans="1:9" ht="16">
      <c r="A154" s="53">
        <v>46126</v>
      </c>
      <c r="B154" s="54" t="s">
        <v>190</v>
      </c>
      <c r="C154" s="55">
        <v>2000</v>
      </c>
      <c r="D154" s="54" t="s">
        <v>141</v>
      </c>
      <c r="E154" s="54" t="s">
        <v>49</v>
      </c>
      <c r="F154" s="57"/>
      <c r="G154" s="57"/>
      <c r="H154" s="58" t="s">
        <v>812</v>
      </c>
      <c r="I154" s="54" t="s">
        <v>139</v>
      </c>
    </row>
    <row r="155" spans="1:9">
      <c r="A155" s="49">
        <v>46127</v>
      </c>
      <c r="B155" s="50" t="s">
        <v>820</v>
      </c>
      <c r="C155" s="51">
        <v>1299</v>
      </c>
      <c r="D155" s="50" t="s">
        <v>153</v>
      </c>
      <c r="E155" s="50" t="s">
        <v>49</v>
      </c>
      <c r="F155" s="50"/>
      <c r="G155" s="50"/>
      <c r="H155" s="52" t="s">
        <v>821</v>
      </c>
      <c r="I155" s="50" t="s">
        <v>139</v>
      </c>
    </row>
    <row r="156" spans="1:9">
      <c r="A156" s="53"/>
      <c r="B156" s="54"/>
      <c r="C156" s="55"/>
      <c r="D156" s="54"/>
      <c r="E156" s="54"/>
      <c r="F156" s="57"/>
      <c r="G156" s="57"/>
      <c r="H156" s="58"/>
      <c r="I156" s="54"/>
    </row>
    <row r="157" spans="1:9">
      <c r="A157" s="49"/>
      <c r="B157" s="50"/>
      <c r="C157" s="51"/>
      <c r="D157" s="50"/>
      <c r="E157" s="50"/>
      <c r="F157" s="50"/>
      <c r="G157" s="50"/>
      <c r="H157" s="52"/>
      <c r="I157" s="50"/>
    </row>
    <row r="158" spans="1:9">
      <c r="A158" s="53"/>
      <c r="B158" s="54"/>
      <c r="C158" s="55"/>
      <c r="D158" s="54"/>
      <c r="E158" s="54"/>
      <c r="F158" s="57"/>
      <c r="G158" s="57"/>
      <c r="H158" s="58"/>
      <c r="I158" s="54"/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topLeftCell="B1" zoomScaleNormal="100" workbookViewId="0">
      <pane ySplit="1" topLeftCell="A98" activePane="bottomLeft" state="frozen"/>
      <selection pane="bottomLeft" activeCell="B116" sqref="B116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6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</row>
    <row r="2" spans="1:246" s="66" customFormat="1" ht="15">
      <c r="A2" s="83" t="s">
        <v>335</v>
      </c>
      <c r="B2" s="83" t="s">
        <v>336</v>
      </c>
      <c r="C2" s="83" t="s">
        <v>95</v>
      </c>
      <c r="D2" s="84">
        <v>779</v>
      </c>
      <c r="E2" s="84">
        <v>1250</v>
      </c>
      <c r="F2" s="84">
        <v>1</v>
      </c>
      <c r="G2" s="84">
        <v>0</v>
      </c>
      <c r="H2" s="83">
        <f t="shared" ref="H2:H33" si="0">F2+IF(LEN(G2)=0,0,G2)</f>
        <v>1</v>
      </c>
      <c r="I2" s="83">
        <f>IF(D2&lt;&gt;"",D2,IFERROR(E2/(IFERROR(SUM(Sales!C:C),0))*(IFERROR(SUM(Purchases!C:C),0)),0))</f>
        <v>779</v>
      </c>
      <c r="J2" s="83">
        <f t="shared" ref="J2:J33" si="1">F2*I2</f>
        <v>779</v>
      </c>
      <c r="K2" s="83">
        <f t="shared" ref="K2:K33" si="2">IF(LEN(G2)=0,0,G2)*I2</f>
        <v>0</v>
      </c>
      <c r="L2" s="83" t="s">
        <v>137</v>
      </c>
      <c r="M2" s="83" t="s">
        <v>49</v>
      </c>
      <c r="N2" s="83" t="s">
        <v>337</v>
      </c>
      <c r="O2" s="83"/>
      <c r="P2" s="83"/>
      <c r="Q2" s="83"/>
      <c r="R2" s="83"/>
      <c r="S2" s="83"/>
      <c r="T2" s="8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</row>
    <row r="3" spans="1:246" ht="15">
      <c r="A3" s="78" t="s">
        <v>338</v>
      </c>
      <c r="B3" s="78" t="s">
        <v>339</v>
      </c>
      <c r="C3" s="78" t="s">
        <v>95</v>
      </c>
      <c r="D3" s="85">
        <v>1096</v>
      </c>
      <c r="E3" s="85">
        <v>1600</v>
      </c>
      <c r="F3" s="85">
        <v>1</v>
      </c>
      <c r="G3" s="85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3" t="s">
        <v>340</v>
      </c>
      <c r="B4" s="83" t="s">
        <v>341</v>
      </c>
      <c r="C4" s="83" t="s">
        <v>95</v>
      </c>
      <c r="D4" s="84">
        <v>1048</v>
      </c>
      <c r="E4" s="84">
        <v>2000</v>
      </c>
      <c r="F4" s="84">
        <v>1</v>
      </c>
      <c r="G4" s="84">
        <v>0</v>
      </c>
      <c r="H4" s="83">
        <f t="shared" si="0"/>
        <v>1</v>
      </c>
      <c r="I4" s="83">
        <f>IF(D4&lt;&gt;"",D4,IFERROR(E4/(IFERROR(SUM(Sales!C:C),0))*(IFERROR(SUM(Purchases!C:C),0)),0))</f>
        <v>1048</v>
      </c>
      <c r="J4" s="83">
        <f t="shared" si="1"/>
        <v>1048</v>
      </c>
      <c r="K4" s="83">
        <f t="shared" si="2"/>
        <v>0</v>
      </c>
      <c r="L4" s="83" t="s">
        <v>143</v>
      </c>
      <c r="M4" s="83" t="s">
        <v>49</v>
      </c>
      <c r="N4" s="83" t="s">
        <v>337</v>
      </c>
      <c r="O4" s="83"/>
      <c r="P4" s="83"/>
      <c r="Q4" s="83"/>
      <c r="R4" s="83"/>
      <c r="S4" s="83"/>
      <c r="T4" s="83"/>
    </row>
    <row r="5" spans="1:246" ht="15">
      <c r="A5" s="78" t="s">
        <v>342</v>
      </c>
      <c r="B5" s="78" t="s">
        <v>343</v>
      </c>
      <c r="C5" s="78" t="s">
        <v>95</v>
      </c>
      <c r="D5" s="85">
        <v>887</v>
      </c>
      <c r="E5" s="85">
        <v>1600</v>
      </c>
      <c r="F5" s="85">
        <v>1</v>
      </c>
      <c r="G5" s="85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3" t="s">
        <v>344</v>
      </c>
      <c r="B6" s="83" t="s">
        <v>345</v>
      </c>
      <c r="C6" s="83" t="s">
        <v>95</v>
      </c>
      <c r="D6" s="84">
        <v>372</v>
      </c>
      <c r="E6" s="84">
        <v>750</v>
      </c>
      <c r="F6" s="84">
        <v>1</v>
      </c>
      <c r="G6" s="84">
        <v>0</v>
      </c>
      <c r="H6" s="83">
        <f t="shared" si="0"/>
        <v>1</v>
      </c>
      <c r="I6" s="83">
        <f>IF(D6&lt;&gt;"",D6,IFERROR(E6/(IFERROR(SUM(Sales!C:C),0))*(IFERROR(SUM(Purchases!C:C),0)),0))</f>
        <v>372</v>
      </c>
      <c r="J6" s="83">
        <f t="shared" si="1"/>
        <v>372</v>
      </c>
      <c r="K6" s="83">
        <f t="shared" si="2"/>
        <v>0</v>
      </c>
      <c r="L6" s="83" t="s">
        <v>346</v>
      </c>
      <c r="M6" s="83" t="s">
        <v>49</v>
      </c>
      <c r="N6" s="83" t="s">
        <v>337</v>
      </c>
      <c r="O6" s="83"/>
      <c r="P6" s="83"/>
      <c r="Q6" s="83"/>
      <c r="R6" s="83"/>
      <c r="S6" s="83"/>
      <c r="T6" s="83"/>
    </row>
    <row r="7" spans="1:246" ht="15">
      <c r="A7" s="78" t="s">
        <v>347</v>
      </c>
      <c r="B7" s="78" t="s">
        <v>348</v>
      </c>
      <c r="C7" s="78" t="s">
        <v>95</v>
      </c>
      <c r="D7" s="85">
        <v>625</v>
      </c>
      <c r="E7" s="85">
        <v>1000</v>
      </c>
      <c r="F7" s="85">
        <v>1</v>
      </c>
      <c r="G7" s="85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3" t="s">
        <v>349</v>
      </c>
      <c r="B8" s="83" t="s">
        <v>350</v>
      </c>
      <c r="C8" s="83" t="s">
        <v>95</v>
      </c>
      <c r="D8" s="84">
        <v>1559</v>
      </c>
      <c r="E8" s="84">
        <v>2600</v>
      </c>
      <c r="F8" s="84">
        <v>1</v>
      </c>
      <c r="G8" s="84">
        <v>0</v>
      </c>
      <c r="H8" s="83">
        <f t="shared" si="0"/>
        <v>1</v>
      </c>
      <c r="I8" s="83">
        <f>IF(D8&lt;&gt;"",D8,IFERROR(E8/(IFERROR(SUM(Sales!C:C),0))*(IFERROR(SUM(Purchases!C:C),0)),0))</f>
        <v>1559</v>
      </c>
      <c r="J8" s="83">
        <f t="shared" si="1"/>
        <v>1559</v>
      </c>
      <c r="K8" s="83">
        <f t="shared" si="2"/>
        <v>0</v>
      </c>
      <c r="L8" s="83" t="s">
        <v>146</v>
      </c>
      <c r="M8" s="83" t="s">
        <v>49</v>
      </c>
      <c r="N8" s="83" t="s">
        <v>337</v>
      </c>
      <c r="O8" s="83"/>
      <c r="P8" s="83"/>
      <c r="Q8" s="83"/>
      <c r="R8" s="83"/>
      <c r="S8" s="83"/>
      <c r="T8" s="83"/>
    </row>
    <row r="9" spans="1:246" ht="15">
      <c r="A9" s="78" t="s">
        <v>351</v>
      </c>
      <c r="B9" s="78" t="s">
        <v>352</v>
      </c>
      <c r="C9" s="78" t="s">
        <v>96</v>
      </c>
      <c r="D9" s="85">
        <v>839</v>
      </c>
      <c r="E9" s="85">
        <v>1000</v>
      </c>
      <c r="F9" s="85">
        <v>1</v>
      </c>
      <c r="G9" s="85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3" t="s">
        <v>353</v>
      </c>
      <c r="B10" s="83" t="s">
        <v>341</v>
      </c>
      <c r="C10" s="83" t="s">
        <v>95</v>
      </c>
      <c r="D10" s="84">
        <v>1148</v>
      </c>
      <c r="E10" s="84">
        <v>2000</v>
      </c>
      <c r="F10" s="84">
        <v>1</v>
      </c>
      <c r="G10" s="84">
        <v>0</v>
      </c>
      <c r="H10" s="83">
        <f t="shared" si="0"/>
        <v>1</v>
      </c>
      <c r="I10" s="83">
        <f>IF(D10&lt;&gt;"",D10,IFERROR(E10/(IFERROR(SUM(Sales!C:C),0))*(IFERROR(SUM(Purchases!C:C),0)),0))</f>
        <v>1148</v>
      </c>
      <c r="J10" s="83">
        <f t="shared" si="1"/>
        <v>1148</v>
      </c>
      <c r="K10" s="83">
        <f t="shared" si="2"/>
        <v>0</v>
      </c>
      <c r="L10" s="83" t="s">
        <v>147</v>
      </c>
      <c r="M10" s="83" t="s">
        <v>49</v>
      </c>
      <c r="N10" s="83" t="s">
        <v>337</v>
      </c>
      <c r="O10" s="83"/>
      <c r="P10" s="83"/>
      <c r="Q10" s="83"/>
      <c r="R10" s="83"/>
      <c r="S10" s="83"/>
      <c r="T10" s="83"/>
    </row>
    <row r="11" spans="1:246" ht="15">
      <c r="A11" s="78" t="s">
        <v>354</v>
      </c>
      <c r="B11" s="78" t="s">
        <v>355</v>
      </c>
      <c r="C11" s="78" t="s">
        <v>95</v>
      </c>
      <c r="D11" s="85">
        <v>1252</v>
      </c>
      <c r="E11" s="85">
        <v>1800</v>
      </c>
      <c r="F11" s="85">
        <v>2</v>
      </c>
      <c r="G11" s="85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3" t="s">
        <v>357</v>
      </c>
      <c r="B12" s="83" t="s">
        <v>358</v>
      </c>
      <c r="C12" s="83" t="s">
        <v>96</v>
      </c>
      <c r="D12" s="84">
        <v>1096</v>
      </c>
      <c r="E12" s="84">
        <v>1600</v>
      </c>
      <c r="F12" s="84">
        <v>1</v>
      </c>
      <c r="G12" s="84">
        <v>0</v>
      </c>
      <c r="H12" s="83">
        <f t="shared" si="0"/>
        <v>1</v>
      </c>
      <c r="I12" s="83">
        <f>IF(D12&lt;&gt;"",D12,IFERROR(E12/(IFERROR(SUM(Sales!C:C),0))*(IFERROR(SUM(Purchases!C:C),0)),0))</f>
        <v>1096</v>
      </c>
      <c r="J12" s="83">
        <f t="shared" si="1"/>
        <v>1096</v>
      </c>
      <c r="K12" s="83">
        <f t="shared" si="2"/>
        <v>0</v>
      </c>
      <c r="L12" s="83" t="s">
        <v>148</v>
      </c>
      <c r="M12" s="83" t="s">
        <v>49</v>
      </c>
      <c r="N12" s="83" t="s">
        <v>337</v>
      </c>
      <c r="O12" s="83"/>
      <c r="P12" s="83"/>
      <c r="Q12" s="83"/>
      <c r="R12" s="83"/>
      <c r="S12" s="83"/>
      <c r="T12" s="83"/>
    </row>
    <row r="13" spans="1:246" ht="15">
      <c r="A13" s="78" t="s">
        <v>359</v>
      </c>
      <c r="B13" s="78" t="s">
        <v>360</v>
      </c>
      <c r="C13" s="78" t="s">
        <v>96</v>
      </c>
      <c r="D13" s="85">
        <v>1096</v>
      </c>
      <c r="E13" s="85">
        <v>1600</v>
      </c>
      <c r="F13" s="85">
        <v>1</v>
      </c>
      <c r="G13" s="85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3" t="s">
        <v>361</v>
      </c>
      <c r="B14" s="83" t="s">
        <v>362</v>
      </c>
      <c r="C14" s="83" t="s">
        <v>96</v>
      </c>
      <c r="D14" s="84">
        <v>1080</v>
      </c>
      <c r="E14" s="84">
        <v>1600</v>
      </c>
      <c r="F14" s="84">
        <v>1</v>
      </c>
      <c r="G14" s="84">
        <v>0</v>
      </c>
      <c r="H14" s="83">
        <f t="shared" si="0"/>
        <v>1</v>
      </c>
      <c r="I14" s="83">
        <f>IF(D14&lt;&gt;"",D14,IFERROR(E14/(IFERROR(SUM(Sales!C:C),0))*(IFERROR(SUM(Purchases!C:C),0)),0))</f>
        <v>1080</v>
      </c>
      <c r="J14" s="83">
        <f t="shared" si="1"/>
        <v>1080</v>
      </c>
      <c r="K14" s="83">
        <f t="shared" si="2"/>
        <v>0</v>
      </c>
      <c r="L14" s="83" t="s">
        <v>151</v>
      </c>
      <c r="M14" s="83" t="s">
        <v>49</v>
      </c>
      <c r="N14" s="83" t="s">
        <v>337</v>
      </c>
      <c r="O14" s="83"/>
      <c r="P14" s="83"/>
      <c r="Q14" s="83"/>
      <c r="R14" s="83"/>
      <c r="S14" s="83"/>
      <c r="T14" s="83"/>
    </row>
    <row r="15" spans="1:246" ht="15">
      <c r="A15" s="78" t="s">
        <v>363</v>
      </c>
      <c r="B15" s="78" t="s">
        <v>364</v>
      </c>
      <c r="C15" s="78" t="s">
        <v>96</v>
      </c>
      <c r="D15" s="85">
        <v>839</v>
      </c>
      <c r="E15" s="85">
        <v>1200</v>
      </c>
      <c r="F15" s="85">
        <v>1</v>
      </c>
      <c r="G15" s="85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3" t="s">
        <v>365</v>
      </c>
      <c r="B16" s="83" t="s">
        <v>366</v>
      </c>
      <c r="C16" s="83" t="s">
        <v>96</v>
      </c>
      <c r="D16" s="84">
        <v>995</v>
      </c>
      <c r="E16" s="84">
        <v>1200</v>
      </c>
      <c r="F16" s="84">
        <v>1</v>
      </c>
      <c r="G16" s="84">
        <v>0</v>
      </c>
      <c r="H16" s="83">
        <f t="shared" si="0"/>
        <v>1</v>
      </c>
      <c r="I16" s="83">
        <f>IF(D16&lt;&gt;"",D16,IFERROR(E16/(IFERROR(SUM(Sales!C:C),0))*(IFERROR(SUM(Purchases!C:C),0)),0))</f>
        <v>995</v>
      </c>
      <c r="J16" s="83">
        <f t="shared" si="1"/>
        <v>995</v>
      </c>
      <c r="K16" s="83">
        <f t="shared" si="2"/>
        <v>0</v>
      </c>
      <c r="L16" s="83" t="s">
        <v>151</v>
      </c>
      <c r="M16" s="83" t="s">
        <v>49</v>
      </c>
      <c r="N16" s="83" t="s">
        <v>337</v>
      </c>
      <c r="O16" s="83"/>
      <c r="P16" s="83"/>
      <c r="Q16" s="83"/>
      <c r="R16" s="83"/>
      <c r="S16" s="83"/>
      <c r="T16" s="83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  <c r="EN16" s="80"/>
      <c r="EO16" s="80"/>
      <c r="EP16" s="80"/>
      <c r="EQ16" s="80"/>
      <c r="ER16" s="80"/>
      <c r="ES16" s="80"/>
      <c r="ET16" s="80"/>
      <c r="EU16" s="80"/>
      <c r="EV16" s="80"/>
      <c r="EW16" s="80"/>
      <c r="EX16" s="80"/>
      <c r="EY16" s="80"/>
      <c r="EZ16" s="80"/>
      <c r="FA16" s="80"/>
      <c r="FB16" s="80"/>
      <c r="FC16" s="80"/>
      <c r="FD16" s="80"/>
      <c r="FE16" s="80"/>
      <c r="FF16" s="80"/>
      <c r="FG16" s="80"/>
      <c r="FH16" s="80"/>
      <c r="FI16" s="80"/>
      <c r="FJ16" s="80"/>
      <c r="FK16" s="80"/>
      <c r="FL16" s="80"/>
      <c r="FM16" s="80"/>
      <c r="FN16" s="80"/>
      <c r="FO16" s="80"/>
      <c r="FP16" s="80"/>
      <c r="FQ16" s="80"/>
      <c r="FR16" s="80"/>
      <c r="FS16" s="80"/>
      <c r="FT16" s="80"/>
      <c r="FU16" s="80"/>
      <c r="FV16" s="80"/>
      <c r="FW16" s="80"/>
      <c r="FX16" s="80"/>
      <c r="FY16" s="80"/>
      <c r="FZ16" s="80"/>
      <c r="GA16" s="80"/>
      <c r="GB16" s="80"/>
      <c r="GC16" s="80"/>
      <c r="GD16" s="80"/>
      <c r="GE16" s="80"/>
      <c r="GF16" s="80"/>
      <c r="GG16" s="80"/>
      <c r="GH16" s="80"/>
      <c r="GI16" s="80"/>
      <c r="GJ16" s="80"/>
      <c r="GK16" s="80"/>
      <c r="GL16" s="80"/>
      <c r="GM16" s="80"/>
      <c r="GN16" s="80"/>
      <c r="GO16" s="80"/>
      <c r="GP16" s="80"/>
      <c r="GQ16" s="80"/>
      <c r="GR16" s="80"/>
      <c r="GS16" s="80"/>
      <c r="GT16" s="80"/>
      <c r="GU16" s="80"/>
      <c r="GV16" s="80"/>
      <c r="GW16" s="80"/>
      <c r="GX16" s="80"/>
      <c r="GY16" s="80"/>
      <c r="GZ16" s="80"/>
      <c r="HA16" s="80"/>
      <c r="HB16" s="80"/>
      <c r="HC16" s="80"/>
      <c r="HD16" s="80"/>
      <c r="HE16" s="80"/>
      <c r="HF16" s="80"/>
      <c r="HG16" s="80"/>
      <c r="HH16" s="80"/>
      <c r="HI16" s="80"/>
      <c r="HJ16" s="80"/>
      <c r="HK16" s="80"/>
      <c r="HL16" s="80"/>
      <c r="HM16" s="80"/>
      <c r="HN16" s="80"/>
      <c r="HO16" s="80"/>
      <c r="HP16" s="80"/>
      <c r="HQ16" s="80"/>
      <c r="HR16" s="80"/>
      <c r="HS16" s="80"/>
      <c r="HT16" s="80"/>
      <c r="HU16" s="80"/>
      <c r="HV16" s="80"/>
      <c r="HW16" s="80"/>
      <c r="HX16" s="80"/>
      <c r="HY16" s="80"/>
      <c r="HZ16" s="80"/>
      <c r="IA16" s="80"/>
      <c r="IB16" s="80"/>
      <c r="IC16" s="80"/>
      <c r="ID16" s="80"/>
      <c r="IE16" s="80"/>
      <c r="IF16" s="80"/>
      <c r="IG16" s="80"/>
      <c r="IH16" s="80"/>
      <c r="II16" s="80"/>
      <c r="IJ16" s="80"/>
      <c r="IK16" s="80"/>
      <c r="IL16" s="80"/>
    </row>
    <row r="17" spans="1:246" ht="15">
      <c r="A17" s="78" t="s">
        <v>367</v>
      </c>
      <c r="B17" s="78" t="s">
        <v>368</v>
      </c>
      <c r="C17" s="78" t="s">
        <v>95</v>
      </c>
      <c r="D17" s="85">
        <v>779</v>
      </c>
      <c r="E17" s="85">
        <v>1200</v>
      </c>
      <c r="F17" s="85">
        <v>1</v>
      </c>
      <c r="G17" s="85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3" t="s">
        <v>369</v>
      </c>
      <c r="B18" s="83" t="s">
        <v>350</v>
      </c>
      <c r="C18" s="83" t="s">
        <v>95</v>
      </c>
      <c r="D18" s="84">
        <v>1559</v>
      </c>
      <c r="E18" s="84">
        <v>2700</v>
      </c>
      <c r="F18" s="84">
        <v>1</v>
      </c>
      <c r="G18" s="84">
        <v>0</v>
      </c>
      <c r="H18" s="83">
        <f t="shared" si="0"/>
        <v>1</v>
      </c>
      <c r="I18" s="83">
        <f>IF(D18&lt;&gt;"",D18,IFERROR(E18/(IFERROR(SUM(Sales!C:C),0))*(IFERROR(SUM(Purchases!C:C),0)),0))</f>
        <v>1559</v>
      </c>
      <c r="J18" s="83">
        <f t="shared" si="1"/>
        <v>1559</v>
      </c>
      <c r="K18" s="83">
        <f t="shared" si="2"/>
        <v>0</v>
      </c>
      <c r="L18" s="83" t="s">
        <v>152</v>
      </c>
      <c r="M18" s="83" t="s">
        <v>49</v>
      </c>
      <c r="N18" s="83" t="s">
        <v>337</v>
      </c>
      <c r="O18" s="83"/>
      <c r="P18" s="83"/>
      <c r="Q18" s="83"/>
      <c r="R18" s="83"/>
      <c r="S18" s="83"/>
      <c r="T18" s="83"/>
    </row>
    <row r="19" spans="1:246" ht="15">
      <c r="A19" s="78" t="s">
        <v>370</v>
      </c>
      <c r="B19" s="78" t="s">
        <v>371</v>
      </c>
      <c r="C19" s="78" t="s">
        <v>96</v>
      </c>
      <c r="D19" s="85">
        <v>1096</v>
      </c>
      <c r="E19" s="85">
        <v>1600</v>
      </c>
      <c r="F19" s="85">
        <v>1</v>
      </c>
      <c r="G19" s="85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3" t="s">
        <v>372</v>
      </c>
      <c r="B20" s="83" t="s">
        <v>366</v>
      </c>
      <c r="C20" s="83" t="s">
        <v>96</v>
      </c>
      <c r="D20" s="84">
        <v>995</v>
      </c>
      <c r="E20" s="84">
        <v>1400</v>
      </c>
      <c r="F20" s="84">
        <v>1</v>
      </c>
      <c r="G20" s="84">
        <v>0</v>
      </c>
      <c r="H20" s="83">
        <f t="shared" si="0"/>
        <v>1</v>
      </c>
      <c r="I20" s="83">
        <f>IF(D20&lt;&gt;"",D20,IFERROR(E20/(IFERROR(SUM(Sales!C:C),0))*(IFERROR(SUM(Purchases!C:C),0)),0))</f>
        <v>995</v>
      </c>
      <c r="J20" s="83">
        <f t="shared" si="1"/>
        <v>995</v>
      </c>
      <c r="K20" s="83">
        <f t="shared" si="2"/>
        <v>0</v>
      </c>
      <c r="L20" s="83" t="s">
        <v>152</v>
      </c>
      <c r="M20" s="83" t="s">
        <v>49</v>
      </c>
      <c r="N20" s="83" t="s">
        <v>337</v>
      </c>
      <c r="O20" s="83"/>
      <c r="P20" s="83"/>
      <c r="Q20" s="83"/>
      <c r="R20" s="83"/>
      <c r="S20" s="83"/>
      <c r="T20" s="83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  <c r="EN20" s="80"/>
      <c r="EO20" s="80"/>
      <c r="EP20" s="80"/>
      <c r="EQ20" s="80"/>
      <c r="ER20" s="80"/>
      <c r="ES20" s="80"/>
      <c r="ET20" s="80"/>
      <c r="EU20" s="80"/>
      <c r="EV20" s="80"/>
      <c r="EW20" s="80"/>
      <c r="EX20" s="80"/>
      <c r="EY20" s="80"/>
      <c r="EZ20" s="80"/>
      <c r="FA20" s="80"/>
      <c r="FB20" s="80"/>
      <c r="FC20" s="80"/>
      <c r="FD20" s="80"/>
      <c r="FE20" s="80"/>
      <c r="FF20" s="80"/>
      <c r="FG20" s="80"/>
      <c r="FH20" s="80"/>
      <c r="FI20" s="80"/>
      <c r="FJ20" s="80"/>
      <c r="FK20" s="80"/>
      <c r="FL20" s="80"/>
      <c r="FM20" s="80"/>
      <c r="FN20" s="80"/>
      <c r="FO20" s="80"/>
      <c r="FP20" s="80"/>
      <c r="FQ20" s="80"/>
      <c r="FR20" s="80"/>
      <c r="FS20" s="80"/>
      <c r="FT20" s="80"/>
      <c r="FU20" s="80"/>
      <c r="FV20" s="80"/>
      <c r="FW20" s="80"/>
      <c r="FX20" s="80"/>
      <c r="FY20" s="80"/>
      <c r="FZ20" s="80"/>
      <c r="GA20" s="80"/>
      <c r="GB20" s="80"/>
      <c r="GC20" s="80"/>
      <c r="GD20" s="80"/>
      <c r="GE20" s="80"/>
      <c r="GF20" s="80"/>
      <c r="GG20" s="80"/>
      <c r="GH20" s="80"/>
      <c r="GI20" s="80"/>
      <c r="GJ20" s="80"/>
      <c r="GK20" s="80"/>
      <c r="GL20" s="80"/>
      <c r="GM20" s="80"/>
      <c r="GN20" s="80"/>
      <c r="GO20" s="80"/>
      <c r="GP20" s="80"/>
      <c r="GQ20" s="80"/>
      <c r="GR20" s="80"/>
      <c r="GS20" s="80"/>
      <c r="GT20" s="80"/>
      <c r="GU20" s="80"/>
      <c r="GV20" s="80"/>
      <c r="GW20" s="80"/>
      <c r="GX20" s="80"/>
      <c r="GY20" s="80"/>
      <c r="GZ20" s="80"/>
      <c r="HA20" s="80"/>
      <c r="HB20" s="80"/>
      <c r="HC20" s="80"/>
      <c r="HD20" s="80"/>
      <c r="HE20" s="80"/>
      <c r="HF20" s="80"/>
      <c r="HG20" s="80"/>
      <c r="HH20" s="80"/>
      <c r="HI20" s="80"/>
      <c r="HJ20" s="80"/>
      <c r="HK20" s="80"/>
      <c r="HL20" s="80"/>
      <c r="HM20" s="80"/>
      <c r="HN20" s="80"/>
      <c r="HO20" s="80"/>
      <c r="HP20" s="80"/>
      <c r="HQ20" s="80"/>
      <c r="HR20" s="80"/>
      <c r="HS20" s="80"/>
      <c r="HT20" s="80"/>
      <c r="HU20" s="80"/>
      <c r="HV20" s="80"/>
      <c r="HW20" s="80"/>
      <c r="HX20" s="80"/>
      <c r="HY20" s="80"/>
      <c r="HZ20" s="80"/>
      <c r="IA20" s="80"/>
      <c r="IB20" s="80"/>
      <c r="IC20" s="80"/>
      <c r="ID20" s="80"/>
      <c r="IE20" s="80"/>
      <c r="IF20" s="80"/>
      <c r="IG20" s="80"/>
      <c r="IH20" s="80"/>
      <c r="II20" s="80"/>
      <c r="IJ20" s="80"/>
      <c r="IK20" s="80"/>
      <c r="IL20" s="80"/>
    </row>
    <row r="21" spans="1:246" ht="15">
      <c r="A21" s="78" t="s">
        <v>373</v>
      </c>
      <c r="B21" s="78" t="s">
        <v>352</v>
      </c>
      <c r="C21" s="78" t="s">
        <v>96</v>
      </c>
      <c r="D21" s="85">
        <v>839</v>
      </c>
      <c r="E21" s="85">
        <v>1100</v>
      </c>
      <c r="F21" s="85">
        <v>1</v>
      </c>
      <c r="G21" s="85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3" t="s">
        <v>374</v>
      </c>
      <c r="B22" s="83" t="s">
        <v>375</v>
      </c>
      <c r="C22" s="83" t="s">
        <v>95</v>
      </c>
      <c r="D22" s="84">
        <v>887</v>
      </c>
      <c r="E22" s="84">
        <v>1300</v>
      </c>
      <c r="F22" s="84">
        <v>1</v>
      </c>
      <c r="G22" s="84">
        <v>0</v>
      </c>
      <c r="H22" s="83">
        <f t="shared" si="0"/>
        <v>1</v>
      </c>
      <c r="I22" s="83">
        <f>IF(D22&lt;&gt;"",D22,IFERROR(E22/(IFERROR(SUM(Sales!C:C),0))*(IFERROR(SUM(Purchases!C:C),0)),0))</f>
        <v>887</v>
      </c>
      <c r="J22" s="83">
        <f t="shared" si="1"/>
        <v>887</v>
      </c>
      <c r="K22" s="83">
        <f t="shared" si="2"/>
        <v>0</v>
      </c>
      <c r="L22" s="83" t="s">
        <v>143</v>
      </c>
      <c r="M22" s="83" t="s">
        <v>49</v>
      </c>
      <c r="N22" s="83" t="s">
        <v>337</v>
      </c>
      <c r="O22" s="83"/>
      <c r="P22" s="83"/>
      <c r="Q22" s="83"/>
      <c r="R22" s="83"/>
      <c r="S22" s="83"/>
      <c r="T22" s="83"/>
    </row>
    <row r="23" spans="1:246" ht="15">
      <c r="A23" s="78" t="s">
        <v>376</v>
      </c>
      <c r="B23" s="78" t="s">
        <v>109</v>
      </c>
      <c r="C23" s="78" t="s">
        <v>95</v>
      </c>
      <c r="D23" s="85">
        <v>562</v>
      </c>
      <c r="E23" s="85">
        <v>900</v>
      </c>
      <c r="F23" s="85">
        <v>3</v>
      </c>
      <c r="G23" s="85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3" t="s">
        <v>378</v>
      </c>
      <c r="B24" s="83" t="s">
        <v>345</v>
      </c>
      <c r="C24" s="83" t="s">
        <v>95</v>
      </c>
      <c r="D24" s="84">
        <v>372</v>
      </c>
      <c r="E24" s="84">
        <v>750</v>
      </c>
      <c r="F24" s="84">
        <v>1</v>
      </c>
      <c r="G24" s="84">
        <v>0</v>
      </c>
      <c r="H24" s="83">
        <f t="shared" si="0"/>
        <v>1</v>
      </c>
      <c r="I24" s="83">
        <f>IF(D24&lt;&gt;"",D24,IFERROR(E24/(IFERROR(SUM(Sales!C:C),0))*(IFERROR(SUM(Purchases!C:C),0)),0))</f>
        <v>372</v>
      </c>
      <c r="J24" s="83">
        <f t="shared" si="1"/>
        <v>372</v>
      </c>
      <c r="K24" s="83">
        <f t="shared" si="2"/>
        <v>0</v>
      </c>
      <c r="L24" s="83" t="s">
        <v>155</v>
      </c>
      <c r="M24" s="83" t="s">
        <v>49</v>
      </c>
      <c r="N24" s="83" t="s">
        <v>337</v>
      </c>
      <c r="O24" s="83"/>
      <c r="P24" s="83"/>
      <c r="Q24" s="83"/>
      <c r="R24" s="83"/>
      <c r="S24" s="83"/>
      <c r="T24" s="83"/>
    </row>
    <row r="25" spans="1:246" ht="15">
      <c r="A25" s="78" t="s">
        <v>379</v>
      </c>
      <c r="B25" s="78" t="s">
        <v>345</v>
      </c>
      <c r="C25" s="78" t="s">
        <v>95</v>
      </c>
      <c r="D25" s="85">
        <v>372</v>
      </c>
      <c r="E25" s="85">
        <v>700</v>
      </c>
      <c r="F25" s="85">
        <v>1</v>
      </c>
      <c r="G25" s="85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3" t="s">
        <v>380</v>
      </c>
      <c r="B26" s="83" t="s">
        <v>381</v>
      </c>
      <c r="C26" s="83" t="s">
        <v>95</v>
      </c>
      <c r="D26" s="84">
        <v>1669</v>
      </c>
      <c r="E26" s="84">
        <v>2200</v>
      </c>
      <c r="F26" s="84">
        <v>1</v>
      </c>
      <c r="G26" s="84">
        <v>0</v>
      </c>
      <c r="H26" s="83">
        <f t="shared" si="0"/>
        <v>1</v>
      </c>
      <c r="I26" s="83">
        <f>IF(D26&lt;&gt;"",D26,IFERROR(E26/(IFERROR(SUM(Sales!C:C),0))*(IFERROR(SUM(Purchases!C:C),0)),0))</f>
        <v>1669</v>
      </c>
      <c r="J26" s="83">
        <f t="shared" si="1"/>
        <v>1669</v>
      </c>
      <c r="K26" s="83">
        <f t="shared" si="2"/>
        <v>0</v>
      </c>
      <c r="L26" s="83" t="s">
        <v>157</v>
      </c>
      <c r="M26" s="83" t="s">
        <v>49</v>
      </c>
      <c r="N26" s="83" t="s">
        <v>337</v>
      </c>
      <c r="O26" s="83"/>
      <c r="P26" s="83"/>
      <c r="Q26" s="83"/>
      <c r="R26" s="83"/>
      <c r="S26" s="83"/>
      <c r="T26" s="83"/>
    </row>
    <row r="27" spans="1:246" ht="15">
      <c r="A27" s="78" t="s">
        <v>382</v>
      </c>
      <c r="B27" s="78" t="s">
        <v>345</v>
      </c>
      <c r="C27" s="78" t="s">
        <v>95</v>
      </c>
      <c r="D27" s="85">
        <v>372</v>
      </c>
      <c r="E27" s="85">
        <v>700</v>
      </c>
      <c r="F27" s="85">
        <v>1</v>
      </c>
      <c r="G27" s="85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3" t="s">
        <v>383</v>
      </c>
      <c r="B28" s="83" t="s">
        <v>384</v>
      </c>
      <c r="C28" s="83" t="s">
        <v>95</v>
      </c>
      <c r="D28" s="84">
        <v>1669</v>
      </c>
      <c r="E28" s="84">
        <v>2600</v>
      </c>
      <c r="F28" s="84">
        <v>1</v>
      </c>
      <c r="G28" s="84">
        <v>0</v>
      </c>
      <c r="H28" s="83">
        <f t="shared" si="0"/>
        <v>1</v>
      </c>
      <c r="I28" s="83">
        <f>IF(D28&lt;&gt;"",D28,IFERROR(E28/(IFERROR(SUM(Sales!C:C),0))*(IFERROR(SUM(Purchases!C:C),0)),0))</f>
        <v>1669</v>
      </c>
      <c r="J28" s="83">
        <f t="shared" si="1"/>
        <v>1669</v>
      </c>
      <c r="K28" s="83">
        <f t="shared" si="2"/>
        <v>0</v>
      </c>
      <c r="L28" s="83" t="s">
        <v>158</v>
      </c>
      <c r="M28" s="83" t="s">
        <v>49</v>
      </c>
      <c r="N28" s="83" t="s">
        <v>337</v>
      </c>
      <c r="O28" s="83"/>
      <c r="P28" s="83"/>
      <c r="Q28" s="83"/>
      <c r="R28" s="83"/>
      <c r="S28" s="83"/>
      <c r="T28" s="83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5">
        <v>995</v>
      </c>
      <c r="E29" s="85">
        <v>1000</v>
      </c>
      <c r="F29" s="85">
        <v>1</v>
      </c>
      <c r="G29" s="85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  <c r="EN29" s="80"/>
      <c r="EO29" s="80"/>
      <c r="EP29" s="80"/>
      <c r="EQ29" s="80"/>
      <c r="ER29" s="80"/>
      <c r="ES29" s="80"/>
      <c r="ET29" s="80"/>
      <c r="EU29" s="80"/>
      <c r="EV29" s="80"/>
      <c r="EW29" s="80"/>
      <c r="EX29" s="80"/>
      <c r="EY29" s="80"/>
      <c r="EZ29" s="80"/>
      <c r="FA29" s="80"/>
      <c r="FB29" s="80"/>
      <c r="FC29" s="80"/>
      <c r="FD29" s="80"/>
      <c r="FE29" s="80"/>
      <c r="FF29" s="80"/>
      <c r="FG29" s="80"/>
      <c r="FH29" s="80"/>
      <c r="FI29" s="80"/>
      <c r="FJ29" s="80"/>
      <c r="FK29" s="80"/>
      <c r="FL29" s="80"/>
      <c r="FM29" s="80"/>
      <c r="FN29" s="80"/>
      <c r="FO29" s="80"/>
      <c r="FP29" s="80"/>
      <c r="FQ29" s="80"/>
      <c r="FR29" s="80"/>
      <c r="FS29" s="80"/>
      <c r="FT29" s="80"/>
      <c r="FU29" s="80"/>
      <c r="FV29" s="80"/>
      <c r="FW29" s="80"/>
      <c r="FX29" s="80"/>
      <c r="FY29" s="80"/>
      <c r="FZ29" s="80"/>
      <c r="GA29" s="80"/>
      <c r="GB29" s="80"/>
      <c r="GC29" s="80"/>
      <c r="GD29" s="80"/>
      <c r="GE29" s="80"/>
      <c r="GF29" s="80"/>
      <c r="GG29" s="80"/>
      <c r="GH29" s="80"/>
      <c r="GI29" s="80"/>
      <c r="GJ29" s="80"/>
      <c r="GK29" s="80"/>
      <c r="GL29" s="80"/>
      <c r="GM29" s="80"/>
      <c r="GN29" s="80"/>
      <c r="GO29" s="80"/>
      <c r="GP29" s="80"/>
      <c r="GQ29" s="80"/>
      <c r="GR29" s="80"/>
      <c r="GS29" s="80"/>
      <c r="GT29" s="80"/>
      <c r="GU29" s="80"/>
      <c r="GV29" s="80"/>
      <c r="GW29" s="80"/>
      <c r="GX29" s="80"/>
      <c r="GY29" s="80"/>
      <c r="GZ29" s="80"/>
      <c r="HA29" s="80"/>
      <c r="HB29" s="80"/>
      <c r="HC29" s="80"/>
      <c r="HD29" s="80"/>
      <c r="HE29" s="80"/>
      <c r="HF29" s="80"/>
      <c r="HG29" s="80"/>
      <c r="HH29" s="80"/>
      <c r="HI29" s="80"/>
      <c r="HJ29" s="80"/>
      <c r="HK29" s="80"/>
      <c r="HL29" s="80"/>
      <c r="HM29" s="80"/>
      <c r="HN29" s="80"/>
      <c r="HO29" s="80"/>
      <c r="HP29" s="80"/>
      <c r="HQ29" s="80"/>
      <c r="HR29" s="80"/>
      <c r="HS29" s="80"/>
      <c r="HT29" s="80"/>
      <c r="HU29" s="80"/>
      <c r="HV29" s="80"/>
      <c r="HW29" s="80"/>
      <c r="HX29" s="80"/>
      <c r="HY29" s="80"/>
      <c r="HZ29" s="80"/>
      <c r="IA29" s="80"/>
      <c r="IB29" s="80"/>
      <c r="IC29" s="80"/>
      <c r="ID29" s="80"/>
      <c r="IE29" s="80"/>
      <c r="IF29" s="80"/>
      <c r="IG29" s="80"/>
      <c r="IH29" s="80"/>
      <c r="II29" s="80"/>
      <c r="IJ29" s="80"/>
      <c r="IK29" s="80"/>
      <c r="IL29" s="80"/>
    </row>
    <row r="30" spans="1:246" ht="15">
      <c r="A30" s="83" t="s">
        <v>387</v>
      </c>
      <c r="B30" s="83" t="s">
        <v>388</v>
      </c>
      <c r="C30" s="83" t="s">
        <v>95</v>
      </c>
      <c r="D30" s="84">
        <v>1476</v>
      </c>
      <c r="E30" s="84">
        <v>1800</v>
      </c>
      <c r="F30" s="84">
        <v>1</v>
      </c>
      <c r="G30" s="84">
        <v>0</v>
      </c>
      <c r="H30" s="83">
        <f t="shared" si="0"/>
        <v>1</v>
      </c>
      <c r="I30" s="83">
        <f>IF(D30&lt;&gt;"",D30,IFERROR(E30/(IFERROR(SUM(Sales!C:C),0))*(IFERROR(SUM(Purchases!C:C),0)),0))</f>
        <v>1476</v>
      </c>
      <c r="J30" s="83">
        <f t="shared" si="1"/>
        <v>1476</v>
      </c>
      <c r="K30" s="83">
        <f t="shared" si="2"/>
        <v>0</v>
      </c>
      <c r="L30" s="83" t="s">
        <v>161</v>
      </c>
      <c r="M30" s="83" t="s">
        <v>49</v>
      </c>
      <c r="N30" s="83" t="s">
        <v>337</v>
      </c>
      <c r="O30" s="83"/>
      <c r="P30" s="83"/>
      <c r="Q30" s="83"/>
      <c r="R30" s="83"/>
      <c r="S30" s="83"/>
      <c r="T30" s="83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5">
        <v>525</v>
      </c>
      <c r="E31" s="85">
        <v>600</v>
      </c>
      <c r="F31" s="85">
        <v>1</v>
      </c>
      <c r="G31" s="85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  <c r="EN31" s="80"/>
      <c r="EO31" s="80"/>
      <c r="EP31" s="80"/>
      <c r="EQ31" s="80"/>
      <c r="ER31" s="80"/>
      <c r="ES31" s="80"/>
      <c r="ET31" s="80"/>
      <c r="EU31" s="80"/>
      <c r="EV31" s="80"/>
      <c r="EW31" s="80"/>
      <c r="EX31" s="80"/>
      <c r="EY31" s="80"/>
      <c r="EZ31" s="80"/>
      <c r="FA31" s="80"/>
      <c r="FB31" s="80"/>
      <c r="FC31" s="80"/>
      <c r="FD31" s="80"/>
      <c r="FE31" s="80"/>
      <c r="FF31" s="80"/>
      <c r="FG31" s="80"/>
      <c r="FH31" s="80"/>
      <c r="FI31" s="80"/>
      <c r="FJ31" s="80"/>
      <c r="FK31" s="80"/>
      <c r="FL31" s="80"/>
      <c r="FM31" s="80"/>
      <c r="FN31" s="80"/>
      <c r="FO31" s="80"/>
      <c r="FP31" s="80"/>
      <c r="FQ31" s="80"/>
      <c r="FR31" s="80"/>
      <c r="FS31" s="80"/>
      <c r="FT31" s="80"/>
      <c r="FU31" s="80"/>
      <c r="FV31" s="80"/>
      <c r="FW31" s="80"/>
      <c r="FX31" s="80"/>
      <c r="FY31" s="80"/>
      <c r="FZ31" s="80"/>
      <c r="GA31" s="80"/>
      <c r="GB31" s="80"/>
      <c r="GC31" s="80"/>
      <c r="GD31" s="80"/>
      <c r="GE31" s="80"/>
      <c r="GF31" s="80"/>
      <c r="GG31" s="80"/>
      <c r="GH31" s="80"/>
      <c r="GI31" s="80"/>
      <c r="GJ31" s="80"/>
      <c r="GK31" s="80"/>
      <c r="GL31" s="80"/>
      <c r="GM31" s="80"/>
      <c r="GN31" s="80"/>
      <c r="GO31" s="80"/>
      <c r="GP31" s="80"/>
      <c r="GQ31" s="80"/>
      <c r="GR31" s="80"/>
      <c r="GS31" s="80"/>
      <c r="GT31" s="80"/>
      <c r="GU31" s="80"/>
      <c r="GV31" s="80"/>
      <c r="GW31" s="80"/>
      <c r="GX31" s="80"/>
      <c r="GY31" s="80"/>
      <c r="GZ31" s="80"/>
      <c r="HA31" s="80"/>
      <c r="HB31" s="80"/>
      <c r="HC31" s="80"/>
      <c r="HD31" s="80"/>
      <c r="HE31" s="80"/>
      <c r="HF31" s="80"/>
      <c r="HG31" s="80"/>
      <c r="HH31" s="80"/>
      <c r="HI31" s="80"/>
      <c r="HJ31" s="80"/>
      <c r="HK31" s="80"/>
      <c r="HL31" s="80"/>
      <c r="HM31" s="80"/>
      <c r="HN31" s="80"/>
      <c r="HO31" s="80"/>
      <c r="HP31" s="80"/>
      <c r="HQ31" s="80"/>
      <c r="HR31" s="80"/>
      <c r="HS31" s="80"/>
      <c r="HT31" s="80"/>
      <c r="HU31" s="80"/>
      <c r="HV31" s="80"/>
      <c r="HW31" s="80"/>
      <c r="HX31" s="80"/>
      <c r="HY31" s="80"/>
      <c r="HZ31" s="80"/>
      <c r="IA31" s="80"/>
      <c r="IB31" s="80"/>
      <c r="IC31" s="80"/>
      <c r="ID31" s="80"/>
      <c r="IE31" s="80"/>
      <c r="IF31" s="80"/>
      <c r="IG31" s="80"/>
      <c r="IH31" s="80"/>
      <c r="II31" s="80"/>
      <c r="IJ31" s="80"/>
      <c r="IK31" s="80"/>
      <c r="IL31" s="80"/>
    </row>
    <row r="32" spans="1:246" s="67" customFormat="1" ht="15">
      <c r="A32" s="83" t="s">
        <v>391</v>
      </c>
      <c r="B32" s="83" t="s">
        <v>392</v>
      </c>
      <c r="C32" s="83" t="s">
        <v>96</v>
      </c>
      <c r="D32" s="84">
        <v>839</v>
      </c>
      <c r="E32" s="84">
        <v>1000</v>
      </c>
      <c r="F32" s="84">
        <v>1</v>
      </c>
      <c r="G32" s="84">
        <v>0</v>
      </c>
      <c r="H32" s="83">
        <f t="shared" si="0"/>
        <v>1</v>
      </c>
      <c r="I32" s="83">
        <f>IF(D32&lt;&gt;"",D32,IFERROR(E32/(IFERROR(SUM(Sales!C:C),0))*(IFERROR(SUM(Purchases!C:C),0)),0))</f>
        <v>839</v>
      </c>
      <c r="J32" s="83">
        <f t="shared" si="1"/>
        <v>839</v>
      </c>
      <c r="K32" s="83">
        <f t="shared" si="2"/>
        <v>0</v>
      </c>
      <c r="L32" s="83" t="s">
        <v>162</v>
      </c>
      <c r="M32" s="83" t="s">
        <v>49</v>
      </c>
      <c r="N32" s="83" t="s">
        <v>337</v>
      </c>
      <c r="O32" s="83"/>
      <c r="P32" s="83"/>
      <c r="Q32" s="83"/>
      <c r="R32" s="83"/>
      <c r="S32" s="83"/>
      <c r="T32" s="83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  <c r="EN32" s="80"/>
      <c r="EO32" s="80"/>
      <c r="EP32" s="80"/>
      <c r="EQ32" s="80"/>
      <c r="ER32" s="80"/>
      <c r="ES32" s="80"/>
      <c r="ET32" s="80"/>
      <c r="EU32" s="80"/>
      <c r="EV32" s="80"/>
      <c r="EW32" s="80"/>
      <c r="EX32" s="80"/>
      <c r="EY32" s="80"/>
      <c r="EZ32" s="80"/>
      <c r="FA32" s="80"/>
      <c r="FB32" s="80"/>
      <c r="FC32" s="80"/>
      <c r="FD32" s="80"/>
      <c r="FE32" s="80"/>
      <c r="FF32" s="80"/>
      <c r="FG32" s="80"/>
      <c r="FH32" s="80"/>
      <c r="FI32" s="80"/>
      <c r="FJ32" s="80"/>
      <c r="FK32" s="80"/>
      <c r="FL32" s="80"/>
      <c r="FM32" s="80"/>
      <c r="FN32" s="80"/>
      <c r="FO32" s="80"/>
      <c r="FP32" s="80"/>
      <c r="FQ32" s="80"/>
      <c r="FR32" s="80"/>
      <c r="FS32" s="80"/>
      <c r="FT32" s="80"/>
      <c r="FU32" s="80"/>
      <c r="FV32" s="80"/>
      <c r="FW32" s="80"/>
      <c r="FX32" s="80"/>
      <c r="FY32" s="80"/>
      <c r="FZ32" s="80"/>
      <c r="GA32" s="80"/>
      <c r="GB32" s="80"/>
      <c r="GC32" s="80"/>
      <c r="GD32" s="80"/>
      <c r="GE32" s="80"/>
      <c r="GF32" s="80"/>
      <c r="GG32" s="80"/>
      <c r="GH32" s="80"/>
      <c r="GI32" s="80"/>
      <c r="GJ32" s="80"/>
      <c r="GK32" s="80"/>
      <c r="GL32" s="80"/>
      <c r="GM32" s="80"/>
      <c r="GN32" s="80"/>
      <c r="GO32" s="80"/>
      <c r="GP32" s="80"/>
      <c r="GQ32" s="80"/>
      <c r="GR32" s="80"/>
      <c r="GS32" s="80"/>
      <c r="GT32" s="80"/>
      <c r="GU32" s="80"/>
      <c r="GV32" s="80"/>
      <c r="GW32" s="80"/>
      <c r="GX32" s="80"/>
      <c r="GY32" s="80"/>
      <c r="GZ32" s="80"/>
      <c r="HA32" s="80"/>
      <c r="HB32" s="80"/>
      <c r="HC32" s="80"/>
      <c r="HD32" s="80"/>
      <c r="HE32" s="80"/>
      <c r="HF32" s="80"/>
      <c r="HG32" s="80"/>
      <c r="HH32" s="80"/>
      <c r="HI32" s="80"/>
      <c r="HJ32" s="80"/>
      <c r="HK32" s="80"/>
      <c r="HL32" s="80"/>
      <c r="HM32" s="80"/>
      <c r="HN32" s="80"/>
      <c r="HO32" s="80"/>
      <c r="HP32" s="80"/>
      <c r="HQ32" s="80"/>
      <c r="HR32" s="80"/>
      <c r="HS32" s="80"/>
      <c r="HT32" s="80"/>
      <c r="HU32" s="80"/>
      <c r="HV32" s="80"/>
      <c r="HW32" s="80"/>
      <c r="HX32" s="80"/>
      <c r="HY32" s="80"/>
      <c r="HZ32" s="80"/>
      <c r="IA32" s="80"/>
      <c r="IB32" s="80"/>
      <c r="IC32" s="80"/>
      <c r="ID32" s="80"/>
      <c r="IE32" s="80"/>
      <c r="IF32" s="80"/>
      <c r="IG32" s="80"/>
      <c r="IH32" s="80"/>
      <c r="II32" s="80"/>
      <c r="IJ32" s="80"/>
      <c r="IK32" s="80"/>
      <c r="IL32" s="80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5">
        <v>525</v>
      </c>
      <c r="E33" s="85">
        <v>800</v>
      </c>
      <c r="F33" s="85">
        <v>1</v>
      </c>
      <c r="G33" s="85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  <c r="EN33" s="80"/>
      <c r="EO33" s="80"/>
      <c r="EP33" s="80"/>
      <c r="EQ33" s="80"/>
      <c r="ER33" s="80"/>
      <c r="ES33" s="80"/>
      <c r="ET33" s="80"/>
      <c r="EU33" s="80"/>
      <c r="EV33" s="80"/>
      <c r="EW33" s="80"/>
      <c r="EX33" s="80"/>
      <c r="EY33" s="80"/>
      <c r="EZ33" s="80"/>
      <c r="FA33" s="80"/>
      <c r="FB33" s="80"/>
      <c r="FC33" s="80"/>
      <c r="FD33" s="80"/>
      <c r="FE33" s="80"/>
      <c r="FF33" s="80"/>
      <c r="FG33" s="80"/>
      <c r="FH33" s="80"/>
      <c r="FI33" s="80"/>
      <c r="FJ33" s="80"/>
      <c r="FK33" s="80"/>
      <c r="FL33" s="80"/>
      <c r="FM33" s="80"/>
      <c r="FN33" s="80"/>
      <c r="FO33" s="80"/>
      <c r="FP33" s="80"/>
      <c r="FQ33" s="80"/>
      <c r="FR33" s="80"/>
      <c r="FS33" s="80"/>
      <c r="FT33" s="80"/>
      <c r="FU33" s="80"/>
      <c r="FV33" s="80"/>
      <c r="FW33" s="80"/>
      <c r="FX33" s="80"/>
      <c r="FY33" s="80"/>
      <c r="FZ33" s="80"/>
      <c r="GA33" s="80"/>
      <c r="GB33" s="80"/>
      <c r="GC33" s="80"/>
      <c r="GD33" s="80"/>
      <c r="GE33" s="80"/>
      <c r="GF33" s="80"/>
      <c r="GG33" s="80"/>
      <c r="GH33" s="80"/>
      <c r="GI33" s="80"/>
      <c r="GJ33" s="80"/>
      <c r="GK33" s="80"/>
      <c r="GL33" s="80"/>
      <c r="GM33" s="80"/>
      <c r="GN33" s="80"/>
      <c r="GO33" s="80"/>
      <c r="GP33" s="80"/>
      <c r="GQ33" s="80"/>
      <c r="GR33" s="80"/>
      <c r="GS33" s="80"/>
      <c r="GT33" s="80"/>
      <c r="GU33" s="80"/>
      <c r="GV33" s="80"/>
      <c r="GW33" s="80"/>
      <c r="GX33" s="80"/>
      <c r="GY33" s="80"/>
      <c r="GZ33" s="80"/>
      <c r="HA33" s="80"/>
      <c r="HB33" s="80"/>
      <c r="HC33" s="80"/>
      <c r="HD33" s="80"/>
      <c r="HE33" s="80"/>
      <c r="HF33" s="80"/>
      <c r="HG33" s="80"/>
      <c r="HH33" s="80"/>
      <c r="HI33" s="80"/>
      <c r="HJ33" s="80"/>
      <c r="HK33" s="80"/>
      <c r="HL33" s="80"/>
      <c r="HM33" s="80"/>
      <c r="HN33" s="80"/>
      <c r="HO33" s="80"/>
      <c r="HP33" s="80"/>
      <c r="HQ33" s="80"/>
      <c r="HR33" s="80"/>
      <c r="HS33" s="80"/>
      <c r="HT33" s="80"/>
      <c r="HU33" s="80"/>
      <c r="HV33" s="80"/>
      <c r="HW33" s="80"/>
      <c r="HX33" s="80"/>
      <c r="HY33" s="80"/>
      <c r="HZ33" s="80"/>
      <c r="IA33" s="80"/>
      <c r="IB33" s="80"/>
      <c r="IC33" s="80"/>
      <c r="ID33" s="80"/>
      <c r="IE33" s="80"/>
      <c r="IF33" s="80"/>
      <c r="IG33" s="80"/>
      <c r="IH33" s="80"/>
      <c r="II33" s="80"/>
      <c r="IJ33" s="80"/>
      <c r="IK33" s="80"/>
      <c r="IL33" s="80"/>
    </row>
    <row r="34" spans="1:246" ht="15">
      <c r="A34" s="83" t="s">
        <v>394</v>
      </c>
      <c r="B34" s="83" t="s">
        <v>355</v>
      </c>
      <c r="C34" s="83" t="s">
        <v>95</v>
      </c>
      <c r="D34" s="84">
        <v>867</v>
      </c>
      <c r="E34" s="84">
        <v>1300</v>
      </c>
      <c r="F34" s="84">
        <v>1</v>
      </c>
      <c r="G34" s="84">
        <v>0</v>
      </c>
      <c r="H34" s="83">
        <f t="shared" ref="H34:H65" si="3">F34+IF(LEN(G34)=0,0,G34)</f>
        <v>1</v>
      </c>
      <c r="I34" s="83">
        <f>IF(D34&lt;&gt;"",D34,IFERROR(E34/(IFERROR(SUM(Sales!C:C),0))*(IFERROR(SUM(Purchases!C:C),0)),0))</f>
        <v>867</v>
      </c>
      <c r="J34" s="83">
        <f t="shared" ref="J34:J65" si="4">F34*I34</f>
        <v>867</v>
      </c>
      <c r="K34" s="83">
        <f t="shared" ref="K34:K65" si="5">IF(LEN(G34)=0,0,G34)*I34</f>
        <v>0</v>
      </c>
      <c r="L34" s="83" t="s">
        <v>163</v>
      </c>
      <c r="M34" s="83" t="s">
        <v>49</v>
      </c>
      <c r="N34" s="83" t="s">
        <v>337</v>
      </c>
      <c r="O34" s="83"/>
      <c r="P34" s="83"/>
      <c r="Q34" s="83"/>
      <c r="R34" s="83"/>
      <c r="S34" s="83"/>
      <c r="T34" s="83"/>
    </row>
    <row r="35" spans="1:246" ht="15">
      <c r="A35" s="78" t="s">
        <v>395</v>
      </c>
      <c r="B35" s="78" t="s">
        <v>396</v>
      </c>
      <c r="C35" s="78" t="s">
        <v>95</v>
      </c>
      <c r="D35" s="85">
        <v>1165</v>
      </c>
      <c r="E35" s="85">
        <v>1500</v>
      </c>
      <c r="F35" s="85">
        <v>1</v>
      </c>
      <c r="G35" s="85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3" t="s">
        <v>397</v>
      </c>
      <c r="B36" s="83" t="s">
        <v>398</v>
      </c>
      <c r="C36" s="83" t="s">
        <v>95</v>
      </c>
      <c r="D36" s="84">
        <v>1250</v>
      </c>
      <c r="E36" s="84">
        <v>1400</v>
      </c>
      <c r="F36" s="84">
        <v>1</v>
      </c>
      <c r="G36" s="84">
        <v>0</v>
      </c>
      <c r="H36" s="83">
        <f t="shared" si="3"/>
        <v>1</v>
      </c>
      <c r="I36" s="83">
        <f>IF(D36&lt;&gt;"",D36,IFERROR(E36/(IFERROR(SUM(Sales!C:C),0))*(IFERROR(SUM(Purchases!C:C),0)),0))</f>
        <v>1250</v>
      </c>
      <c r="J36" s="83">
        <f t="shared" si="4"/>
        <v>1250</v>
      </c>
      <c r="K36" s="83">
        <f t="shared" si="5"/>
        <v>0</v>
      </c>
      <c r="L36" s="83" t="s">
        <v>165</v>
      </c>
      <c r="M36" s="83" t="s">
        <v>49</v>
      </c>
      <c r="N36" s="83" t="s">
        <v>337</v>
      </c>
      <c r="O36" s="83"/>
      <c r="P36" s="83"/>
      <c r="Q36" s="83"/>
      <c r="R36" s="83"/>
      <c r="S36" s="83"/>
      <c r="T36" s="83"/>
    </row>
    <row r="37" spans="1:246" ht="15">
      <c r="A37" s="78" t="s">
        <v>399</v>
      </c>
      <c r="B37" s="78" t="s">
        <v>400</v>
      </c>
      <c r="C37" s="78" t="s">
        <v>96</v>
      </c>
      <c r="D37" s="85">
        <v>1941</v>
      </c>
      <c r="E37" s="85">
        <v>1800</v>
      </c>
      <c r="F37" s="85">
        <v>1</v>
      </c>
      <c r="G37" s="85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3" t="s">
        <v>401</v>
      </c>
      <c r="B38" s="83" t="s">
        <v>402</v>
      </c>
      <c r="C38" s="83" t="s">
        <v>95</v>
      </c>
      <c r="D38" s="84">
        <v>1094</v>
      </c>
      <c r="E38" s="84">
        <v>1700</v>
      </c>
      <c r="F38" s="84">
        <v>1</v>
      </c>
      <c r="G38" s="84">
        <v>0</v>
      </c>
      <c r="H38" s="83">
        <f t="shared" si="3"/>
        <v>1</v>
      </c>
      <c r="I38" s="83">
        <f>IF(D38&lt;&gt;"",D38,IFERROR(E38/(IFERROR(SUM(Sales!C:C),0))*(IFERROR(SUM(Purchases!C:C),0)),0))</f>
        <v>1094</v>
      </c>
      <c r="J38" s="83">
        <f t="shared" si="4"/>
        <v>1094</v>
      </c>
      <c r="K38" s="83">
        <f t="shared" si="5"/>
        <v>0</v>
      </c>
      <c r="L38" s="83" t="s">
        <v>166</v>
      </c>
      <c r="M38" s="83" t="s">
        <v>49</v>
      </c>
      <c r="N38" s="83" t="s">
        <v>337</v>
      </c>
      <c r="O38" s="83"/>
      <c r="P38" s="83"/>
      <c r="Q38" s="83"/>
      <c r="R38" s="83"/>
      <c r="S38" s="83"/>
      <c r="T38" s="83"/>
    </row>
    <row r="39" spans="1:246" ht="15">
      <c r="A39" s="78" t="s">
        <v>403</v>
      </c>
      <c r="B39" s="78" t="s">
        <v>390</v>
      </c>
      <c r="C39" s="78" t="s">
        <v>96</v>
      </c>
      <c r="D39" s="85">
        <v>525</v>
      </c>
      <c r="E39" s="85">
        <v>800</v>
      </c>
      <c r="F39" s="85">
        <v>1</v>
      </c>
      <c r="G39" s="85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3" t="s">
        <v>404</v>
      </c>
      <c r="B40" s="83" t="s">
        <v>405</v>
      </c>
      <c r="C40" s="83" t="s">
        <v>96</v>
      </c>
      <c r="D40" s="84">
        <v>1096</v>
      </c>
      <c r="E40" s="84">
        <v>1600</v>
      </c>
      <c r="F40" s="84">
        <v>1</v>
      </c>
      <c r="G40" s="84">
        <v>0</v>
      </c>
      <c r="H40" s="83">
        <f t="shared" si="3"/>
        <v>1</v>
      </c>
      <c r="I40" s="83">
        <f>IF(D40&lt;&gt;"",D40,IFERROR(E40/(IFERROR(SUM(Sales!C:C),0))*(IFERROR(SUM(Purchases!C:C),0)),0))</f>
        <v>1096</v>
      </c>
      <c r="J40" s="83">
        <f t="shared" si="4"/>
        <v>1096</v>
      </c>
      <c r="K40" s="83">
        <f t="shared" si="5"/>
        <v>0</v>
      </c>
      <c r="L40" s="83" t="s">
        <v>167</v>
      </c>
      <c r="M40" s="83" t="s">
        <v>49</v>
      </c>
      <c r="N40" s="83" t="s">
        <v>337</v>
      </c>
      <c r="O40" s="83"/>
      <c r="P40" s="83"/>
      <c r="Q40" s="83"/>
      <c r="R40" s="83"/>
      <c r="S40" s="83"/>
      <c r="T40" s="83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5">
        <v>995</v>
      </c>
      <c r="E41" s="85">
        <v>1000</v>
      </c>
      <c r="F41" s="85">
        <v>1</v>
      </c>
      <c r="G41" s="85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  <c r="EN41" s="80"/>
      <c r="EO41" s="80"/>
      <c r="EP41" s="80"/>
      <c r="EQ41" s="80"/>
      <c r="ER41" s="80"/>
      <c r="ES41" s="80"/>
      <c r="ET41" s="80"/>
      <c r="EU41" s="80"/>
      <c r="EV41" s="80"/>
      <c r="EW41" s="80"/>
      <c r="EX41" s="80"/>
      <c r="EY41" s="80"/>
      <c r="EZ41" s="80"/>
      <c r="FA41" s="80"/>
      <c r="FB41" s="80"/>
      <c r="FC41" s="80"/>
      <c r="FD41" s="80"/>
      <c r="FE41" s="80"/>
      <c r="FF41" s="80"/>
      <c r="FG41" s="80"/>
      <c r="FH41" s="80"/>
      <c r="FI41" s="80"/>
      <c r="FJ41" s="80"/>
      <c r="FK41" s="80"/>
      <c r="FL41" s="80"/>
      <c r="FM41" s="80"/>
      <c r="FN41" s="80"/>
      <c r="FO41" s="80"/>
      <c r="FP41" s="80"/>
      <c r="FQ41" s="80"/>
      <c r="FR41" s="80"/>
      <c r="FS41" s="80"/>
      <c r="FT41" s="80"/>
      <c r="FU41" s="80"/>
      <c r="FV41" s="80"/>
      <c r="FW41" s="80"/>
      <c r="FX41" s="80"/>
      <c r="FY41" s="80"/>
      <c r="FZ41" s="80"/>
      <c r="GA41" s="80"/>
      <c r="GB41" s="80"/>
      <c r="GC41" s="80"/>
      <c r="GD41" s="80"/>
      <c r="GE41" s="80"/>
      <c r="GF41" s="80"/>
      <c r="GG41" s="80"/>
      <c r="GH41" s="80"/>
      <c r="GI41" s="80"/>
      <c r="GJ41" s="80"/>
      <c r="GK41" s="80"/>
      <c r="GL41" s="80"/>
      <c r="GM41" s="80"/>
      <c r="GN41" s="80"/>
      <c r="GO41" s="80"/>
      <c r="GP41" s="80"/>
      <c r="GQ41" s="80"/>
      <c r="GR41" s="80"/>
      <c r="GS41" s="80"/>
      <c r="GT41" s="80"/>
      <c r="GU41" s="80"/>
      <c r="GV41" s="80"/>
      <c r="GW41" s="80"/>
      <c r="GX41" s="80"/>
      <c r="GY41" s="80"/>
      <c r="GZ41" s="80"/>
      <c r="HA41" s="80"/>
      <c r="HB41" s="80"/>
      <c r="HC41" s="80"/>
      <c r="HD41" s="80"/>
      <c r="HE41" s="80"/>
      <c r="HF41" s="80"/>
      <c r="HG41" s="80"/>
      <c r="HH41" s="80"/>
      <c r="HI41" s="80"/>
      <c r="HJ41" s="80"/>
      <c r="HK41" s="80"/>
      <c r="HL41" s="80"/>
      <c r="HM41" s="80"/>
      <c r="HN41" s="80"/>
      <c r="HO41" s="80"/>
      <c r="HP41" s="80"/>
      <c r="HQ41" s="80"/>
      <c r="HR41" s="80"/>
      <c r="HS41" s="80"/>
      <c r="HT41" s="80"/>
      <c r="HU41" s="80"/>
      <c r="HV41" s="80"/>
      <c r="HW41" s="80"/>
      <c r="HX41" s="80"/>
      <c r="HY41" s="80"/>
      <c r="HZ41" s="80"/>
      <c r="IA41" s="80"/>
      <c r="IB41" s="80"/>
      <c r="IC41" s="80"/>
      <c r="ID41" s="80"/>
      <c r="IE41" s="80"/>
      <c r="IF41" s="80"/>
      <c r="IG41" s="80"/>
      <c r="IH41" s="80"/>
      <c r="II41" s="80"/>
      <c r="IJ41" s="80"/>
      <c r="IK41" s="80"/>
      <c r="IL41" s="80"/>
    </row>
    <row r="42" spans="1:246" ht="15">
      <c r="A42" s="83" t="s">
        <v>407</v>
      </c>
      <c r="B42" s="83" t="s">
        <v>408</v>
      </c>
      <c r="C42" s="83" t="s">
        <v>96</v>
      </c>
      <c r="D42" s="84">
        <v>1096</v>
      </c>
      <c r="E42" s="84">
        <v>1550</v>
      </c>
      <c r="F42" s="84">
        <v>1</v>
      </c>
      <c r="G42" s="84">
        <v>0</v>
      </c>
      <c r="H42" s="83">
        <f t="shared" si="3"/>
        <v>1</v>
      </c>
      <c r="I42" s="83">
        <f>IF(D42&lt;&gt;"",D42,IFERROR(E42/(IFERROR(SUM(Sales!C:C),0))*(IFERROR(SUM(Purchases!C:C),0)),0))</f>
        <v>1096</v>
      </c>
      <c r="J42" s="83">
        <f t="shared" si="4"/>
        <v>1096</v>
      </c>
      <c r="K42" s="83">
        <f t="shared" si="5"/>
        <v>0</v>
      </c>
      <c r="L42" s="83" t="s">
        <v>169</v>
      </c>
      <c r="M42" s="83" t="s">
        <v>49</v>
      </c>
      <c r="N42" s="83" t="s">
        <v>337</v>
      </c>
      <c r="O42" s="83"/>
      <c r="P42" s="83"/>
      <c r="Q42" s="83"/>
      <c r="R42" s="83"/>
      <c r="S42" s="83"/>
      <c r="T42" s="83"/>
    </row>
    <row r="43" spans="1:246" ht="15">
      <c r="A43" s="78" t="s">
        <v>409</v>
      </c>
      <c r="B43" s="78" t="s">
        <v>410</v>
      </c>
      <c r="C43" s="78" t="s">
        <v>96</v>
      </c>
      <c r="D43" s="85">
        <v>839</v>
      </c>
      <c r="E43" s="85">
        <v>950</v>
      </c>
      <c r="F43" s="85">
        <v>1</v>
      </c>
      <c r="G43" s="85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3" t="s">
        <v>411</v>
      </c>
      <c r="B44" s="83" t="s">
        <v>396</v>
      </c>
      <c r="C44" s="83" t="s">
        <v>96</v>
      </c>
      <c r="D44" s="84">
        <v>1165</v>
      </c>
      <c r="E44" s="84">
        <v>1500</v>
      </c>
      <c r="F44" s="84">
        <v>2</v>
      </c>
      <c r="G44" s="84">
        <v>0</v>
      </c>
      <c r="H44" s="83">
        <f t="shared" si="3"/>
        <v>2</v>
      </c>
      <c r="I44" s="83">
        <f>IF(D44&lt;&gt;"",D44,IFERROR(E44/(IFERROR(SUM(Sales!C:C),0))*(IFERROR(SUM(Purchases!C:C),0)),0))</f>
        <v>1165</v>
      </c>
      <c r="J44" s="83">
        <f t="shared" si="4"/>
        <v>2330</v>
      </c>
      <c r="K44" s="83">
        <f t="shared" si="5"/>
        <v>0</v>
      </c>
      <c r="L44" s="83" t="s">
        <v>412</v>
      </c>
      <c r="M44" s="83" t="s">
        <v>49</v>
      </c>
      <c r="N44" s="83" t="s">
        <v>337</v>
      </c>
      <c r="O44" s="83" t="s">
        <v>207</v>
      </c>
      <c r="P44" s="83"/>
      <c r="Q44" s="83" t="s">
        <v>413</v>
      </c>
      <c r="R44" s="83"/>
      <c r="S44" s="83"/>
      <c r="T44" s="83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5">
        <v>1048</v>
      </c>
      <c r="E45" s="85">
        <v>1900</v>
      </c>
      <c r="F45" s="85">
        <v>1</v>
      </c>
      <c r="G45" s="85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  <c r="EN45" s="80"/>
      <c r="EO45" s="80"/>
      <c r="EP45" s="80"/>
      <c r="EQ45" s="80"/>
      <c r="ER45" s="80"/>
      <c r="ES45" s="80"/>
      <c r="ET45" s="80"/>
      <c r="EU45" s="80"/>
      <c r="EV45" s="80"/>
      <c r="EW45" s="80"/>
      <c r="EX45" s="80"/>
      <c r="EY45" s="80"/>
      <c r="EZ45" s="80"/>
      <c r="FA45" s="80"/>
      <c r="FB45" s="80"/>
      <c r="FC45" s="80"/>
      <c r="FD45" s="80"/>
      <c r="FE45" s="80"/>
      <c r="FF45" s="80"/>
      <c r="FG45" s="80"/>
      <c r="FH45" s="80"/>
      <c r="FI45" s="80"/>
      <c r="FJ45" s="80"/>
      <c r="FK45" s="80"/>
      <c r="FL45" s="80"/>
      <c r="FM45" s="80"/>
      <c r="FN45" s="80"/>
      <c r="FO45" s="80"/>
      <c r="FP45" s="80"/>
      <c r="FQ45" s="80"/>
      <c r="FR45" s="80"/>
      <c r="FS45" s="80"/>
      <c r="FT45" s="80"/>
      <c r="FU45" s="80"/>
      <c r="FV45" s="80"/>
      <c r="FW45" s="80"/>
      <c r="FX45" s="80"/>
      <c r="FY45" s="80"/>
      <c r="FZ45" s="80"/>
      <c r="GA45" s="80"/>
      <c r="GB45" s="80"/>
      <c r="GC45" s="80"/>
      <c r="GD45" s="80"/>
      <c r="GE45" s="80"/>
      <c r="GF45" s="80"/>
      <c r="GG45" s="80"/>
      <c r="GH45" s="80"/>
      <c r="GI45" s="80"/>
      <c r="GJ45" s="80"/>
      <c r="GK45" s="80"/>
      <c r="GL45" s="80"/>
      <c r="GM45" s="80"/>
      <c r="GN45" s="80"/>
      <c r="GO45" s="80"/>
      <c r="GP45" s="80"/>
      <c r="GQ45" s="80"/>
      <c r="GR45" s="80"/>
      <c r="GS45" s="80"/>
      <c r="GT45" s="80"/>
      <c r="GU45" s="80"/>
      <c r="GV45" s="80"/>
      <c r="GW45" s="80"/>
      <c r="GX45" s="80"/>
      <c r="GY45" s="80"/>
      <c r="GZ45" s="80"/>
      <c r="HA45" s="80"/>
      <c r="HB45" s="80"/>
      <c r="HC45" s="80"/>
      <c r="HD45" s="80"/>
      <c r="HE45" s="80"/>
      <c r="HF45" s="80"/>
      <c r="HG45" s="80"/>
      <c r="HH45" s="80"/>
      <c r="HI45" s="80"/>
      <c r="HJ45" s="80"/>
      <c r="HK45" s="80"/>
      <c r="HL45" s="80"/>
      <c r="HM45" s="80"/>
      <c r="HN45" s="80"/>
      <c r="HO45" s="80"/>
      <c r="HP45" s="80"/>
      <c r="HQ45" s="80"/>
      <c r="HR45" s="80"/>
      <c r="HS45" s="80"/>
      <c r="HT45" s="80"/>
      <c r="HU45" s="80"/>
      <c r="HV45" s="80"/>
      <c r="HW45" s="80"/>
      <c r="HX45" s="80"/>
      <c r="HY45" s="80"/>
      <c r="HZ45" s="80"/>
      <c r="IA45" s="80"/>
      <c r="IB45" s="80"/>
      <c r="IC45" s="80"/>
      <c r="ID45" s="80"/>
      <c r="IE45" s="80"/>
      <c r="IF45" s="80"/>
      <c r="IG45" s="80"/>
      <c r="IH45" s="80"/>
      <c r="II45" s="80"/>
      <c r="IJ45" s="80"/>
      <c r="IK45" s="80"/>
      <c r="IL45" s="80"/>
    </row>
    <row r="46" spans="1:246" s="67" customFormat="1" ht="15">
      <c r="A46" s="83" t="s">
        <v>416</v>
      </c>
      <c r="B46" s="83" t="s">
        <v>417</v>
      </c>
      <c r="C46" s="83" t="s">
        <v>95</v>
      </c>
      <c r="D46" s="84">
        <v>372</v>
      </c>
      <c r="E46" s="84">
        <v>650</v>
      </c>
      <c r="F46" s="84">
        <v>1</v>
      </c>
      <c r="G46" s="84">
        <v>0</v>
      </c>
      <c r="H46" s="83">
        <f t="shared" si="3"/>
        <v>1</v>
      </c>
      <c r="I46" s="83">
        <f>IF(D46&lt;&gt;"",D46,IFERROR(E46/(IFERROR(SUM(Sales!C:C),0))*(IFERROR(SUM(Purchases!C:C),0)),0))</f>
        <v>372</v>
      </c>
      <c r="J46" s="83">
        <f t="shared" si="4"/>
        <v>372</v>
      </c>
      <c r="K46" s="83">
        <f t="shared" si="5"/>
        <v>0</v>
      </c>
      <c r="L46" s="83" t="s">
        <v>170</v>
      </c>
      <c r="M46" s="83" t="s">
        <v>49</v>
      </c>
      <c r="N46" s="83" t="s">
        <v>337</v>
      </c>
      <c r="O46" s="83"/>
      <c r="P46" s="83"/>
      <c r="Q46" s="83"/>
      <c r="R46" s="83"/>
      <c r="S46" s="83"/>
      <c r="T46" s="83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  <c r="EN46" s="80"/>
      <c r="EO46" s="80"/>
      <c r="EP46" s="80"/>
      <c r="EQ46" s="80"/>
      <c r="ER46" s="80"/>
      <c r="ES46" s="80"/>
      <c r="ET46" s="80"/>
      <c r="EU46" s="80"/>
      <c r="EV46" s="80"/>
      <c r="EW46" s="80"/>
      <c r="EX46" s="80"/>
      <c r="EY46" s="80"/>
      <c r="EZ46" s="80"/>
      <c r="FA46" s="80"/>
      <c r="FB46" s="80"/>
      <c r="FC46" s="80"/>
      <c r="FD46" s="80"/>
      <c r="FE46" s="80"/>
      <c r="FF46" s="80"/>
      <c r="FG46" s="80"/>
      <c r="FH46" s="80"/>
      <c r="FI46" s="80"/>
      <c r="FJ46" s="80"/>
      <c r="FK46" s="80"/>
      <c r="FL46" s="80"/>
      <c r="FM46" s="80"/>
      <c r="FN46" s="80"/>
      <c r="FO46" s="80"/>
      <c r="FP46" s="80"/>
      <c r="FQ46" s="80"/>
      <c r="FR46" s="80"/>
      <c r="FS46" s="80"/>
      <c r="FT46" s="80"/>
      <c r="FU46" s="80"/>
      <c r="FV46" s="80"/>
      <c r="FW46" s="80"/>
      <c r="FX46" s="80"/>
      <c r="FY46" s="80"/>
      <c r="FZ46" s="80"/>
      <c r="GA46" s="80"/>
      <c r="GB46" s="80"/>
      <c r="GC46" s="80"/>
      <c r="GD46" s="80"/>
      <c r="GE46" s="80"/>
      <c r="GF46" s="80"/>
      <c r="GG46" s="80"/>
      <c r="GH46" s="80"/>
      <c r="GI46" s="80"/>
      <c r="GJ46" s="80"/>
      <c r="GK46" s="80"/>
      <c r="GL46" s="80"/>
      <c r="GM46" s="80"/>
      <c r="GN46" s="80"/>
      <c r="GO46" s="80"/>
      <c r="GP46" s="80"/>
      <c r="GQ46" s="80"/>
      <c r="GR46" s="80"/>
      <c r="GS46" s="80"/>
      <c r="GT46" s="80"/>
      <c r="GU46" s="80"/>
      <c r="GV46" s="80"/>
      <c r="GW46" s="80"/>
      <c r="GX46" s="80"/>
      <c r="GY46" s="80"/>
      <c r="GZ46" s="80"/>
      <c r="HA46" s="80"/>
      <c r="HB46" s="80"/>
      <c r="HC46" s="80"/>
      <c r="HD46" s="80"/>
      <c r="HE46" s="80"/>
      <c r="HF46" s="80"/>
      <c r="HG46" s="80"/>
      <c r="HH46" s="80"/>
      <c r="HI46" s="80"/>
      <c r="HJ46" s="80"/>
      <c r="HK46" s="80"/>
      <c r="HL46" s="80"/>
      <c r="HM46" s="80"/>
      <c r="HN46" s="80"/>
      <c r="HO46" s="80"/>
      <c r="HP46" s="80"/>
      <c r="HQ46" s="80"/>
      <c r="HR46" s="80"/>
      <c r="HS46" s="80"/>
      <c r="HT46" s="80"/>
      <c r="HU46" s="80"/>
      <c r="HV46" s="80"/>
      <c r="HW46" s="80"/>
      <c r="HX46" s="80"/>
      <c r="HY46" s="80"/>
      <c r="HZ46" s="80"/>
      <c r="IA46" s="80"/>
      <c r="IB46" s="80"/>
      <c r="IC46" s="80"/>
      <c r="ID46" s="80"/>
      <c r="IE46" s="80"/>
      <c r="IF46" s="80"/>
      <c r="IG46" s="80"/>
      <c r="IH46" s="80"/>
      <c r="II46" s="80"/>
      <c r="IJ46" s="80"/>
      <c r="IK46" s="80"/>
      <c r="IL46" s="80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5">
        <v>1094</v>
      </c>
      <c r="E47" s="85">
        <v>1400</v>
      </c>
      <c r="F47" s="85">
        <v>4</v>
      </c>
      <c r="G47" s="85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  <c r="EN47" s="80"/>
      <c r="EO47" s="80"/>
      <c r="EP47" s="80"/>
      <c r="EQ47" s="80"/>
      <c r="ER47" s="80"/>
      <c r="ES47" s="80"/>
      <c r="ET47" s="80"/>
      <c r="EU47" s="80"/>
      <c r="EV47" s="80"/>
      <c r="EW47" s="80"/>
      <c r="EX47" s="80"/>
      <c r="EY47" s="80"/>
      <c r="EZ47" s="80"/>
      <c r="FA47" s="80"/>
      <c r="FB47" s="80"/>
      <c r="FC47" s="80"/>
      <c r="FD47" s="80"/>
      <c r="FE47" s="80"/>
      <c r="FF47" s="80"/>
      <c r="FG47" s="80"/>
      <c r="FH47" s="80"/>
      <c r="FI47" s="80"/>
      <c r="FJ47" s="80"/>
      <c r="FK47" s="80"/>
      <c r="FL47" s="80"/>
      <c r="FM47" s="80"/>
      <c r="FN47" s="80"/>
      <c r="FO47" s="80"/>
      <c r="FP47" s="80"/>
      <c r="FQ47" s="80"/>
      <c r="FR47" s="80"/>
      <c r="FS47" s="80"/>
      <c r="FT47" s="80"/>
      <c r="FU47" s="80"/>
      <c r="FV47" s="80"/>
      <c r="FW47" s="80"/>
      <c r="FX47" s="80"/>
      <c r="FY47" s="80"/>
      <c r="FZ47" s="80"/>
      <c r="GA47" s="80"/>
      <c r="GB47" s="80"/>
      <c r="GC47" s="80"/>
      <c r="GD47" s="80"/>
      <c r="GE47" s="80"/>
      <c r="GF47" s="80"/>
      <c r="GG47" s="80"/>
      <c r="GH47" s="80"/>
      <c r="GI47" s="80"/>
      <c r="GJ47" s="80"/>
      <c r="GK47" s="80"/>
      <c r="GL47" s="80"/>
      <c r="GM47" s="80"/>
      <c r="GN47" s="80"/>
      <c r="GO47" s="80"/>
      <c r="GP47" s="80"/>
      <c r="GQ47" s="80"/>
      <c r="GR47" s="80"/>
      <c r="GS47" s="80"/>
      <c r="GT47" s="80"/>
      <c r="GU47" s="80"/>
      <c r="GV47" s="80"/>
      <c r="GW47" s="80"/>
      <c r="GX47" s="80"/>
      <c r="GY47" s="80"/>
      <c r="GZ47" s="80"/>
      <c r="HA47" s="80"/>
      <c r="HB47" s="80"/>
      <c r="HC47" s="80"/>
      <c r="HD47" s="80"/>
      <c r="HE47" s="80"/>
      <c r="HF47" s="80"/>
      <c r="HG47" s="80"/>
      <c r="HH47" s="80"/>
      <c r="HI47" s="80"/>
      <c r="HJ47" s="80"/>
      <c r="HK47" s="80"/>
      <c r="HL47" s="80"/>
      <c r="HM47" s="80"/>
      <c r="HN47" s="80"/>
      <c r="HO47" s="80"/>
      <c r="HP47" s="80"/>
      <c r="HQ47" s="80"/>
      <c r="HR47" s="80"/>
      <c r="HS47" s="80"/>
      <c r="HT47" s="80"/>
      <c r="HU47" s="80"/>
      <c r="HV47" s="80"/>
      <c r="HW47" s="80"/>
      <c r="HX47" s="80"/>
      <c r="HY47" s="80"/>
      <c r="HZ47" s="80"/>
      <c r="IA47" s="80"/>
      <c r="IB47" s="80"/>
      <c r="IC47" s="80"/>
      <c r="ID47" s="80"/>
      <c r="IE47" s="80"/>
      <c r="IF47" s="80"/>
      <c r="IG47" s="80"/>
      <c r="IH47" s="80"/>
      <c r="II47" s="80"/>
      <c r="IJ47" s="80"/>
      <c r="IK47" s="80"/>
      <c r="IL47" s="80"/>
    </row>
    <row r="48" spans="1:246" s="67" customFormat="1" ht="15">
      <c r="A48" s="83" t="s">
        <v>423</v>
      </c>
      <c r="B48" s="83" t="s">
        <v>424</v>
      </c>
      <c r="C48" s="83" t="s">
        <v>95</v>
      </c>
      <c r="D48" s="84">
        <v>779</v>
      </c>
      <c r="E48" s="84">
        <v>1000</v>
      </c>
      <c r="F48" s="84">
        <v>1</v>
      </c>
      <c r="G48" s="84">
        <v>0</v>
      </c>
      <c r="H48" s="83">
        <f t="shared" si="3"/>
        <v>1</v>
      </c>
      <c r="I48" s="83">
        <f>IF(D48&lt;&gt;"",D48,IFERROR(E48/(IFERROR(SUM(Sales!C:C),0))*(IFERROR(SUM(Purchases!C:C),0)),0))</f>
        <v>779</v>
      </c>
      <c r="J48" s="83">
        <f t="shared" si="4"/>
        <v>779</v>
      </c>
      <c r="K48" s="83">
        <f t="shared" si="5"/>
        <v>0</v>
      </c>
      <c r="L48" s="83" t="s">
        <v>170</v>
      </c>
      <c r="M48" s="83" t="s">
        <v>49</v>
      </c>
      <c r="N48" s="83" t="s">
        <v>337</v>
      </c>
      <c r="O48" s="83"/>
      <c r="P48" s="83"/>
      <c r="Q48" s="83"/>
      <c r="R48" s="83"/>
      <c r="S48" s="83"/>
      <c r="T48" s="83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  <c r="EN48" s="80"/>
      <c r="EO48" s="80"/>
      <c r="EP48" s="80"/>
      <c r="EQ48" s="80"/>
      <c r="ER48" s="80"/>
      <c r="ES48" s="80"/>
      <c r="ET48" s="80"/>
      <c r="EU48" s="80"/>
      <c r="EV48" s="80"/>
      <c r="EW48" s="80"/>
      <c r="EX48" s="80"/>
      <c r="EY48" s="80"/>
      <c r="EZ48" s="80"/>
      <c r="FA48" s="80"/>
      <c r="FB48" s="80"/>
      <c r="FC48" s="80"/>
      <c r="FD48" s="80"/>
      <c r="FE48" s="80"/>
      <c r="FF48" s="80"/>
      <c r="FG48" s="80"/>
      <c r="FH48" s="80"/>
      <c r="FI48" s="80"/>
      <c r="FJ48" s="80"/>
      <c r="FK48" s="80"/>
      <c r="FL48" s="80"/>
      <c r="FM48" s="80"/>
      <c r="FN48" s="80"/>
      <c r="FO48" s="80"/>
      <c r="FP48" s="80"/>
      <c r="FQ48" s="80"/>
      <c r="FR48" s="80"/>
      <c r="FS48" s="80"/>
      <c r="FT48" s="80"/>
      <c r="FU48" s="80"/>
      <c r="FV48" s="80"/>
      <c r="FW48" s="80"/>
      <c r="FX48" s="80"/>
      <c r="FY48" s="80"/>
      <c r="FZ48" s="80"/>
      <c r="GA48" s="80"/>
      <c r="GB48" s="80"/>
      <c r="GC48" s="80"/>
      <c r="GD48" s="80"/>
      <c r="GE48" s="80"/>
      <c r="GF48" s="80"/>
      <c r="GG48" s="80"/>
      <c r="GH48" s="80"/>
      <c r="GI48" s="80"/>
      <c r="GJ48" s="80"/>
      <c r="GK48" s="80"/>
      <c r="GL48" s="80"/>
      <c r="GM48" s="80"/>
      <c r="GN48" s="80"/>
      <c r="GO48" s="80"/>
      <c r="GP48" s="80"/>
      <c r="GQ48" s="80"/>
      <c r="GR48" s="80"/>
      <c r="GS48" s="80"/>
      <c r="GT48" s="80"/>
      <c r="GU48" s="80"/>
      <c r="GV48" s="80"/>
      <c r="GW48" s="80"/>
      <c r="GX48" s="80"/>
      <c r="GY48" s="80"/>
      <c r="GZ48" s="80"/>
      <c r="HA48" s="80"/>
      <c r="HB48" s="80"/>
      <c r="HC48" s="80"/>
      <c r="HD48" s="80"/>
      <c r="HE48" s="80"/>
      <c r="HF48" s="80"/>
      <c r="HG48" s="80"/>
      <c r="HH48" s="80"/>
      <c r="HI48" s="80"/>
      <c r="HJ48" s="80"/>
      <c r="HK48" s="80"/>
      <c r="HL48" s="80"/>
      <c r="HM48" s="80"/>
      <c r="HN48" s="80"/>
      <c r="HO48" s="80"/>
      <c r="HP48" s="80"/>
      <c r="HQ48" s="80"/>
      <c r="HR48" s="80"/>
      <c r="HS48" s="80"/>
      <c r="HT48" s="80"/>
      <c r="HU48" s="80"/>
      <c r="HV48" s="80"/>
      <c r="HW48" s="80"/>
      <c r="HX48" s="80"/>
      <c r="HY48" s="80"/>
      <c r="HZ48" s="80"/>
      <c r="IA48" s="80"/>
      <c r="IB48" s="80"/>
      <c r="IC48" s="80"/>
      <c r="ID48" s="80"/>
      <c r="IE48" s="80"/>
      <c r="IF48" s="80"/>
      <c r="IG48" s="80"/>
      <c r="IH48" s="80"/>
      <c r="II48" s="80"/>
      <c r="IJ48" s="80"/>
      <c r="IK48" s="80"/>
      <c r="IL48" s="80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5">
        <v>895</v>
      </c>
      <c r="E49" s="85">
        <v>1400</v>
      </c>
      <c r="F49" s="85">
        <v>1</v>
      </c>
      <c r="G49" s="85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  <c r="EN49" s="80"/>
      <c r="EO49" s="80"/>
      <c r="EP49" s="80"/>
      <c r="EQ49" s="80"/>
      <c r="ER49" s="80"/>
      <c r="ES49" s="80"/>
      <c r="ET49" s="80"/>
      <c r="EU49" s="80"/>
      <c r="EV49" s="80"/>
      <c r="EW49" s="80"/>
      <c r="EX49" s="80"/>
      <c r="EY49" s="80"/>
      <c r="EZ49" s="80"/>
      <c r="FA49" s="80"/>
      <c r="FB49" s="80"/>
      <c r="FC49" s="80"/>
      <c r="FD49" s="80"/>
      <c r="FE49" s="80"/>
      <c r="FF49" s="80"/>
      <c r="FG49" s="80"/>
      <c r="FH49" s="80"/>
      <c r="FI49" s="80"/>
      <c r="FJ49" s="80"/>
      <c r="FK49" s="80"/>
      <c r="FL49" s="80"/>
      <c r="FM49" s="80"/>
      <c r="FN49" s="80"/>
      <c r="FO49" s="80"/>
      <c r="FP49" s="80"/>
      <c r="FQ49" s="80"/>
      <c r="FR49" s="80"/>
      <c r="FS49" s="80"/>
      <c r="FT49" s="80"/>
      <c r="FU49" s="80"/>
      <c r="FV49" s="80"/>
      <c r="FW49" s="80"/>
      <c r="FX49" s="80"/>
      <c r="FY49" s="80"/>
      <c r="FZ49" s="80"/>
      <c r="GA49" s="80"/>
      <c r="GB49" s="80"/>
      <c r="GC49" s="80"/>
      <c r="GD49" s="80"/>
      <c r="GE49" s="80"/>
      <c r="GF49" s="80"/>
      <c r="GG49" s="80"/>
      <c r="GH49" s="80"/>
      <c r="GI49" s="80"/>
      <c r="GJ49" s="80"/>
      <c r="GK49" s="80"/>
      <c r="GL49" s="80"/>
      <c r="GM49" s="80"/>
      <c r="GN49" s="80"/>
      <c r="GO49" s="80"/>
      <c r="GP49" s="80"/>
      <c r="GQ49" s="80"/>
      <c r="GR49" s="80"/>
      <c r="GS49" s="80"/>
      <c r="GT49" s="80"/>
      <c r="GU49" s="80"/>
      <c r="GV49" s="80"/>
      <c r="GW49" s="80"/>
      <c r="GX49" s="80"/>
      <c r="GY49" s="80"/>
      <c r="GZ49" s="80"/>
      <c r="HA49" s="80"/>
      <c r="HB49" s="80"/>
      <c r="HC49" s="80"/>
      <c r="HD49" s="80"/>
      <c r="HE49" s="80"/>
      <c r="HF49" s="80"/>
      <c r="HG49" s="80"/>
      <c r="HH49" s="80"/>
      <c r="HI49" s="80"/>
      <c r="HJ49" s="80"/>
      <c r="HK49" s="80"/>
      <c r="HL49" s="80"/>
      <c r="HM49" s="80"/>
      <c r="HN49" s="80"/>
      <c r="HO49" s="80"/>
      <c r="HP49" s="80"/>
      <c r="HQ49" s="80"/>
      <c r="HR49" s="80"/>
      <c r="HS49" s="80"/>
      <c r="HT49" s="80"/>
      <c r="HU49" s="80"/>
      <c r="HV49" s="80"/>
      <c r="HW49" s="80"/>
      <c r="HX49" s="80"/>
      <c r="HY49" s="80"/>
      <c r="HZ49" s="80"/>
      <c r="IA49" s="80"/>
      <c r="IB49" s="80"/>
      <c r="IC49" s="80"/>
      <c r="ID49" s="80"/>
      <c r="IE49" s="80"/>
      <c r="IF49" s="80"/>
      <c r="IG49" s="80"/>
      <c r="IH49" s="80"/>
      <c r="II49" s="80"/>
      <c r="IJ49" s="80"/>
      <c r="IK49" s="80"/>
      <c r="IL49" s="80"/>
    </row>
    <row r="50" spans="1:246" ht="15">
      <c r="A50" s="83" t="s">
        <v>428</v>
      </c>
      <c r="B50" s="83" t="s">
        <v>429</v>
      </c>
      <c r="C50" s="83" t="s">
        <v>96</v>
      </c>
      <c r="D50" s="84">
        <v>1145</v>
      </c>
      <c r="E50" s="84">
        <v>1400</v>
      </c>
      <c r="F50" s="84">
        <v>1</v>
      </c>
      <c r="G50" s="84">
        <v>0</v>
      </c>
      <c r="H50" s="83">
        <f t="shared" si="3"/>
        <v>1</v>
      </c>
      <c r="I50" s="83">
        <f>IF(D50&lt;&gt;"",D50,IFERROR(E50/(IFERROR(SUM(Sales!C:C),0))*(IFERROR(SUM(Purchases!C:C),0)),0))</f>
        <v>1145</v>
      </c>
      <c r="J50" s="83">
        <f t="shared" si="4"/>
        <v>1145</v>
      </c>
      <c r="K50" s="83">
        <f t="shared" si="5"/>
        <v>0</v>
      </c>
      <c r="L50" s="83" t="s">
        <v>51</v>
      </c>
      <c r="M50" s="83" t="s">
        <v>49</v>
      </c>
      <c r="N50" s="83" t="s">
        <v>337</v>
      </c>
      <c r="O50" s="83"/>
      <c r="P50" s="83"/>
      <c r="Q50" s="83"/>
      <c r="R50" s="83"/>
      <c r="S50" s="83"/>
      <c r="T50" s="83"/>
    </row>
    <row r="51" spans="1:246" ht="15">
      <c r="A51" s="78" t="s">
        <v>430</v>
      </c>
      <c r="B51" s="78" t="s">
        <v>396</v>
      </c>
      <c r="C51" s="78" t="s">
        <v>96</v>
      </c>
      <c r="D51" s="85">
        <v>1165</v>
      </c>
      <c r="E51" s="85">
        <v>1400</v>
      </c>
      <c r="F51" s="85">
        <v>1</v>
      </c>
      <c r="G51" s="85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3" t="s">
        <v>431</v>
      </c>
      <c r="B52" s="83" t="s">
        <v>289</v>
      </c>
      <c r="C52" s="83" t="s">
        <v>96</v>
      </c>
      <c r="D52" s="84">
        <v>1200</v>
      </c>
      <c r="E52" s="84">
        <v>799</v>
      </c>
      <c r="F52" s="84">
        <v>1</v>
      </c>
      <c r="G52" s="84">
        <v>3</v>
      </c>
      <c r="H52" s="83">
        <f t="shared" si="3"/>
        <v>4</v>
      </c>
      <c r="I52" s="83">
        <f>IF(D52&lt;&gt;"",D52,IFERROR(E52/(IFERROR(SUM(Sales!C:C),0))*(IFERROR(SUM(Purchases!C:C),0)),0))</f>
        <v>1200</v>
      </c>
      <c r="J52" s="83">
        <f t="shared" si="4"/>
        <v>1200</v>
      </c>
      <c r="K52" s="83">
        <f t="shared" si="5"/>
        <v>3600</v>
      </c>
      <c r="L52" s="83" t="s">
        <v>288</v>
      </c>
      <c r="M52" s="83"/>
      <c r="N52" s="83" t="s">
        <v>422</v>
      </c>
      <c r="O52" s="83" t="s">
        <v>432</v>
      </c>
      <c r="P52" s="83" t="s">
        <v>433</v>
      </c>
      <c r="Q52" s="83"/>
      <c r="R52" s="83"/>
      <c r="S52" s="83"/>
      <c r="T52" s="83"/>
    </row>
    <row r="53" spans="1:246" ht="15">
      <c r="A53" s="78" t="s">
        <v>434</v>
      </c>
      <c r="B53" s="78" t="s">
        <v>287</v>
      </c>
      <c r="C53" s="78" t="s">
        <v>96</v>
      </c>
      <c r="D53" s="85">
        <v>1941</v>
      </c>
      <c r="E53" s="85">
        <v>1250</v>
      </c>
      <c r="F53" s="85">
        <v>2</v>
      </c>
      <c r="G53" s="85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3" t="s">
        <v>437</v>
      </c>
      <c r="B54" s="86" t="s">
        <v>438</v>
      </c>
      <c r="C54" s="86" t="s">
        <v>96</v>
      </c>
      <c r="D54" s="87">
        <v>1476</v>
      </c>
      <c r="E54" s="87">
        <v>1600</v>
      </c>
      <c r="F54" s="87">
        <v>0</v>
      </c>
      <c r="G54" s="87">
        <v>2</v>
      </c>
      <c r="H54" s="86">
        <f t="shared" si="3"/>
        <v>2</v>
      </c>
      <c r="I54" s="86">
        <f>IF(D54&lt;&gt;"",D54,IFERROR(E54/(IFERROR(SUM(Sales!C:C),0))*(IFERROR(SUM(Purchases!C:C),0)),0))</f>
        <v>1476</v>
      </c>
      <c r="J54" s="86">
        <f t="shared" si="4"/>
        <v>0</v>
      </c>
      <c r="K54" s="86">
        <f t="shared" si="5"/>
        <v>2952</v>
      </c>
      <c r="L54" s="86"/>
      <c r="M54" s="86"/>
      <c r="N54" s="86" t="s">
        <v>311</v>
      </c>
      <c r="O54" s="86" t="s">
        <v>198</v>
      </c>
      <c r="P54" s="86" t="s">
        <v>439</v>
      </c>
      <c r="Q54" s="83" t="s">
        <v>440</v>
      </c>
      <c r="R54" s="86"/>
      <c r="S54" s="86"/>
      <c r="T54" s="86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/>
      <c r="FW54" s="81"/>
      <c r="FX54" s="81"/>
      <c r="FY54" s="81"/>
      <c r="FZ54" s="81"/>
      <c r="GA54" s="81"/>
      <c r="GB54" s="81"/>
      <c r="GC54" s="81"/>
      <c r="GD54" s="81"/>
      <c r="GE54" s="81"/>
      <c r="GF54" s="81"/>
      <c r="GG54" s="81"/>
      <c r="GH54" s="81"/>
      <c r="GI54" s="81"/>
      <c r="GJ54" s="81"/>
      <c r="GK54" s="81"/>
      <c r="GL54" s="81"/>
      <c r="GM54" s="81"/>
      <c r="GN54" s="81"/>
      <c r="GO54" s="81"/>
      <c r="GP54" s="81"/>
      <c r="GQ54" s="81"/>
      <c r="GR54" s="81"/>
      <c r="GS54" s="81"/>
      <c r="GT54" s="81"/>
      <c r="GU54" s="81"/>
      <c r="GV54" s="81"/>
      <c r="GW54" s="81"/>
      <c r="GX54" s="81"/>
      <c r="GY54" s="81"/>
      <c r="GZ54" s="81"/>
      <c r="HA54" s="81"/>
      <c r="HB54" s="81"/>
      <c r="HC54" s="81"/>
      <c r="HD54" s="81"/>
      <c r="HE54" s="81"/>
      <c r="HF54" s="81"/>
      <c r="HG54" s="81"/>
      <c r="HH54" s="81"/>
      <c r="HI54" s="81"/>
      <c r="HJ54" s="81"/>
      <c r="HK54" s="81"/>
      <c r="HL54" s="81"/>
      <c r="HM54" s="81"/>
      <c r="HN54" s="81"/>
      <c r="HO54" s="81"/>
      <c r="HP54" s="81"/>
      <c r="HQ54" s="81"/>
      <c r="HR54" s="81"/>
      <c r="HS54" s="81"/>
      <c r="HT54" s="81"/>
      <c r="HU54" s="81"/>
      <c r="HV54" s="81"/>
      <c r="HW54" s="81"/>
      <c r="HX54" s="81"/>
      <c r="HY54" s="81"/>
      <c r="HZ54" s="81"/>
      <c r="IA54" s="81"/>
      <c r="IB54" s="81"/>
      <c r="IC54" s="81"/>
      <c r="ID54" s="81"/>
      <c r="IE54" s="81"/>
      <c r="IF54" s="81"/>
      <c r="IG54" s="81"/>
      <c r="IH54" s="81"/>
      <c r="II54" s="81"/>
      <c r="IJ54" s="81"/>
      <c r="IK54" s="81"/>
      <c r="IL54" s="81"/>
    </row>
    <row r="55" spans="1:246" ht="15">
      <c r="A55" s="78" t="s">
        <v>441</v>
      </c>
      <c r="B55" s="78" t="s">
        <v>442</v>
      </c>
      <c r="C55" s="78" t="s">
        <v>96</v>
      </c>
      <c r="D55" s="85">
        <v>995</v>
      </c>
      <c r="E55" s="85">
        <v>1000</v>
      </c>
      <c r="F55" s="85">
        <v>1</v>
      </c>
      <c r="G55" s="85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3" t="s">
        <v>444</v>
      </c>
      <c r="B56" s="83" t="s">
        <v>352</v>
      </c>
      <c r="C56" s="83" t="s">
        <v>96</v>
      </c>
      <c r="D56" s="84">
        <v>839</v>
      </c>
      <c r="E56" s="84">
        <v>1000</v>
      </c>
      <c r="F56" s="84">
        <v>1</v>
      </c>
      <c r="G56" s="84">
        <v>0</v>
      </c>
      <c r="H56" s="83">
        <f t="shared" si="3"/>
        <v>1</v>
      </c>
      <c r="I56" s="83">
        <f>IF(D56&lt;&gt;"",D56,IFERROR(E56/(IFERROR(SUM(Sales!C:C),0))*(IFERROR(SUM(Purchases!C:C),0)),0))</f>
        <v>839</v>
      </c>
      <c r="J56" s="83">
        <f t="shared" si="4"/>
        <v>839</v>
      </c>
      <c r="K56" s="83">
        <f t="shared" si="5"/>
        <v>0</v>
      </c>
      <c r="L56" s="83" t="s">
        <v>51</v>
      </c>
      <c r="M56" s="83" t="s">
        <v>49</v>
      </c>
      <c r="N56" s="83" t="s">
        <v>337</v>
      </c>
      <c r="O56" s="83" t="s">
        <v>445</v>
      </c>
      <c r="P56" s="83"/>
      <c r="Q56" s="83"/>
      <c r="R56" s="83"/>
      <c r="S56" s="83"/>
      <c r="T56" s="83"/>
    </row>
    <row r="57" spans="1:246" ht="15">
      <c r="A57" s="78" t="s">
        <v>446</v>
      </c>
      <c r="B57" s="78" t="s">
        <v>447</v>
      </c>
      <c r="C57" s="78" t="s">
        <v>96</v>
      </c>
      <c r="D57" s="85">
        <v>1095</v>
      </c>
      <c r="E57" s="85">
        <v>1400</v>
      </c>
      <c r="F57" s="85">
        <v>0</v>
      </c>
      <c r="G57" s="85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3" t="s">
        <v>449</v>
      </c>
      <c r="B58" s="83" t="s">
        <v>450</v>
      </c>
      <c r="C58" s="83" t="s">
        <v>96</v>
      </c>
      <c r="D58" s="84">
        <v>839</v>
      </c>
      <c r="E58" s="84">
        <v>1000</v>
      </c>
      <c r="F58" s="84">
        <v>0</v>
      </c>
      <c r="G58" s="84">
        <v>2</v>
      </c>
      <c r="H58" s="83">
        <f t="shared" si="3"/>
        <v>2</v>
      </c>
      <c r="I58" s="83">
        <f>IF(D58&lt;&gt;"",D58,IFERROR(E58/(IFERROR(SUM(Sales!C:C),0))*(IFERROR(SUM(Purchases!C:C),0)),0))</f>
        <v>839</v>
      </c>
      <c r="J58" s="83">
        <f t="shared" si="4"/>
        <v>0</v>
      </c>
      <c r="K58" s="83">
        <f t="shared" si="5"/>
        <v>1678</v>
      </c>
      <c r="L58" s="83"/>
      <c r="M58" s="83"/>
      <c r="N58" s="83" t="s">
        <v>311</v>
      </c>
      <c r="O58" s="83" t="s">
        <v>451</v>
      </c>
      <c r="P58" s="83"/>
      <c r="Q58" s="83"/>
      <c r="R58" s="83"/>
      <c r="S58" s="83"/>
      <c r="T58" s="83"/>
    </row>
    <row r="59" spans="1:246" ht="15">
      <c r="A59" s="78" t="s">
        <v>452</v>
      </c>
      <c r="B59" s="78" t="s">
        <v>429</v>
      </c>
      <c r="C59" s="78" t="s">
        <v>96</v>
      </c>
      <c r="D59" s="85">
        <v>1145</v>
      </c>
      <c r="E59" s="85">
        <v>1500</v>
      </c>
      <c r="F59" s="85">
        <v>1</v>
      </c>
      <c r="G59" s="85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3" t="s">
        <v>456</v>
      </c>
      <c r="B60" s="83" t="s">
        <v>457</v>
      </c>
      <c r="C60" s="83" t="s">
        <v>96</v>
      </c>
      <c r="D60" s="84">
        <v>1080</v>
      </c>
      <c r="E60" s="84">
        <v>1400</v>
      </c>
      <c r="F60" s="84">
        <v>1</v>
      </c>
      <c r="G60" s="84">
        <v>1</v>
      </c>
      <c r="H60" s="83">
        <f t="shared" si="3"/>
        <v>2</v>
      </c>
      <c r="I60" s="83">
        <f>IF(D60&lt;&gt;"",D60,IFERROR(E60/(IFERROR(SUM(Sales!C:C),0))*(IFERROR(SUM(Purchases!C:C),0)),0))</f>
        <v>1080</v>
      </c>
      <c r="J60" s="83">
        <f t="shared" si="4"/>
        <v>1080</v>
      </c>
      <c r="K60" s="83">
        <f t="shared" si="5"/>
        <v>1080</v>
      </c>
      <c r="L60" s="83" t="s">
        <v>458</v>
      </c>
      <c r="M60" s="83" t="s">
        <v>49</v>
      </c>
      <c r="N60" s="83" t="s">
        <v>337</v>
      </c>
      <c r="O60" s="83"/>
      <c r="P60" s="83" t="s">
        <v>459</v>
      </c>
      <c r="Q60" s="83"/>
      <c r="R60" s="83"/>
      <c r="S60" s="83"/>
      <c r="T60" s="83"/>
    </row>
    <row r="61" spans="1:246" ht="45">
      <c r="A61" s="78" t="s">
        <v>460</v>
      </c>
      <c r="B61" s="78" t="s">
        <v>408</v>
      </c>
      <c r="C61" s="78" t="s">
        <v>96</v>
      </c>
      <c r="D61" s="85">
        <v>1096</v>
      </c>
      <c r="E61" s="85">
        <v>1600</v>
      </c>
      <c r="F61" s="85">
        <v>2</v>
      </c>
      <c r="G61" s="85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3" t="s">
        <v>465</v>
      </c>
      <c r="B62" s="83" t="s">
        <v>109</v>
      </c>
      <c r="C62" s="83" t="s">
        <v>95</v>
      </c>
      <c r="D62" s="84">
        <v>562</v>
      </c>
      <c r="E62" s="84">
        <v>750</v>
      </c>
      <c r="F62" s="84">
        <v>1</v>
      </c>
      <c r="G62" s="84">
        <v>1</v>
      </c>
      <c r="H62" s="83">
        <f t="shared" si="3"/>
        <v>2</v>
      </c>
      <c r="I62" s="83">
        <f>IF(D62&lt;&gt;"",D62,IFERROR(E62/(IFERROR(SUM(Sales!C:C),0))*(IFERROR(SUM(Purchases!C:C),0)),0))</f>
        <v>562</v>
      </c>
      <c r="J62" s="83">
        <f t="shared" si="4"/>
        <v>562</v>
      </c>
      <c r="K62" s="83">
        <f t="shared" si="5"/>
        <v>562</v>
      </c>
      <c r="L62" s="83" t="s">
        <v>466</v>
      </c>
      <c r="M62" s="83"/>
      <c r="N62" s="83" t="s">
        <v>422</v>
      </c>
      <c r="O62" s="83"/>
      <c r="P62" s="83"/>
      <c r="Q62" s="83"/>
      <c r="R62" s="83"/>
      <c r="S62" s="83"/>
      <c r="T62" s="83"/>
    </row>
    <row r="63" spans="1:246" ht="15">
      <c r="A63" s="78" t="s">
        <v>467</v>
      </c>
      <c r="B63" s="78" t="s">
        <v>343</v>
      </c>
      <c r="C63" s="78" t="s">
        <v>95</v>
      </c>
      <c r="D63" s="85">
        <v>525</v>
      </c>
      <c r="E63" s="85">
        <v>700</v>
      </c>
      <c r="F63" s="85">
        <v>1</v>
      </c>
      <c r="G63" s="85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3" t="s">
        <v>468</v>
      </c>
      <c r="B64" s="83" t="s">
        <v>343</v>
      </c>
      <c r="C64" s="83" t="s">
        <v>95</v>
      </c>
      <c r="D64" s="84">
        <v>972</v>
      </c>
      <c r="E64" s="84">
        <v>1600</v>
      </c>
      <c r="F64" s="84">
        <v>1</v>
      </c>
      <c r="G64" s="84">
        <v>0</v>
      </c>
      <c r="H64" s="83">
        <f t="shared" si="3"/>
        <v>1</v>
      </c>
      <c r="I64" s="83">
        <f>IF(D64&lt;&gt;"",D64,IFERROR(E64/(IFERROR(SUM(Sales!C:C),0))*(IFERROR(SUM(Purchases!C:C),0)),0))</f>
        <v>972</v>
      </c>
      <c r="J64" s="83">
        <f t="shared" si="4"/>
        <v>972</v>
      </c>
      <c r="K64" s="83">
        <f t="shared" si="5"/>
        <v>0</v>
      </c>
      <c r="L64" s="83" t="s">
        <v>192</v>
      </c>
      <c r="M64" s="83"/>
      <c r="N64" s="83" t="s">
        <v>337</v>
      </c>
      <c r="O64" s="83"/>
      <c r="P64" s="83"/>
      <c r="Q64" s="83"/>
      <c r="R64" s="83"/>
      <c r="S64" s="83"/>
      <c r="T64" s="83"/>
    </row>
    <row r="65" spans="1:20" ht="15">
      <c r="A65" s="78" t="s">
        <v>469</v>
      </c>
      <c r="B65" s="78" t="s">
        <v>470</v>
      </c>
      <c r="C65" s="78" t="s">
        <v>95</v>
      </c>
      <c r="D65" s="85">
        <v>1602</v>
      </c>
      <c r="E65" s="85">
        <v>1800</v>
      </c>
      <c r="F65" s="85">
        <v>0</v>
      </c>
      <c r="G65" s="85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3" t="s">
        <v>471</v>
      </c>
      <c r="B66" s="83" t="s">
        <v>472</v>
      </c>
      <c r="C66" s="83" t="s">
        <v>95</v>
      </c>
      <c r="D66" s="84">
        <v>779</v>
      </c>
      <c r="E66" s="84">
        <v>900</v>
      </c>
      <c r="F66" s="84">
        <v>2</v>
      </c>
      <c r="G66" s="84">
        <v>2</v>
      </c>
      <c r="H66" s="83">
        <f t="shared" ref="H66:H97" si="6">F66+IF(LEN(G66)=0,0,G66)</f>
        <v>4</v>
      </c>
      <c r="I66" s="83">
        <f>IF(D66&lt;&gt;"",D66,IFERROR(E66/(IFERROR(SUM(Sales!C:C),0))*(IFERROR(SUM(Purchases!C:C),0)),0))</f>
        <v>779</v>
      </c>
      <c r="J66" s="83">
        <f t="shared" ref="J66:J97" si="7">F66*I66</f>
        <v>1558</v>
      </c>
      <c r="K66" s="83">
        <f t="shared" ref="K66:K97" si="8">IF(LEN(G66)=0,0,G66)*I66</f>
        <v>1558</v>
      </c>
      <c r="L66" s="83" t="s">
        <v>473</v>
      </c>
      <c r="M66" s="83"/>
      <c r="N66" s="83" t="s">
        <v>422</v>
      </c>
      <c r="O66" s="83"/>
      <c r="P66" s="83"/>
      <c r="Q66" s="83"/>
      <c r="R66" s="83"/>
      <c r="S66" s="83"/>
      <c r="T66" s="83"/>
    </row>
    <row r="67" spans="1:20" ht="15">
      <c r="A67" s="78" t="s">
        <v>474</v>
      </c>
      <c r="B67" s="78" t="s">
        <v>475</v>
      </c>
      <c r="C67" s="78" t="s">
        <v>95</v>
      </c>
      <c r="D67" s="85">
        <v>633</v>
      </c>
      <c r="E67" s="85">
        <v>1400</v>
      </c>
      <c r="F67" s="85">
        <v>0</v>
      </c>
      <c r="G67" s="85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3" t="s">
        <v>476</v>
      </c>
      <c r="B68" s="83" t="s">
        <v>477</v>
      </c>
      <c r="C68" s="83" t="s">
        <v>95</v>
      </c>
      <c r="D68" s="84">
        <v>685</v>
      </c>
      <c r="E68" s="84">
        <v>1200</v>
      </c>
      <c r="F68" s="84">
        <v>1</v>
      </c>
      <c r="G68" s="84">
        <v>1</v>
      </c>
      <c r="H68" s="83">
        <f t="shared" si="6"/>
        <v>2</v>
      </c>
      <c r="I68" s="83">
        <f>IF(D68&lt;&gt;"",D68,IFERROR(E68/(IFERROR(SUM(Sales!C:C),0))*(IFERROR(SUM(Purchases!C:C),0)),0))</f>
        <v>685</v>
      </c>
      <c r="J68" s="83">
        <f t="shared" si="7"/>
        <v>685</v>
      </c>
      <c r="K68" s="83">
        <f t="shared" si="8"/>
        <v>685</v>
      </c>
      <c r="L68" s="83" t="s">
        <v>785</v>
      </c>
      <c r="M68" s="83"/>
      <c r="N68" s="83" t="s">
        <v>422</v>
      </c>
      <c r="O68" s="83"/>
      <c r="P68" s="83" t="s">
        <v>478</v>
      </c>
      <c r="Q68" s="83"/>
      <c r="R68" s="83"/>
      <c r="S68" s="83"/>
      <c r="T68" s="83"/>
    </row>
    <row r="69" spans="1:20" ht="15">
      <c r="A69" s="78" t="s">
        <v>479</v>
      </c>
      <c r="B69" s="78" t="s">
        <v>480</v>
      </c>
      <c r="C69" s="78" t="s">
        <v>96</v>
      </c>
      <c r="D69" s="85">
        <v>1700</v>
      </c>
      <c r="E69" s="85">
        <v>1700</v>
      </c>
      <c r="F69" s="85">
        <v>0</v>
      </c>
      <c r="G69" s="85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3" t="s">
        <v>482</v>
      </c>
      <c r="B70" s="83" t="s">
        <v>483</v>
      </c>
      <c r="C70" s="83" t="s">
        <v>95</v>
      </c>
      <c r="D70" s="84">
        <v>1148</v>
      </c>
      <c r="E70" s="84">
        <v>1399</v>
      </c>
      <c r="F70" s="84">
        <v>2</v>
      </c>
      <c r="G70" s="84">
        <v>0</v>
      </c>
      <c r="H70" s="83">
        <f t="shared" si="6"/>
        <v>2</v>
      </c>
      <c r="I70" s="83">
        <f>IF(D70&lt;&gt;"",D70,IFERROR(E70/(IFERROR(SUM(Sales!C:C),0))*(IFERROR(SUM(Purchases!C:C),0)),0))</f>
        <v>1148</v>
      </c>
      <c r="J70" s="83">
        <f t="shared" si="7"/>
        <v>2296</v>
      </c>
      <c r="K70" s="83">
        <f t="shared" si="8"/>
        <v>0</v>
      </c>
      <c r="L70" s="83" t="s">
        <v>484</v>
      </c>
      <c r="M70" s="83"/>
      <c r="N70" s="83" t="s">
        <v>337</v>
      </c>
      <c r="O70" s="83"/>
      <c r="P70" s="83"/>
      <c r="Q70" s="83"/>
      <c r="R70" s="83"/>
      <c r="S70" s="83"/>
      <c r="T70" s="83"/>
    </row>
    <row r="71" spans="1:20" ht="15">
      <c r="A71" s="78" t="s">
        <v>485</v>
      </c>
      <c r="B71" s="78" t="s">
        <v>486</v>
      </c>
      <c r="C71" s="78" t="s">
        <v>95</v>
      </c>
      <c r="D71" s="85">
        <v>857</v>
      </c>
      <c r="E71" s="85">
        <v>900</v>
      </c>
      <c r="F71" s="85">
        <v>3</v>
      </c>
      <c r="G71" s="85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781</v>
      </c>
      <c r="M71" s="78" t="s">
        <v>49</v>
      </c>
      <c r="N71" s="78" t="s">
        <v>337</v>
      </c>
      <c r="O71" s="78"/>
      <c r="P71" s="78" t="s">
        <v>752</v>
      </c>
      <c r="Q71" s="78"/>
      <c r="R71" s="78"/>
      <c r="S71" s="78"/>
      <c r="T71" s="78"/>
    </row>
    <row r="72" spans="1:20" ht="15">
      <c r="A72" s="83" t="s">
        <v>487</v>
      </c>
      <c r="B72" s="83" t="s">
        <v>488</v>
      </c>
      <c r="C72" s="83" t="s">
        <v>95</v>
      </c>
      <c r="D72" s="84">
        <v>1198</v>
      </c>
      <c r="E72" s="84">
        <v>1900</v>
      </c>
      <c r="F72" s="84">
        <v>1</v>
      </c>
      <c r="G72" s="84">
        <v>0</v>
      </c>
      <c r="H72" s="83">
        <f t="shared" si="6"/>
        <v>1</v>
      </c>
      <c r="I72" s="83">
        <f>IF(D72&lt;&gt;"",D72,IFERROR(E72/(IFERROR(SUM(Sales!C:C),0))*(IFERROR(SUM(Purchases!C:C),0)),0))</f>
        <v>1198</v>
      </c>
      <c r="J72" s="83">
        <f t="shared" si="7"/>
        <v>1198</v>
      </c>
      <c r="K72" s="83">
        <f t="shared" si="8"/>
        <v>0</v>
      </c>
      <c r="L72" s="83" t="s">
        <v>217</v>
      </c>
      <c r="M72" s="83"/>
      <c r="N72" s="83" t="s">
        <v>337</v>
      </c>
      <c r="O72" s="83"/>
      <c r="P72" s="83"/>
      <c r="Q72" s="83"/>
      <c r="R72" s="83"/>
      <c r="S72" s="83"/>
      <c r="T72" s="83"/>
    </row>
    <row r="73" spans="1:20" ht="15">
      <c r="A73" s="78" t="s">
        <v>489</v>
      </c>
      <c r="B73" s="78" t="s">
        <v>490</v>
      </c>
      <c r="C73" s="78" t="s">
        <v>96</v>
      </c>
      <c r="D73" s="85">
        <v>525</v>
      </c>
      <c r="E73" s="85">
        <v>800</v>
      </c>
      <c r="F73" s="85">
        <v>1</v>
      </c>
      <c r="G73" s="85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3" t="s">
        <v>491</v>
      </c>
      <c r="B74" s="83" t="s">
        <v>492</v>
      </c>
      <c r="C74" s="83" t="s">
        <v>95</v>
      </c>
      <c r="D74" s="84">
        <v>450</v>
      </c>
      <c r="E74" s="84">
        <v>600</v>
      </c>
      <c r="F74" s="84">
        <v>1</v>
      </c>
      <c r="G74" s="84">
        <v>0</v>
      </c>
      <c r="H74" s="83">
        <f t="shared" si="6"/>
        <v>1</v>
      </c>
      <c r="I74" s="83">
        <f>IF(D74&lt;&gt;"",D74,IFERROR(E74/(IFERROR(SUM(Sales!C:C),0))*(IFERROR(SUM(Purchases!C:C),0)),0))</f>
        <v>450</v>
      </c>
      <c r="J74" s="83">
        <f t="shared" si="7"/>
        <v>450</v>
      </c>
      <c r="K74" s="83">
        <f t="shared" si="8"/>
        <v>0</v>
      </c>
      <c r="L74" s="83" t="s">
        <v>173</v>
      </c>
      <c r="M74" s="83" t="s">
        <v>49</v>
      </c>
      <c r="N74" s="83" t="s">
        <v>337</v>
      </c>
      <c r="O74" s="83"/>
      <c r="P74" s="83"/>
      <c r="Q74" s="83"/>
      <c r="R74" s="83"/>
      <c r="S74" s="83"/>
      <c r="T74" s="83"/>
    </row>
    <row r="75" spans="1:20" ht="15">
      <c r="A75" s="78" t="s">
        <v>493</v>
      </c>
      <c r="B75" s="78" t="s">
        <v>386</v>
      </c>
      <c r="C75" s="78" t="s">
        <v>96</v>
      </c>
      <c r="D75" s="85">
        <v>1000</v>
      </c>
      <c r="E75" s="85">
        <v>1000</v>
      </c>
      <c r="F75" s="85">
        <v>1</v>
      </c>
      <c r="G75" s="85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3" t="s">
        <v>494</v>
      </c>
      <c r="B76" s="83" t="s">
        <v>495</v>
      </c>
      <c r="C76" s="83" t="s">
        <v>95</v>
      </c>
      <c r="D76" s="84">
        <v>1900</v>
      </c>
      <c r="E76" s="84">
        <v>1900</v>
      </c>
      <c r="F76" s="84">
        <v>1</v>
      </c>
      <c r="G76" s="84">
        <v>0</v>
      </c>
      <c r="H76" s="83">
        <f t="shared" si="6"/>
        <v>1</v>
      </c>
      <c r="I76" s="83">
        <f>IF(D76&lt;&gt;"",D76,IFERROR(E76/(IFERROR(SUM(Sales!C:C),0))*(IFERROR(SUM(Purchases!C:C),0)),0))</f>
        <v>1900</v>
      </c>
      <c r="J76" s="83">
        <f t="shared" si="7"/>
        <v>1900</v>
      </c>
      <c r="K76" s="83">
        <f t="shared" si="8"/>
        <v>0</v>
      </c>
      <c r="L76" s="83" t="s">
        <v>174</v>
      </c>
      <c r="M76" s="83" t="s">
        <v>49</v>
      </c>
      <c r="N76" s="83" t="s">
        <v>337</v>
      </c>
      <c r="O76" s="83"/>
      <c r="P76" s="83"/>
      <c r="Q76" s="83"/>
      <c r="R76" s="83"/>
      <c r="S76" s="83"/>
      <c r="T76" s="83"/>
    </row>
    <row r="77" spans="1:20" ht="15">
      <c r="A77" s="78" t="s">
        <v>496</v>
      </c>
      <c r="B77" s="78" t="s">
        <v>497</v>
      </c>
      <c r="C77" s="78" t="s">
        <v>96</v>
      </c>
      <c r="D77" s="85">
        <v>995</v>
      </c>
      <c r="E77" s="85">
        <v>1500</v>
      </c>
      <c r="F77" s="85">
        <v>1</v>
      </c>
      <c r="G77" s="85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3" t="s">
        <v>500</v>
      </c>
      <c r="B78" s="83" t="s">
        <v>501</v>
      </c>
      <c r="C78" s="83" t="s">
        <v>96</v>
      </c>
      <c r="D78" s="84">
        <v>1075</v>
      </c>
      <c r="E78" s="84">
        <v>1560</v>
      </c>
      <c r="F78" s="84">
        <v>2</v>
      </c>
      <c r="G78" s="84">
        <v>2</v>
      </c>
      <c r="H78" s="83">
        <f t="shared" si="6"/>
        <v>4</v>
      </c>
      <c r="I78" s="83">
        <f>IF(D78&lt;&gt;"",D78,IFERROR(E78/(IFERROR(SUM(Sales!C:C),0))*(IFERROR(SUM(Purchases!C:C),0)),0))</f>
        <v>1075</v>
      </c>
      <c r="J78" s="83">
        <f t="shared" si="7"/>
        <v>2150</v>
      </c>
      <c r="K78" s="83">
        <f t="shared" si="8"/>
        <v>2150</v>
      </c>
      <c r="L78" s="83" t="s">
        <v>502</v>
      </c>
      <c r="M78" s="83"/>
      <c r="N78" s="83" t="s">
        <v>422</v>
      </c>
      <c r="O78" s="83" t="s">
        <v>503</v>
      </c>
      <c r="P78" s="83"/>
      <c r="Q78" s="83"/>
      <c r="R78" s="83"/>
      <c r="S78" s="83"/>
      <c r="T78" s="83"/>
    </row>
    <row r="79" spans="1:20" ht="15">
      <c r="A79" s="78" t="s">
        <v>504</v>
      </c>
      <c r="B79" s="78" t="s">
        <v>505</v>
      </c>
      <c r="C79" s="78" t="s">
        <v>96</v>
      </c>
      <c r="D79" s="85">
        <v>1045</v>
      </c>
      <c r="E79" s="85">
        <v>1495</v>
      </c>
      <c r="F79" s="85">
        <v>0</v>
      </c>
      <c r="G79" s="85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3" t="s">
        <v>508</v>
      </c>
      <c r="B80" s="83" t="s">
        <v>509</v>
      </c>
      <c r="C80" s="83" t="s">
        <v>96</v>
      </c>
      <c r="D80" s="84">
        <v>1230</v>
      </c>
      <c r="E80" s="84">
        <v>1700</v>
      </c>
      <c r="F80" s="84">
        <v>2</v>
      </c>
      <c r="G80" s="84">
        <v>2</v>
      </c>
      <c r="H80" s="83">
        <f t="shared" si="6"/>
        <v>4</v>
      </c>
      <c r="I80" s="83">
        <f>IF(D80&lt;&gt;"",D80,IFERROR(E80/(IFERROR(SUM(Sales!C:C),0))*(IFERROR(SUM(Purchases!C:C),0)),0))</f>
        <v>1230</v>
      </c>
      <c r="J80" s="83">
        <f t="shared" si="7"/>
        <v>2460</v>
      </c>
      <c r="K80" s="83">
        <f t="shared" si="8"/>
        <v>2460</v>
      </c>
      <c r="L80" s="83" t="s">
        <v>510</v>
      </c>
      <c r="M80" s="83"/>
      <c r="N80" s="83" t="s">
        <v>422</v>
      </c>
      <c r="O80" s="83" t="s">
        <v>511</v>
      </c>
      <c r="P80" s="83"/>
      <c r="Q80" s="83"/>
      <c r="R80" s="83"/>
      <c r="S80" s="83"/>
      <c r="T80" s="83"/>
    </row>
    <row r="81" spans="1:20" ht="30">
      <c r="A81" s="78" t="s">
        <v>512</v>
      </c>
      <c r="B81" s="78" t="s">
        <v>513</v>
      </c>
      <c r="C81" s="78" t="s">
        <v>96</v>
      </c>
      <c r="D81" s="85">
        <v>595</v>
      </c>
      <c r="E81" s="85">
        <v>890</v>
      </c>
      <c r="F81" s="85">
        <v>3</v>
      </c>
      <c r="G81" s="85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3" t="s">
        <v>515</v>
      </c>
      <c r="B82" s="83" t="s">
        <v>516</v>
      </c>
      <c r="C82" s="83" t="s">
        <v>96</v>
      </c>
      <c r="D82" s="84">
        <v>1075</v>
      </c>
      <c r="E82" s="84">
        <v>1545</v>
      </c>
      <c r="F82" s="84">
        <v>3</v>
      </c>
      <c r="G82" s="84">
        <v>0</v>
      </c>
      <c r="H82" s="83">
        <f t="shared" si="6"/>
        <v>3</v>
      </c>
      <c r="I82" s="83">
        <f>IF(D82&lt;&gt;"",D82,IFERROR(E82/(IFERROR(SUM(Sales!C:C),0))*(IFERROR(SUM(Purchases!C:C),0)),0))</f>
        <v>1075</v>
      </c>
      <c r="J82" s="83">
        <f t="shared" si="7"/>
        <v>3225</v>
      </c>
      <c r="K82" s="83">
        <f t="shared" si="8"/>
        <v>0</v>
      </c>
      <c r="L82" s="83" t="s">
        <v>517</v>
      </c>
      <c r="M82" s="83"/>
      <c r="N82" s="83" t="s">
        <v>337</v>
      </c>
      <c r="O82" s="83"/>
      <c r="P82" s="83"/>
      <c r="Q82" s="83"/>
      <c r="R82" s="83"/>
      <c r="S82" s="83"/>
      <c r="T82" s="83"/>
    </row>
    <row r="83" spans="1:20" ht="30">
      <c r="A83" s="78" t="s">
        <v>518</v>
      </c>
      <c r="B83" s="78" t="s">
        <v>519</v>
      </c>
      <c r="C83" s="78" t="s">
        <v>96</v>
      </c>
      <c r="D83" s="85">
        <v>1004</v>
      </c>
      <c r="E83" s="85">
        <v>1495</v>
      </c>
      <c r="F83" s="85">
        <v>3</v>
      </c>
      <c r="G83" s="85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3" t="s">
        <v>522</v>
      </c>
      <c r="B84" s="83" t="s">
        <v>523</v>
      </c>
      <c r="C84" s="83" t="s">
        <v>96</v>
      </c>
      <c r="D84" s="84">
        <v>450</v>
      </c>
      <c r="E84" s="84">
        <v>650</v>
      </c>
      <c r="F84" s="84">
        <v>1</v>
      </c>
      <c r="G84" s="84">
        <v>2</v>
      </c>
      <c r="H84" s="83">
        <f t="shared" si="6"/>
        <v>3</v>
      </c>
      <c r="I84" s="83">
        <f>IF(D84&lt;&gt;"",D84,IFERROR(E84/(IFERROR(SUM(Sales!C:C),0))*(IFERROR(SUM(Purchases!C:C),0)),0))</f>
        <v>450</v>
      </c>
      <c r="J84" s="83">
        <f t="shared" si="7"/>
        <v>450</v>
      </c>
      <c r="K84" s="83">
        <f t="shared" si="8"/>
        <v>900</v>
      </c>
      <c r="L84" s="83" t="s">
        <v>524</v>
      </c>
      <c r="M84" s="83"/>
      <c r="N84" s="83" t="s">
        <v>422</v>
      </c>
      <c r="O84" s="83" t="s">
        <v>525</v>
      </c>
      <c r="P84" s="83"/>
      <c r="Q84" s="83"/>
      <c r="R84" s="83"/>
      <c r="S84" s="83"/>
      <c r="T84" s="83"/>
    </row>
    <row r="85" spans="1:20" ht="15">
      <c r="A85" s="78" t="s">
        <v>526</v>
      </c>
      <c r="B85" s="78" t="s">
        <v>527</v>
      </c>
      <c r="C85" s="78" t="s">
        <v>96</v>
      </c>
      <c r="D85" s="85">
        <v>895</v>
      </c>
      <c r="E85" s="85">
        <v>1350</v>
      </c>
      <c r="F85" s="85">
        <v>2</v>
      </c>
      <c r="G85" s="85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3" t="s">
        <v>529</v>
      </c>
      <c r="B86" s="83" t="s">
        <v>530</v>
      </c>
      <c r="C86" s="83" t="s">
        <v>96</v>
      </c>
      <c r="D86" s="84">
        <v>1045</v>
      </c>
      <c r="E86" s="84">
        <v>1495</v>
      </c>
      <c r="F86" s="84">
        <v>2</v>
      </c>
      <c r="G86" s="84">
        <v>2</v>
      </c>
      <c r="H86" s="83">
        <f t="shared" si="6"/>
        <v>4</v>
      </c>
      <c r="I86" s="83">
        <f>IF(D86&lt;&gt;"",D86,IFERROR(E86/(IFERROR(SUM(Sales!C:C),0))*(IFERROR(SUM(Purchases!C:C),0)),0))</f>
        <v>1045</v>
      </c>
      <c r="J86" s="83">
        <f t="shared" si="7"/>
        <v>2090</v>
      </c>
      <c r="K86" s="83">
        <f t="shared" si="8"/>
        <v>2090</v>
      </c>
      <c r="L86" s="83" t="s">
        <v>531</v>
      </c>
      <c r="M86" s="83"/>
      <c r="N86" s="83" t="s">
        <v>422</v>
      </c>
      <c r="O86" s="83" t="s">
        <v>503</v>
      </c>
      <c r="P86" s="83"/>
      <c r="Q86" s="83"/>
      <c r="R86" s="83"/>
      <c r="S86" s="83"/>
      <c r="T86" s="83"/>
    </row>
    <row r="87" spans="1:20" ht="15">
      <c r="A87" s="78" t="s">
        <v>532</v>
      </c>
      <c r="B87" s="78" t="s">
        <v>533</v>
      </c>
      <c r="C87" s="78" t="s">
        <v>96</v>
      </c>
      <c r="D87" s="85">
        <v>1195</v>
      </c>
      <c r="E87" s="85">
        <v>1670</v>
      </c>
      <c r="F87" s="85">
        <v>1</v>
      </c>
      <c r="G87" s="85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3" t="s">
        <v>535</v>
      </c>
      <c r="B88" s="83" t="s">
        <v>536</v>
      </c>
      <c r="C88" s="83" t="s">
        <v>96</v>
      </c>
      <c r="D88" s="84">
        <v>795</v>
      </c>
      <c r="E88" s="84">
        <v>1200</v>
      </c>
      <c r="F88" s="84">
        <v>3</v>
      </c>
      <c r="G88" s="84">
        <v>1</v>
      </c>
      <c r="H88" s="83">
        <f t="shared" si="6"/>
        <v>4</v>
      </c>
      <c r="I88" s="83">
        <f>IF(D88&lt;&gt;"",D88,IFERROR(E88/(IFERROR(SUM(Sales!C:C),0))*(IFERROR(SUM(Purchases!C:C),0)),0))</f>
        <v>795</v>
      </c>
      <c r="J88" s="83">
        <f t="shared" si="7"/>
        <v>2385</v>
      </c>
      <c r="K88" s="83">
        <f t="shared" si="8"/>
        <v>795</v>
      </c>
      <c r="L88" s="83" t="s">
        <v>537</v>
      </c>
      <c r="M88" s="83"/>
      <c r="N88" s="83" t="s">
        <v>422</v>
      </c>
      <c r="O88" s="83" t="s">
        <v>538</v>
      </c>
      <c r="P88" s="83"/>
      <c r="Q88" s="83"/>
      <c r="R88" s="83"/>
      <c r="S88" s="83"/>
      <c r="T88" s="83"/>
    </row>
    <row r="89" spans="1:20" ht="15">
      <c r="A89" s="78" t="s">
        <v>539</v>
      </c>
      <c r="B89" s="78" t="s">
        <v>540</v>
      </c>
      <c r="C89" s="78" t="s">
        <v>95</v>
      </c>
      <c r="D89" s="85">
        <v>1048</v>
      </c>
      <c r="E89" s="85">
        <v>1200</v>
      </c>
      <c r="F89" s="85">
        <v>2</v>
      </c>
      <c r="G89" s="85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792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3" t="s">
        <v>541</v>
      </c>
      <c r="B90" s="83" t="s">
        <v>542</v>
      </c>
      <c r="C90" s="83" t="s">
        <v>95</v>
      </c>
      <c r="D90" s="84">
        <v>1195</v>
      </c>
      <c r="E90" s="84">
        <v>1450</v>
      </c>
      <c r="F90" s="84">
        <v>1</v>
      </c>
      <c r="G90" s="84">
        <v>0</v>
      </c>
      <c r="H90" s="83">
        <f t="shared" si="6"/>
        <v>1</v>
      </c>
      <c r="I90" s="83">
        <f>IF(D90&lt;&gt;"",D90,IFERROR(E90/(IFERROR(SUM(Sales!C:C),0))*(IFERROR(SUM(Purchases!C:C),0)),0))</f>
        <v>1195</v>
      </c>
      <c r="J90" s="83">
        <f t="shared" si="7"/>
        <v>1195</v>
      </c>
      <c r="K90" s="83">
        <f t="shared" si="8"/>
        <v>0</v>
      </c>
      <c r="L90" s="83" t="s">
        <v>255</v>
      </c>
      <c r="M90" s="83"/>
      <c r="N90" s="83" t="s">
        <v>337</v>
      </c>
      <c r="O90" s="83"/>
      <c r="P90" s="83"/>
      <c r="Q90" s="83"/>
      <c r="R90" s="83"/>
      <c r="S90" s="83"/>
      <c r="T90" s="83"/>
    </row>
    <row r="91" spans="1:20" ht="15">
      <c r="A91" s="78" t="s">
        <v>543</v>
      </c>
      <c r="B91" s="78" t="s">
        <v>544</v>
      </c>
      <c r="C91" s="78" t="s">
        <v>545</v>
      </c>
      <c r="D91" s="85">
        <v>389</v>
      </c>
      <c r="E91" s="85">
        <v>689</v>
      </c>
      <c r="F91" s="85">
        <v>1</v>
      </c>
      <c r="G91" s="85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3" t="s">
        <v>547</v>
      </c>
      <c r="B92" s="83" t="s">
        <v>548</v>
      </c>
      <c r="C92" s="83" t="s">
        <v>545</v>
      </c>
      <c r="D92" s="84">
        <v>489</v>
      </c>
      <c r="E92" s="84">
        <v>789</v>
      </c>
      <c r="F92" s="84">
        <v>3</v>
      </c>
      <c r="G92" s="84">
        <v>0</v>
      </c>
      <c r="H92" s="83">
        <f t="shared" si="6"/>
        <v>3</v>
      </c>
      <c r="I92" s="83">
        <f>IF(D92&lt;&gt;"",D92,IFERROR(E92/(IFERROR(SUM(Sales!C:C),0))*(IFERROR(SUM(Purchases!C:C),0)),0))</f>
        <v>489</v>
      </c>
      <c r="J92" s="83">
        <f t="shared" si="7"/>
        <v>1467</v>
      </c>
      <c r="K92" s="83">
        <f t="shared" si="8"/>
        <v>0</v>
      </c>
      <c r="L92" s="83" t="s">
        <v>549</v>
      </c>
      <c r="M92" s="83"/>
      <c r="N92" s="83" t="s">
        <v>337</v>
      </c>
      <c r="O92" s="83"/>
      <c r="P92" s="83"/>
      <c r="Q92" s="83"/>
      <c r="R92" s="83"/>
      <c r="S92" s="83"/>
      <c r="T92" s="83"/>
    </row>
    <row r="93" spans="1:20" ht="15">
      <c r="A93" s="78" t="s">
        <v>550</v>
      </c>
      <c r="B93" s="78" t="s">
        <v>551</v>
      </c>
      <c r="C93" s="78" t="s">
        <v>97</v>
      </c>
      <c r="D93" s="85">
        <v>472</v>
      </c>
      <c r="E93" s="85">
        <v>650</v>
      </c>
      <c r="F93" s="85">
        <v>1</v>
      </c>
      <c r="G93" s="85">
        <v>2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472</v>
      </c>
      <c r="K93" s="78">
        <f t="shared" si="8"/>
        <v>944</v>
      </c>
      <c r="L93" s="78" t="s">
        <v>552</v>
      </c>
      <c r="M93" s="78"/>
      <c r="N93" s="83" t="s">
        <v>422</v>
      </c>
      <c r="O93" s="78" t="s">
        <v>553</v>
      </c>
      <c r="P93" s="78"/>
      <c r="Q93" s="78"/>
      <c r="R93" s="78"/>
      <c r="S93" s="78"/>
      <c r="T93" s="78"/>
    </row>
    <row r="94" spans="1:20" ht="15">
      <c r="A94" s="83" t="s">
        <v>554</v>
      </c>
      <c r="B94" s="83" t="s">
        <v>555</v>
      </c>
      <c r="C94" s="83" t="s">
        <v>95</v>
      </c>
      <c r="D94" s="84">
        <v>892</v>
      </c>
      <c r="E94" s="84">
        <v>1400</v>
      </c>
      <c r="F94" s="84">
        <v>1</v>
      </c>
      <c r="G94" s="84">
        <v>0</v>
      </c>
      <c r="H94" s="83">
        <f t="shared" si="6"/>
        <v>1</v>
      </c>
      <c r="I94" s="83">
        <f>IF(D94&lt;&gt;"",D94,IFERROR(E94/(IFERROR(SUM(Sales!C:C),0))*(IFERROR(SUM(Purchases!C:C),0)),0))</f>
        <v>892</v>
      </c>
      <c r="J94" s="83">
        <f t="shared" si="7"/>
        <v>892</v>
      </c>
      <c r="K94" s="83">
        <f t="shared" si="8"/>
        <v>0</v>
      </c>
      <c r="L94" s="83" t="s">
        <v>183</v>
      </c>
      <c r="M94" s="83"/>
      <c r="N94" s="83" t="s">
        <v>337</v>
      </c>
      <c r="O94" s="83"/>
      <c r="P94" s="83"/>
      <c r="Q94" s="83"/>
      <c r="R94" s="83"/>
      <c r="S94" s="83"/>
      <c r="T94" s="83"/>
    </row>
    <row r="95" spans="1:20" ht="15">
      <c r="A95" s="78" t="s">
        <v>556</v>
      </c>
      <c r="B95" s="78" t="s">
        <v>557</v>
      </c>
      <c r="C95" s="78" t="s">
        <v>95</v>
      </c>
      <c r="D95" s="85">
        <v>340</v>
      </c>
      <c r="E95" s="85">
        <v>600</v>
      </c>
      <c r="F95" s="85">
        <v>3</v>
      </c>
      <c r="G95" s="85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558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3" t="s">
        <v>559</v>
      </c>
      <c r="B96" s="83" t="s">
        <v>560</v>
      </c>
      <c r="C96" s="83" t="s">
        <v>95</v>
      </c>
      <c r="D96" s="84">
        <v>1250</v>
      </c>
      <c r="E96" s="84">
        <v>1450</v>
      </c>
      <c r="F96" s="84">
        <v>0</v>
      </c>
      <c r="G96" s="84">
        <v>1</v>
      </c>
      <c r="H96" s="83">
        <f t="shared" si="6"/>
        <v>1</v>
      </c>
      <c r="I96" s="83">
        <f>IF(D96&lt;&gt;"",D96,IFERROR(E96/(IFERROR(SUM(Sales!C:C),0))*(IFERROR(SUM(Purchases!C:C),0)),0))</f>
        <v>1250</v>
      </c>
      <c r="J96" s="83">
        <f t="shared" si="7"/>
        <v>0</v>
      </c>
      <c r="K96" s="83">
        <f t="shared" si="8"/>
        <v>1250</v>
      </c>
      <c r="L96" s="83"/>
      <c r="M96" s="83"/>
      <c r="N96" s="83" t="s">
        <v>506</v>
      </c>
      <c r="O96" s="83"/>
      <c r="P96" s="83"/>
      <c r="Q96" s="83"/>
      <c r="R96" s="83"/>
      <c r="S96" s="83"/>
      <c r="T96" s="83"/>
    </row>
    <row r="97" spans="1:20" ht="15">
      <c r="A97" s="78" t="s">
        <v>561</v>
      </c>
      <c r="B97" s="78" t="s">
        <v>562</v>
      </c>
      <c r="C97" s="78" t="s">
        <v>95</v>
      </c>
      <c r="D97" s="85">
        <v>1250</v>
      </c>
      <c r="E97" s="85">
        <v>1450</v>
      </c>
      <c r="F97" s="85">
        <v>1</v>
      </c>
      <c r="G97" s="85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3" t="s">
        <v>563</v>
      </c>
      <c r="B98" s="83" t="s">
        <v>564</v>
      </c>
      <c r="C98" s="83" t="s">
        <v>96</v>
      </c>
      <c r="D98" s="84">
        <v>1300</v>
      </c>
      <c r="E98" s="84">
        <v>1500</v>
      </c>
      <c r="F98" s="84">
        <v>1</v>
      </c>
      <c r="G98" s="84">
        <v>0</v>
      </c>
      <c r="H98" s="83">
        <f t="shared" ref="H98:H129" si="9">F98+IF(LEN(G98)=0,0,G98)</f>
        <v>1</v>
      </c>
      <c r="I98" s="83">
        <f>IF(D98&lt;&gt;"",D98,IFERROR(E98/(IFERROR(SUM(Sales!C:C),0))*(IFERROR(SUM(Purchases!C:C),0)),0))</f>
        <v>1300</v>
      </c>
      <c r="J98" s="83">
        <f t="shared" ref="J98:J129" si="10">F98*I98</f>
        <v>1300</v>
      </c>
      <c r="K98" s="83">
        <f t="shared" ref="K98:K129" si="11">IF(LEN(G98)=0,0,G98)*I98</f>
        <v>0</v>
      </c>
      <c r="L98" s="83" t="s">
        <v>169</v>
      </c>
      <c r="M98" s="83"/>
      <c r="N98" s="83" t="s">
        <v>337</v>
      </c>
      <c r="O98" s="83" t="s">
        <v>198</v>
      </c>
      <c r="P98" s="83"/>
      <c r="Q98" s="83"/>
      <c r="R98" s="83"/>
      <c r="S98" s="83"/>
      <c r="T98" s="83"/>
    </row>
    <row r="99" spans="1:20" ht="15">
      <c r="A99" s="78" t="s">
        <v>565</v>
      </c>
      <c r="B99" s="78" t="s">
        <v>566</v>
      </c>
      <c r="C99" s="78" t="s">
        <v>96</v>
      </c>
      <c r="D99" s="85">
        <v>1160</v>
      </c>
      <c r="E99" s="85">
        <v>1500</v>
      </c>
      <c r="F99" s="85">
        <v>1</v>
      </c>
      <c r="G99" s="85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3" t="s">
        <v>567</v>
      </c>
      <c r="B100" s="83" t="s">
        <v>568</v>
      </c>
      <c r="C100" s="83" t="s">
        <v>96</v>
      </c>
      <c r="D100" s="84">
        <v>1300</v>
      </c>
      <c r="E100" s="84">
        <v>1500</v>
      </c>
      <c r="F100" s="84">
        <v>1</v>
      </c>
      <c r="G100" s="84">
        <v>0</v>
      </c>
      <c r="H100" s="83">
        <f t="shared" si="9"/>
        <v>1</v>
      </c>
      <c r="I100" s="83">
        <f>IF(D100&lt;&gt;"",D100,IFERROR(E100/(IFERROR(SUM(Sales!C:C),0))*(IFERROR(SUM(Purchases!C:C),0)),0))</f>
        <v>1300</v>
      </c>
      <c r="J100" s="83">
        <f t="shared" si="10"/>
        <v>1300</v>
      </c>
      <c r="K100" s="83">
        <f t="shared" si="11"/>
        <v>0</v>
      </c>
      <c r="L100" s="83" t="s">
        <v>169</v>
      </c>
      <c r="M100" s="83"/>
      <c r="N100" s="83" t="s">
        <v>337</v>
      </c>
      <c r="O100" s="83" t="s">
        <v>198</v>
      </c>
      <c r="P100" s="83"/>
      <c r="Q100" s="83"/>
      <c r="R100" s="83"/>
      <c r="S100" s="83"/>
      <c r="T100" s="83"/>
    </row>
    <row r="101" spans="1:20" ht="15">
      <c r="A101" s="78" t="s">
        <v>569</v>
      </c>
      <c r="B101" s="78" t="s">
        <v>570</v>
      </c>
      <c r="C101" s="78" t="s">
        <v>96</v>
      </c>
      <c r="D101" s="85">
        <v>1622</v>
      </c>
      <c r="E101" s="85">
        <v>1900</v>
      </c>
      <c r="F101" s="85">
        <v>1</v>
      </c>
      <c r="G101" s="85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3" t="s">
        <v>571</v>
      </c>
      <c r="B102" s="83" t="s">
        <v>572</v>
      </c>
      <c r="C102" s="83" t="s">
        <v>96</v>
      </c>
      <c r="D102" s="84">
        <v>1092</v>
      </c>
      <c r="E102" s="84">
        <v>1500</v>
      </c>
      <c r="F102" s="84">
        <v>1</v>
      </c>
      <c r="G102" s="84">
        <v>0</v>
      </c>
      <c r="H102" s="83">
        <f t="shared" si="9"/>
        <v>1</v>
      </c>
      <c r="I102" s="83">
        <f>IF(D102&lt;&gt;"",D102,IFERROR(E102/(IFERROR(SUM(Sales!C:C),0))*(IFERROR(SUM(Purchases!C:C),0)),0))</f>
        <v>1092</v>
      </c>
      <c r="J102" s="83">
        <f t="shared" si="10"/>
        <v>1092</v>
      </c>
      <c r="K102" s="83">
        <f t="shared" si="11"/>
        <v>0</v>
      </c>
      <c r="L102" s="83" t="s">
        <v>185</v>
      </c>
      <c r="M102" s="83"/>
      <c r="N102" s="83" t="s">
        <v>337</v>
      </c>
      <c r="O102" s="83" t="s">
        <v>198</v>
      </c>
      <c r="P102" s="83"/>
      <c r="Q102" s="83"/>
      <c r="R102" s="83"/>
      <c r="S102" s="83"/>
      <c r="T102" s="83"/>
    </row>
    <row r="103" spans="1:20" ht="15">
      <c r="A103" s="78" t="s">
        <v>573</v>
      </c>
      <c r="B103" s="78" t="s">
        <v>574</v>
      </c>
      <c r="C103" s="78" t="s">
        <v>96</v>
      </c>
      <c r="D103" s="85">
        <v>976</v>
      </c>
      <c r="E103" s="85">
        <v>1399</v>
      </c>
      <c r="F103" s="85">
        <v>1</v>
      </c>
      <c r="G103" s="85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3" t="s">
        <v>575</v>
      </c>
      <c r="B104" s="83" t="s">
        <v>576</v>
      </c>
      <c r="C104" s="83" t="s">
        <v>96</v>
      </c>
      <c r="D104" s="84">
        <v>976</v>
      </c>
      <c r="E104" s="84">
        <v>1600</v>
      </c>
      <c r="F104" s="84">
        <v>1</v>
      </c>
      <c r="G104" s="84">
        <v>0</v>
      </c>
      <c r="H104" s="83">
        <f t="shared" si="9"/>
        <v>1</v>
      </c>
      <c r="I104" s="83">
        <f>IF(D104&lt;&gt;"",D104,IFERROR(E104/(IFERROR(SUM(Sales!C:C),0))*(IFERROR(SUM(Purchases!C:C),0)),0))</f>
        <v>976</v>
      </c>
      <c r="J104" s="83">
        <f t="shared" si="10"/>
        <v>976</v>
      </c>
      <c r="K104" s="83">
        <f t="shared" si="11"/>
        <v>0</v>
      </c>
      <c r="L104" s="83" t="s">
        <v>152</v>
      </c>
      <c r="M104" s="83"/>
      <c r="N104" s="83" t="s">
        <v>337</v>
      </c>
      <c r="O104" s="83" t="s">
        <v>198</v>
      </c>
      <c r="P104" s="83"/>
      <c r="Q104" s="83"/>
      <c r="R104" s="83"/>
      <c r="S104" s="83"/>
      <c r="T104" s="83"/>
    </row>
    <row r="105" spans="1:20" ht="15">
      <c r="A105" s="78" t="s">
        <v>577</v>
      </c>
      <c r="B105" s="78" t="s">
        <v>578</v>
      </c>
      <c r="C105" s="78" t="s">
        <v>96</v>
      </c>
      <c r="D105" s="85">
        <v>976</v>
      </c>
      <c r="E105" s="85">
        <v>1600</v>
      </c>
      <c r="F105" s="85">
        <v>1</v>
      </c>
      <c r="G105" s="85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3" t="s">
        <v>579</v>
      </c>
      <c r="B106" s="83" t="s">
        <v>580</v>
      </c>
      <c r="C106" s="83" t="s">
        <v>96</v>
      </c>
      <c r="D106" s="84">
        <v>976</v>
      </c>
      <c r="E106" s="84">
        <v>1600</v>
      </c>
      <c r="F106" s="84">
        <v>0</v>
      </c>
      <c r="G106" s="84">
        <v>1</v>
      </c>
      <c r="H106" s="83">
        <f t="shared" si="9"/>
        <v>1</v>
      </c>
      <c r="I106" s="83">
        <f>IF(D106&lt;&gt;"",D106,IFERROR(E106/(IFERROR(SUM(Sales!C:C),0))*(IFERROR(SUM(Purchases!C:C),0)),0))</f>
        <v>976</v>
      </c>
      <c r="J106" s="83">
        <f t="shared" si="10"/>
        <v>0</v>
      </c>
      <c r="K106" s="83">
        <f t="shared" si="11"/>
        <v>976</v>
      </c>
      <c r="L106" s="83"/>
      <c r="M106" s="83"/>
      <c r="N106" s="83" t="s">
        <v>311</v>
      </c>
      <c r="O106" s="83" t="s">
        <v>198</v>
      </c>
      <c r="P106" s="83"/>
      <c r="Q106" s="83"/>
      <c r="R106" s="83"/>
      <c r="S106" s="83"/>
      <c r="T106" s="83"/>
    </row>
    <row r="107" spans="1:20" ht="15">
      <c r="A107" s="78" t="s">
        <v>581</v>
      </c>
      <c r="B107" s="78" t="s">
        <v>582</v>
      </c>
      <c r="C107" s="78" t="s">
        <v>96</v>
      </c>
      <c r="D107" s="85">
        <v>976</v>
      </c>
      <c r="E107" s="85">
        <v>1400</v>
      </c>
      <c r="F107" s="85">
        <v>1</v>
      </c>
      <c r="G107" s="85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3" t="s">
        <v>583</v>
      </c>
      <c r="B108" s="83" t="s">
        <v>584</v>
      </c>
      <c r="C108" s="83" t="s">
        <v>96</v>
      </c>
      <c r="D108" s="84">
        <v>976</v>
      </c>
      <c r="E108" s="84">
        <v>1600</v>
      </c>
      <c r="F108" s="84">
        <v>1</v>
      </c>
      <c r="G108" s="84">
        <v>0</v>
      </c>
      <c r="H108" s="83">
        <f t="shared" si="9"/>
        <v>1</v>
      </c>
      <c r="I108" s="83">
        <f>IF(D108&lt;&gt;"",D108,IFERROR(E108/(IFERROR(SUM(Sales!C:C),0))*(IFERROR(SUM(Purchases!C:C),0)),0))</f>
        <v>976</v>
      </c>
      <c r="J108" s="83">
        <f t="shared" si="10"/>
        <v>976</v>
      </c>
      <c r="K108" s="83">
        <f t="shared" si="11"/>
        <v>0</v>
      </c>
      <c r="L108" s="83" t="s">
        <v>182</v>
      </c>
      <c r="M108" s="83"/>
      <c r="N108" s="83" t="s">
        <v>337</v>
      </c>
      <c r="O108" s="83" t="s">
        <v>198</v>
      </c>
      <c r="P108" s="83"/>
      <c r="Q108" s="83"/>
      <c r="R108" s="83"/>
      <c r="S108" s="83"/>
      <c r="T108" s="83"/>
    </row>
    <row r="109" spans="1:20" ht="15">
      <c r="A109" s="78" t="s">
        <v>585</v>
      </c>
      <c r="B109" s="78" t="s">
        <v>586</v>
      </c>
      <c r="C109" s="78" t="s">
        <v>96</v>
      </c>
      <c r="D109" s="85">
        <v>976</v>
      </c>
      <c r="E109" s="85">
        <v>1500</v>
      </c>
      <c r="F109" s="85">
        <v>1</v>
      </c>
      <c r="G109" s="85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3" t="s">
        <v>587</v>
      </c>
      <c r="B110" s="83" t="s">
        <v>588</v>
      </c>
      <c r="C110" s="83" t="s">
        <v>96</v>
      </c>
      <c r="D110" s="84">
        <v>976</v>
      </c>
      <c r="E110" s="84">
        <v>1600</v>
      </c>
      <c r="F110" s="84">
        <v>1</v>
      </c>
      <c r="G110" s="84">
        <v>0</v>
      </c>
      <c r="H110" s="83">
        <f t="shared" si="9"/>
        <v>1</v>
      </c>
      <c r="I110" s="83">
        <f>IF(D110&lt;&gt;"",D110,IFERROR(E110/(IFERROR(SUM(Sales!C:C),0))*(IFERROR(SUM(Purchases!C:C),0)),0))</f>
        <v>976</v>
      </c>
      <c r="J110" s="83">
        <f t="shared" si="10"/>
        <v>976</v>
      </c>
      <c r="K110" s="83">
        <f t="shared" si="11"/>
        <v>0</v>
      </c>
      <c r="L110" s="83" t="s">
        <v>184</v>
      </c>
      <c r="M110" s="83"/>
      <c r="N110" s="83" t="s">
        <v>337</v>
      </c>
      <c r="O110" s="83" t="s">
        <v>198</v>
      </c>
      <c r="P110" s="83"/>
      <c r="Q110" s="83"/>
      <c r="R110" s="83"/>
      <c r="S110" s="83"/>
      <c r="T110" s="83"/>
    </row>
    <row r="111" spans="1:20" ht="15">
      <c r="A111" s="78" t="s">
        <v>589</v>
      </c>
      <c r="B111" s="78" t="s">
        <v>590</v>
      </c>
      <c r="C111" s="78" t="s">
        <v>96</v>
      </c>
      <c r="D111" s="85">
        <v>976</v>
      </c>
      <c r="E111" s="85">
        <v>1600</v>
      </c>
      <c r="F111" s="85">
        <v>1</v>
      </c>
      <c r="G111" s="85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3" t="s">
        <v>591</v>
      </c>
      <c r="B112" s="83" t="s">
        <v>592</v>
      </c>
      <c r="C112" s="83" t="s">
        <v>96</v>
      </c>
      <c r="D112" s="84">
        <v>976</v>
      </c>
      <c r="E112" s="84">
        <v>1600</v>
      </c>
      <c r="F112" s="84">
        <v>0</v>
      </c>
      <c r="G112" s="84">
        <v>1</v>
      </c>
      <c r="H112" s="83">
        <f t="shared" si="9"/>
        <v>1</v>
      </c>
      <c r="I112" s="83">
        <f>IF(D112&lt;&gt;"",D112,IFERROR(E112/(IFERROR(SUM(Sales!C:C),0))*(IFERROR(SUM(Purchases!C:C),0)),0))</f>
        <v>976</v>
      </c>
      <c r="J112" s="83">
        <f t="shared" si="10"/>
        <v>0</v>
      </c>
      <c r="K112" s="83">
        <f t="shared" si="11"/>
        <v>976</v>
      </c>
      <c r="L112" s="83"/>
      <c r="M112" s="83"/>
      <c r="N112" s="83" t="s">
        <v>506</v>
      </c>
      <c r="O112" s="83" t="s">
        <v>198</v>
      </c>
      <c r="P112" s="83"/>
      <c r="Q112" s="83"/>
      <c r="R112" s="83"/>
      <c r="S112" s="83"/>
      <c r="T112" s="83"/>
    </row>
    <row r="113" spans="1:246" ht="15">
      <c r="A113" s="78" t="s">
        <v>593</v>
      </c>
      <c r="B113" s="78" t="s">
        <v>594</v>
      </c>
      <c r="C113" s="78" t="s">
        <v>96</v>
      </c>
      <c r="D113" s="85">
        <v>976</v>
      </c>
      <c r="E113" s="85">
        <v>1300</v>
      </c>
      <c r="F113" s="85">
        <v>1</v>
      </c>
      <c r="G113" s="85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3" t="s">
        <v>595</v>
      </c>
      <c r="B114" s="83" t="s">
        <v>596</v>
      </c>
      <c r="C114" s="83" t="s">
        <v>95</v>
      </c>
      <c r="D114" s="84">
        <v>1118.26</v>
      </c>
      <c r="E114" s="84">
        <v>1500</v>
      </c>
      <c r="F114" s="84">
        <v>1</v>
      </c>
      <c r="G114" s="84">
        <v>0</v>
      </c>
      <c r="H114" s="83">
        <f t="shared" si="9"/>
        <v>1</v>
      </c>
      <c r="I114" s="83">
        <f>IF(D114&lt;&gt;"",D114,IFERROR(E114/(IFERROR(SUM(Sales!C:C),0))*(IFERROR(SUM(Purchases!C:C),0)),0))</f>
        <v>1118.26</v>
      </c>
      <c r="J114" s="83">
        <f t="shared" si="10"/>
        <v>1118.26</v>
      </c>
      <c r="K114" s="83">
        <f t="shared" si="11"/>
        <v>0</v>
      </c>
      <c r="L114" s="83" t="s">
        <v>215</v>
      </c>
      <c r="M114" s="83"/>
      <c r="N114" s="83" t="s">
        <v>337</v>
      </c>
      <c r="O114" s="83"/>
      <c r="P114" s="83"/>
      <c r="Q114" s="83"/>
      <c r="R114" s="83"/>
      <c r="S114" s="83"/>
      <c r="T114" s="83"/>
    </row>
    <row r="115" spans="1:246" ht="30">
      <c r="A115" s="78" t="s">
        <v>597</v>
      </c>
      <c r="B115" s="78" t="s">
        <v>598</v>
      </c>
      <c r="C115" s="78" t="s">
        <v>95</v>
      </c>
      <c r="D115" s="85">
        <v>1254.76</v>
      </c>
      <c r="E115" s="85">
        <v>1599</v>
      </c>
      <c r="F115" s="85">
        <v>5</v>
      </c>
      <c r="G115" s="85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761</v>
      </c>
      <c r="M115" s="78"/>
      <c r="N115" s="78" t="s">
        <v>337</v>
      </c>
      <c r="O115" s="78"/>
      <c r="P115" s="88"/>
      <c r="Q115" s="78"/>
      <c r="R115" s="78"/>
      <c r="S115" s="78"/>
      <c r="T115" s="78"/>
    </row>
    <row r="116" spans="1:246" ht="150">
      <c r="A116" s="83" t="s">
        <v>599</v>
      </c>
      <c r="B116" s="83" t="s">
        <v>600</v>
      </c>
      <c r="C116" s="83" t="s">
        <v>95</v>
      </c>
      <c r="D116" s="84">
        <v>891.5</v>
      </c>
      <c r="E116" s="84">
        <v>1400</v>
      </c>
      <c r="F116" s="84">
        <v>21</v>
      </c>
      <c r="G116" s="84">
        <v>0</v>
      </c>
      <c r="H116" s="83">
        <f t="shared" si="9"/>
        <v>21</v>
      </c>
      <c r="I116" s="83">
        <f>IF(D116&lt;&gt;"",D116,IFERROR(E116/(IFERROR(SUM(Sales!C:C),0))*(IFERROR(SUM(Purchases!C:C),0)),0))</f>
        <v>891.5</v>
      </c>
      <c r="J116" s="83">
        <f t="shared" si="10"/>
        <v>18721.5</v>
      </c>
      <c r="K116" s="83">
        <f t="shared" si="11"/>
        <v>0</v>
      </c>
      <c r="L116" s="83" t="s">
        <v>819</v>
      </c>
      <c r="M116" s="83"/>
      <c r="N116" s="83" t="s">
        <v>337</v>
      </c>
      <c r="O116" s="83"/>
      <c r="P116" s="83"/>
      <c r="Q116" s="83"/>
      <c r="R116" s="83"/>
      <c r="S116" s="83"/>
      <c r="T116" s="83"/>
    </row>
    <row r="117" spans="1:246" ht="15">
      <c r="A117" s="78" t="s">
        <v>601</v>
      </c>
      <c r="B117" s="78" t="s">
        <v>602</v>
      </c>
      <c r="C117" s="78" t="s">
        <v>95</v>
      </c>
      <c r="D117" s="85">
        <v>891.46</v>
      </c>
      <c r="E117" s="85">
        <v>1400</v>
      </c>
      <c r="F117" s="85">
        <v>1</v>
      </c>
      <c r="G117" s="85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3" t="s">
        <v>603</v>
      </c>
      <c r="B118" s="83" t="s">
        <v>604</v>
      </c>
      <c r="C118" s="83" t="s">
        <v>95</v>
      </c>
      <c r="D118" s="84">
        <v>1047.9000000000001</v>
      </c>
      <c r="E118" s="84">
        <v>1500</v>
      </c>
      <c r="F118" s="84">
        <v>1</v>
      </c>
      <c r="G118" s="84">
        <v>1</v>
      </c>
      <c r="H118" s="83">
        <f t="shared" si="9"/>
        <v>2</v>
      </c>
      <c r="I118" s="83">
        <f>IF(D118&lt;&gt;"",D118,IFERROR(E118/(IFERROR(SUM(Sales!C:C),0))*(IFERROR(SUM(Purchases!C:C),0)),0))</f>
        <v>1047.9000000000001</v>
      </c>
      <c r="J118" s="83">
        <f t="shared" si="10"/>
        <v>1047.9000000000001</v>
      </c>
      <c r="K118" s="83">
        <f t="shared" si="11"/>
        <v>1047.9000000000001</v>
      </c>
      <c r="L118" s="83" t="s">
        <v>605</v>
      </c>
      <c r="M118" s="83"/>
      <c r="N118" s="83" t="s">
        <v>422</v>
      </c>
      <c r="O118" s="83"/>
      <c r="P118" s="83" t="s">
        <v>606</v>
      </c>
      <c r="Q118" s="83"/>
      <c r="R118" s="83"/>
      <c r="S118" s="83"/>
      <c r="T118" s="83"/>
    </row>
    <row r="119" spans="1:246" ht="15">
      <c r="A119" s="78" t="s">
        <v>607</v>
      </c>
      <c r="B119" s="78" t="s">
        <v>608</v>
      </c>
      <c r="C119" s="78" t="s">
        <v>95</v>
      </c>
      <c r="D119" s="85">
        <v>870.46</v>
      </c>
      <c r="E119" s="85">
        <v>1200</v>
      </c>
      <c r="F119" s="85">
        <v>1</v>
      </c>
      <c r="G119" s="85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3" t="s">
        <v>609</v>
      </c>
      <c r="B120" s="83" t="s">
        <v>610</v>
      </c>
      <c r="C120" s="83" t="s">
        <v>95</v>
      </c>
      <c r="D120" s="84">
        <v>418.95333333333298</v>
      </c>
      <c r="E120" s="84">
        <v>699</v>
      </c>
      <c r="F120" s="84">
        <v>3</v>
      </c>
      <c r="G120" s="84">
        <v>10</v>
      </c>
      <c r="H120" s="83">
        <f t="shared" si="9"/>
        <v>13</v>
      </c>
      <c r="I120" s="83">
        <f>IF(D120&lt;&gt;"",D120,IFERROR(E120/(IFERROR(SUM(Sales!C:C),0))*(IFERROR(SUM(Purchases!C:C),0)),0))</f>
        <v>418.95333333333298</v>
      </c>
      <c r="J120" s="83">
        <f t="shared" si="10"/>
        <v>1256.859999999999</v>
      </c>
      <c r="K120" s="83">
        <f t="shared" si="11"/>
        <v>4189.5333333333301</v>
      </c>
      <c r="L120" s="83" t="s">
        <v>611</v>
      </c>
      <c r="M120" s="83" t="s">
        <v>49</v>
      </c>
      <c r="N120" s="83" t="s">
        <v>422</v>
      </c>
      <c r="O120" s="83"/>
      <c r="P120" s="83" t="s">
        <v>804</v>
      </c>
      <c r="Q120" s="83"/>
      <c r="R120" s="83"/>
      <c r="S120" s="83"/>
      <c r="T120" s="83"/>
    </row>
    <row r="121" spans="1:246" ht="15">
      <c r="A121" s="78" t="s">
        <v>612</v>
      </c>
      <c r="B121" s="78" t="s">
        <v>613</v>
      </c>
      <c r="C121" s="78" t="s">
        <v>95</v>
      </c>
      <c r="D121" s="85">
        <v>817.95</v>
      </c>
      <c r="E121" s="85">
        <v>1249</v>
      </c>
      <c r="F121" s="85">
        <v>2</v>
      </c>
      <c r="G121" s="85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614</v>
      </c>
      <c r="M121" s="78"/>
      <c r="N121" s="78" t="s">
        <v>337</v>
      </c>
      <c r="O121" s="78"/>
      <c r="P121" s="78" t="s">
        <v>615</v>
      </c>
      <c r="Q121" s="78"/>
      <c r="R121" s="78"/>
      <c r="S121" s="78"/>
      <c r="T121" s="78"/>
    </row>
    <row r="122" spans="1:246" ht="15">
      <c r="A122" s="83" t="s">
        <v>616</v>
      </c>
      <c r="B122" s="83" t="s">
        <v>617</v>
      </c>
      <c r="C122" s="83" t="s">
        <v>96</v>
      </c>
      <c r="D122" s="84">
        <v>1175</v>
      </c>
      <c r="E122" s="84">
        <v>1600</v>
      </c>
      <c r="F122" s="84">
        <v>1</v>
      </c>
      <c r="G122" s="84">
        <v>3</v>
      </c>
      <c r="H122" s="83">
        <f t="shared" si="9"/>
        <v>4</v>
      </c>
      <c r="I122" s="83">
        <f>IF(D122&lt;&gt;"",D122,IFERROR(E122/(IFERROR(SUM(Sales!C:C),0))*(IFERROR(SUM(Purchases!C:C),0)),0))</f>
        <v>1175</v>
      </c>
      <c r="J122" s="83">
        <f t="shared" si="10"/>
        <v>1175</v>
      </c>
      <c r="K122" s="83">
        <f t="shared" si="11"/>
        <v>3525</v>
      </c>
      <c r="L122" s="83" t="s">
        <v>618</v>
      </c>
      <c r="M122" s="83"/>
      <c r="N122" s="83" t="s">
        <v>422</v>
      </c>
      <c r="O122" s="83" t="s">
        <v>619</v>
      </c>
      <c r="P122" s="83"/>
      <c r="Q122" s="83"/>
      <c r="R122" s="83"/>
      <c r="S122" s="83"/>
      <c r="T122" s="83"/>
    </row>
    <row r="123" spans="1:246" s="67" customFormat="1" ht="75">
      <c r="A123" s="89" t="s">
        <v>620</v>
      </c>
      <c r="B123" s="89" t="s">
        <v>621</v>
      </c>
      <c r="C123" s="89" t="s">
        <v>95</v>
      </c>
      <c r="D123" s="90">
        <v>891.44</v>
      </c>
      <c r="E123" s="90">
        <v>1380</v>
      </c>
      <c r="F123" s="90">
        <v>5</v>
      </c>
      <c r="G123" s="90">
        <v>1</v>
      </c>
      <c r="H123" s="89">
        <f t="shared" si="9"/>
        <v>6</v>
      </c>
      <c r="I123" s="89">
        <f>IF(D123&lt;&gt;"",D123,IFERROR(E123/(IFERROR(SUM(Sales!C:C),0))*(IFERROR(SUM(Purchases!C:C),0)),0))</f>
        <v>891.44</v>
      </c>
      <c r="J123" s="89">
        <f t="shared" si="10"/>
        <v>4457.2000000000007</v>
      </c>
      <c r="K123" s="89">
        <f t="shared" si="11"/>
        <v>891.44</v>
      </c>
      <c r="L123" s="89" t="s">
        <v>622</v>
      </c>
      <c r="M123" s="89"/>
      <c r="N123" s="89" t="s">
        <v>422</v>
      </c>
      <c r="O123" s="89"/>
      <c r="P123" s="89"/>
      <c r="Q123" s="89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  <c r="BB123" s="80"/>
      <c r="BC123" s="80"/>
      <c r="BD123" s="80"/>
      <c r="BE123" s="80"/>
      <c r="BF123" s="80"/>
      <c r="BG123" s="80"/>
      <c r="BH123" s="80"/>
      <c r="BI123" s="80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0"/>
      <c r="BX123" s="80"/>
      <c r="BY123" s="80"/>
      <c r="BZ123" s="80"/>
      <c r="CA123" s="80"/>
      <c r="CB123" s="80"/>
      <c r="CC123" s="80"/>
      <c r="CD123" s="80"/>
      <c r="CE123" s="80"/>
      <c r="CF123" s="80"/>
      <c r="CG123" s="80"/>
      <c r="CH123" s="80"/>
      <c r="CI123" s="80"/>
      <c r="CJ123" s="80"/>
      <c r="CK123" s="80"/>
      <c r="CL123" s="80"/>
      <c r="CM123" s="80"/>
      <c r="CN123" s="80"/>
      <c r="CO123" s="80"/>
      <c r="CP123" s="80"/>
      <c r="CQ123" s="80"/>
      <c r="CR123" s="80"/>
      <c r="CS123" s="80"/>
      <c r="CT123" s="80"/>
      <c r="CU123" s="80"/>
      <c r="CV123" s="80"/>
      <c r="CW123" s="80"/>
      <c r="CX123" s="80"/>
      <c r="CY123" s="80"/>
      <c r="CZ123" s="80"/>
      <c r="DA123" s="80"/>
      <c r="DB123" s="80"/>
      <c r="DC123" s="80"/>
      <c r="DD123" s="80"/>
      <c r="DE123" s="80"/>
      <c r="DF123" s="80"/>
      <c r="DG123" s="80"/>
      <c r="DH123" s="80"/>
      <c r="DI123" s="80"/>
      <c r="DJ123" s="80"/>
      <c r="DK123" s="80"/>
      <c r="DL123" s="80"/>
      <c r="DM123" s="80"/>
      <c r="DN123" s="80"/>
      <c r="DO123" s="80"/>
      <c r="DP123" s="80"/>
      <c r="DQ123" s="80"/>
      <c r="DR123" s="80"/>
      <c r="DS123" s="80"/>
      <c r="DT123" s="80"/>
      <c r="DU123" s="80"/>
      <c r="DV123" s="80"/>
      <c r="DW123" s="80"/>
      <c r="DX123" s="80"/>
      <c r="DY123" s="80"/>
      <c r="DZ123" s="80"/>
      <c r="EA123" s="80"/>
      <c r="EB123" s="80"/>
      <c r="EC123" s="80"/>
      <c r="ED123" s="80"/>
      <c r="EE123" s="80"/>
      <c r="EF123" s="80"/>
      <c r="EG123" s="80"/>
      <c r="EH123" s="80"/>
      <c r="EI123" s="80"/>
      <c r="EJ123" s="80"/>
      <c r="EK123" s="80"/>
      <c r="EL123" s="80"/>
      <c r="EM123" s="80"/>
      <c r="EN123" s="80"/>
      <c r="EO123" s="80"/>
      <c r="EP123" s="80"/>
      <c r="EQ123" s="80"/>
      <c r="ER123" s="80"/>
      <c r="ES123" s="80"/>
      <c r="ET123" s="80"/>
      <c r="EU123" s="80"/>
      <c r="EV123" s="80"/>
      <c r="EW123" s="80"/>
      <c r="EX123" s="80"/>
      <c r="EY123" s="80"/>
      <c r="EZ123" s="80"/>
      <c r="FA123" s="80"/>
      <c r="FB123" s="80"/>
      <c r="FC123" s="80"/>
      <c r="FD123" s="80"/>
      <c r="FE123" s="80"/>
      <c r="FF123" s="80"/>
      <c r="FG123" s="80"/>
      <c r="FH123" s="80"/>
      <c r="FI123" s="80"/>
      <c r="FJ123" s="80"/>
      <c r="FK123" s="80"/>
      <c r="FL123" s="80"/>
      <c r="FM123" s="80"/>
      <c r="FN123" s="80"/>
      <c r="FO123" s="80"/>
      <c r="FP123" s="80"/>
      <c r="FQ123" s="80"/>
      <c r="FR123" s="80"/>
      <c r="FS123" s="80"/>
      <c r="FT123" s="80"/>
      <c r="FU123" s="80"/>
      <c r="FV123" s="80"/>
      <c r="FW123" s="80"/>
      <c r="FX123" s="80"/>
      <c r="FY123" s="80"/>
      <c r="FZ123" s="80"/>
      <c r="GA123" s="80"/>
      <c r="GB123" s="80"/>
      <c r="GC123" s="80"/>
      <c r="GD123" s="80"/>
      <c r="GE123" s="80"/>
      <c r="GF123" s="80"/>
      <c r="GG123" s="80"/>
      <c r="GH123" s="80"/>
      <c r="GI123" s="80"/>
      <c r="GJ123" s="80"/>
      <c r="GK123" s="80"/>
      <c r="GL123" s="80"/>
      <c r="GM123" s="80"/>
      <c r="GN123" s="80"/>
      <c r="GO123" s="80"/>
      <c r="GP123" s="80"/>
      <c r="GQ123" s="80"/>
      <c r="GR123" s="80"/>
      <c r="GS123" s="80"/>
      <c r="GT123" s="80"/>
      <c r="GU123" s="80"/>
      <c r="GV123" s="80"/>
      <c r="GW123" s="80"/>
      <c r="GX123" s="80"/>
      <c r="GY123" s="80"/>
      <c r="GZ123" s="80"/>
      <c r="HA123" s="80"/>
      <c r="HB123" s="80"/>
      <c r="HC123" s="80"/>
      <c r="HD123" s="80"/>
      <c r="HE123" s="80"/>
      <c r="HF123" s="80"/>
      <c r="HG123" s="80"/>
      <c r="HH123" s="80"/>
      <c r="HI123" s="80"/>
      <c r="HJ123" s="80"/>
      <c r="HK123" s="80"/>
      <c r="HL123" s="80"/>
      <c r="HM123" s="80"/>
      <c r="HN123" s="80"/>
      <c r="HO123" s="80"/>
      <c r="HP123" s="80"/>
      <c r="HQ123" s="80"/>
      <c r="HR123" s="80"/>
      <c r="HS123" s="80"/>
      <c r="HT123" s="80"/>
      <c r="HU123" s="80"/>
      <c r="HV123" s="80"/>
      <c r="HW123" s="80"/>
      <c r="HX123" s="80"/>
      <c r="HY123" s="80"/>
      <c r="HZ123" s="80"/>
      <c r="IA123" s="80"/>
      <c r="IB123" s="80"/>
      <c r="IC123" s="80"/>
      <c r="ID123" s="80"/>
      <c r="IE123" s="80"/>
      <c r="IF123" s="80"/>
      <c r="IG123" s="80"/>
      <c r="IH123" s="80"/>
      <c r="II123" s="80"/>
      <c r="IJ123" s="80"/>
      <c r="IK123" s="80"/>
      <c r="IL123" s="80"/>
    </row>
    <row r="124" spans="1:246" s="69" customFormat="1" ht="30">
      <c r="A124" s="91" t="s">
        <v>623</v>
      </c>
      <c r="B124" s="91" t="s">
        <v>624</v>
      </c>
      <c r="C124" s="91" t="s">
        <v>95</v>
      </c>
      <c r="D124" s="92">
        <v>807.452</v>
      </c>
      <c r="E124" s="92">
        <v>1249</v>
      </c>
      <c r="F124" s="92">
        <v>5</v>
      </c>
      <c r="G124" s="92">
        <v>0</v>
      </c>
      <c r="H124" s="91">
        <f t="shared" si="9"/>
        <v>5</v>
      </c>
      <c r="I124" s="91">
        <f>IF(D124&lt;&gt;"",D124,IFERROR(E124/(IFERROR(SUM(Sales!C:C),0))*(IFERROR(SUM(Purchases!C:C),0)),0))</f>
        <v>807.452</v>
      </c>
      <c r="J124" s="91">
        <f t="shared" si="10"/>
        <v>4037.26</v>
      </c>
      <c r="K124" s="91">
        <f t="shared" si="11"/>
        <v>0</v>
      </c>
      <c r="L124" s="91" t="s">
        <v>625</v>
      </c>
      <c r="M124" s="91"/>
      <c r="N124" s="91" t="s">
        <v>337</v>
      </c>
      <c r="O124" s="91"/>
      <c r="P124" s="91" t="s">
        <v>433</v>
      </c>
      <c r="Q124" s="91"/>
      <c r="R124" s="91"/>
      <c r="S124" s="91"/>
      <c r="T124" s="91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67" customFormat="1" ht="15">
      <c r="A125" s="89" t="s">
        <v>626</v>
      </c>
      <c r="B125" s="89" t="s">
        <v>627</v>
      </c>
      <c r="C125" s="89" t="s">
        <v>95</v>
      </c>
      <c r="D125" s="90">
        <v>908.25</v>
      </c>
      <c r="E125" s="90">
        <v>1450</v>
      </c>
      <c r="F125" s="90">
        <v>2</v>
      </c>
      <c r="G125" s="90">
        <v>0</v>
      </c>
      <c r="H125" s="89">
        <f t="shared" si="9"/>
        <v>2</v>
      </c>
      <c r="I125" s="89">
        <f>IF(D125&lt;&gt;"",D125,IFERROR(E125/(IFERROR(SUM(Sales!C:C),0))*(IFERROR(SUM(Purchases!C:C),0)),0))</f>
        <v>908.25</v>
      </c>
      <c r="J125" s="89">
        <f t="shared" si="10"/>
        <v>1816.5</v>
      </c>
      <c r="K125" s="89">
        <f t="shared" si="11"/>
        <v>0</v>
      </c>
      <c r="L125" s="89" t="s">
        <v>628</v>
      </c>
      <c r="M125" s="89"/>
      <c r="N125" s="89" t="s">
        <v>337</v>
      </c>
      <c r="O125" s="89"/>
      <c r="P125" s="89" t="s">
        <v>629</v>
      </c>
      <c r="Q125" s="89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80"/>
      <c r="BH125" s="80"/>
      <c r="BI125" s="80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0"/>
      <c r="BX125" s="80"/>
      <c r="BY125" s="80"/>
      <c r="BZ125" s="80"/>
      <c r="CA125" s="80"/>
      <c r="CB125" s="80"/>
      <c r="CC125" s="80"/>
      <c r="CD125" s="80"/>
      <c r="CE125" s="80"/>
      <c r="CF125" s="80"/>
      <c r="CG125" s="80"/>
      <c r="CH125" s="80"/>
      <c r="CI125" s="80"/>
      <c r="CJ125" s="80"/>
      <c r="CK125" s="80"/>
      <c r="CL125" s="80"/>
      <c r="CM125" s="80"/>
      <c r="CN125" s="80"/>
      <c r="CO125" s="80"/>
      <c r="CP125" s="80"/>
      <c r="CQ125" s="80"/>
      <c r="CR125" s="80"/>
      <c r="CS125" s="80"/>
      <c r="CT125" s="80"/>
      <c r="CU125" s="80"/>
      <c r="CV125" s="80"/>
      <c r="CW125" s="80"/>
      <c r="CX125" s="80"/>
      <c r="CY125" s="80"/>
      <c r="CZ125" s="80"/>
      <c r="DA125" s="80"/>
      <c r="DB125" s="80"/>
      <c r="DC125" s="80"/>
      <c r="DD125" s="80"/>
      <c r="DE125" s="80"/>
      <c r="DF125" s="80"/>
      <c r="DG125" s="80"/>
      <c r="DH125" s="80"/>
      <c r="DI125" s="80"/>
      <c r="DJ125" s="80"/>
      <c r="DK125" s="80"/>
      <c r="DL125" s="80"/>
      <c r="DM125" s="80"/>
      <c r="DN125" s="80"/>
      <c r="DO125" s="80"/>
      <c r="DP125" s="80"/>
      <c r="DQ125" s="80"/>
      <c r="DR125" s="80"/>
      <c r="DS125" s="80"/>
      <c r="DT125" s="80"/>
      <c r="DU125" s="80"/>
      <c r="DV125" s="80"/>
      <c r="DW125" s="80"/>
      <c r="DX125" s="80"/>
      <c r="DY125" s="80"/>
      <c r="DZ125" s="80"/>
      <c r="EA125" s="80"/>
      <c r="EB125" s="80"/>
      <c r="EC125" s="80"/>
      <c r="ED125" s="80"/>
      <c r="EE125" s="80"/>
      <c r="EF125" s="80"/>
      <c r="EG125" s="80"/>
      <c r="EH125" s="80"/>
      <c r="EI125" s="80"/>
      <c r="EJ125" s="80"/>
      <c r="EK125" s="80"/>
      <c r="EL125" s="80"/>
      <c r="EM125" s="80"/>
      <c r="EN125" s="80"/>
      <c r="EO125" s="80"/>
      <c r="EP125" s="80"/>
      <c r="EQ125" s="80"/>
      <c r="ER125" s="80"/>
      <c r="ES125" s="80"/>
      <c r="ET125" s="80"/>
      <c r="EU125" s="80"/>
      <c r="EV125" s="80"/>
      <c r="EW125" s="80"/>
      <c r="EX125" s="80"/>
      <c r="EY125" s="80"/>
      <c r="EZ125" s="80"/>
      <c r="FA125" s="80"/>
      <c r="FB125" s="80"/>
      <c r="FC125" s="80"/>
      <c r="FD125" s="80"/>
      <c r="FE125" s="80"/>
      <c r="FF125" s="80"/>
      <c r="FG125" s="80"/>
      <c r="FH125" s="80"/>
      <c r="FI125" s="80"/>
      <c r="FJ125" s="80"/>
      <c r="FK125" s="80"/>
      <c r="FL125" s="80"/>
      <c r="FM125" s="80"/>
      <c r="FN125" s="80"/>
      <c r="FO125" s="80"/>
      <c r="FP125" s="80"/>
      <c r="FQ125" s="80"/>
      <c r="FR125" s="80"/>
      <c r="FS125" s="80"/>
      <c r="FT125" s="80"/>
      <c r="FU125" s="80"/>
      <c r="FV125" s="80"/>
      <c r="FW125" s="80"/>
      <c r="FX125" s="80"/>
      <c r="FY125" s="80"/>
      <c r="FZ125" s="80"/>
      <c r="GA125" s="80"/>
      <c r="GB125" s="80"/>
      <c r="GC125" s="80"/>
      <c r="GD125" s="80"/>
      <c r="GE125" s="80"/>
      <c r="GF125" s="80"/>
      <c r="GG125" s="80"/>
      <c r="GH125" s="80"/>
      <c r="GI125" s="80"/>
      <c r="GJ125" s="80"/>
      <c r="GK125" s="80"/>
      <c r="GL125" s="80"/>
      <c r="GM125" s="80"/>
      <c r="GN125" s="80"/>
      <c r="GO125" s="80"/>
      <c r="GP125" s="80"/>
      <c r="GQ125" s="80"/>
      <c r="GR125" s="80"/>
      <c r="GS125" s="80"/>
      <c r="GT125" s="80"/>
      <c r="GU125" s="80"/>
      <c r="GV125" s="80"/>
      <c r="GW125" s="80"/>
      <c r="GX125" s="80"/>
      <c r="GY125" s="80"/>
      <c r="GZ125" s="80"/>
      <c r="HA125" s="80"/>
      <c r="HB125" s="80"/>
      <c r="HC125" s="80"/>
      <c r="HD125" s="80"/>
      <c r="HE125" s="80"/>
      <c r="HF125" s="80"/>
      <c r="HG125" s="80"/>
      <c r="HH125" s="80"/>
      <c r="HI125" s="80"/>
      <c r="HJ125" s="80"/>
      <c r="HK125" s="80"/>
      <c r="HL125" s="80"/>
      <c r="HM125" s="80"/>
      <c r="HN125" s="80"/>
      <c r="HO125" s="80"/>
      <c r="HP125" s="80"/>
      <c r="HQ125" s="80"/>
      <c r="HR125" s="80"/>
      <c r="HS125" s="80"/>
      <c r="HT125" s="80"/>
      <c r="HU125" s="80"/>
      <c r="HV125" s="80"/>
      <c r="HW125" s="80"/>
      <c r="HX125" s="80"/>
      <c r="HY125" s="80"/>
      <c r="HZ125" s="80"/>
      <c r="IA125" s="80"/>
      <c r="IB125" s="80"/>
      <c r="IC125" s="80"/>
      <c r="ID125" s="80"/>
      <c r="IE125" s="80"/>
      <c r="IF125" s="80"/>
      <c r="IG125" s="80"/>
      <c r="IH125" s="80"/>
      <c r="II125" s="80"/>
      <c r="IJ125" s="80"/>
      <c r="IK125" s="80"/>
      <c r="IL125" s="80"/>
    </row>
    <row r="126" spans="1:246" ht="15">
      <c r="A126" s="91" t="s">
        <v>630</v>
      </c>
      <c r="B126" s="83" t="s">
        <v>631</v>
      </c>
      <c r="C126" s="83" t="s">
        <v>96</v>
      </c>
      <c r="D126" s="84">
        <v>1760</v>
      </c>
      <c r="E126" s="84">
        <v>1800</v>
      </c>
      <c r="F126" s="92">
        <v>1</v>
      </c>
      <c r="G126" s="92">
        <v>0</v>
      </c>
      <c r="H126" s="91">
        <f t="shared" si="9"/>
        <v>1</v>
      </c>
      <c r="I126" s="91">
        <f>IF(D126&lt;&gt;"",D126,IFERROR(E126/(IFERROR(SUM(Sales!C:C),0))*(IFERROR(SUM(Purchases!C:C),0)),0))</f>
        <v>1760</v>
      </c>
      <c r="J126" s="91">
        <f t="shared" si="10"/>
        <v>1760</v>
      </c>
      <c r="K126" s="91">
        <f t="shared" si="11"/>
        <v>0</v>
      </c>
      <c r="L126" s="83" t="s">
        <v>632</v>
      </c>
      <c r="M126" s="83"/>
      <c r="N126" s="83" t="s">
        <v>337</v>
      </c>
      <c r="O126" s="83" t="s">
        <v>633</v>
      </c>
      <c r="P126" s="83"/>
      <c r="Q126" s="83"/>
      <c r="R126" s="83"/>
      <c r="S126" s="83"/>
      <c r="T126" s="83"/>
    </row>
    <row r="127" spans="1:246" ht="15">
      <c r="A127" s="89" t="s">
        <v>634</v>
      </c>
      <c r="B127" s="78" t="s">
        <v>635</v>
      </c>
      <c r="C127" s="78" t="s">
        <v>96</v>
      </c>
      <c r="D127" s="85">
        <v>1330</v>
      </c>
      <c r="E127" s="85">
        <v>1650</v>
      </c>
      <c r="F127" s="90">
        <v>1</v>
      </c>
      <c r="G127" s="90">
        <v>0</v>
      </c>
      <c r="H127" s="89">
        <f t="shared" si="9"/>
        <v>1</v>
      </c>
      <c r="I127" s="89">
        <f>IF(D127&lt;&gt;"",D127,IFERROR(E127/(IFERROR(SUM(Sales!C:C),0))*(IFERROR(SUM(Purchases!C:C),0)),0))</f>
        <v>1330</v>
      </c>
      <c r="J127" s="89">
        <f t="shared" si="10"/>
        <v>1330</v>
      </c>
      <c r="K127" s="89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1" t="s">
        <v>636</v>
      </c>
      <c r="B128" s="83" t="s">
        <v>637</v>
      </c>
      <c r="C128" s="83" t="s">
        <v>95</v>
      </c>
      <c r="D128" s="84">
        <v>1155</v>
      </c>
      <c r="E128" s="84">
        <v>1650</v>
      </c>
      <c r="F128" s="92">
        <v>0</v>
      </c>
      <c r="G128" s="92">
        <v>1</v>
      </c>
      <c r="H128" s="91">
        <f t="shared" si="9"/>
        <v>1</v>
      </c>
      <c r="I128" s="91">
        <f>IF(D128&lt;&gt;"",D128,IFERROR(E128/(IFERROR(SUM(Sales!C:C),0))*(IFERROR(SUM(Purchases!C:C),0)),0))</f>
        <v>1155</v>
      </c>
      <c r="J128" s="91">
        <f t="shared" si="10"/>
        <v>0</v>
      </c>
      <c r="K128" s="91">
        <f t="shared" si="11"/>
        <v>1155</v>
      </c>
      <c r="L128" s="83"/>
      <c r="M128" s="83"/>
      <c r="N128" s="83" t="s">
        <v>506</v>
      </c>
      <c r="O128" s="83"/>
      <c r="P128" s="83"/>
      <c r="Q128" s="83"/>
      <c r="R128" s="83"/>
      <c r="S128" s="83"/>
      <c r="T128" s="83"/>
    </row>
    <row r="129" spans="1:20" ht="15">
      <c r="A129" s="89" t="s">
        <v>638</v>
      </c>
      <c r="B129" s="78" t="s">
        <v>639</v>
      </c>
      <c r="C129" s="78" t="s">
        <v>95</v>
      </c>
      <c r="D129" s="85">
        <v>1155</v>
      </c>
      <c r="E129" s="85">
        <v>1650</v>
      </c>
      <c r="F129" s="90">
        <v>1</v>
      </c>
      <c r="G129" s="90">
        <v>0</v>
      </c>
      <c r="H129" s="89">
        <f t="shared" si="9"/>
        <v>1</v>
      </c>
      <c r="I129" s="89">
        <f>IF(D129&lt;&gt;"",D129,IFERROR(E129/(IFERROR(SUM(Sales!C:C),0))*(IFERROR(SUM(Purchases!C:C),0)),0))</f>
        <v>1155</v>
      </c>
      <c r="J129" s="89">
        <f t="shared" si="10"/>
        <v>1155</v>
      </c>
      <c r="K129" s="89">
        <f t="shared" si="11"/>
        <v>0</v>
      </c>
      <c r="L129" s="78" t="s">
        <v>640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1" t="s">
        <v>641</v>
      </c>
      <c r="B130" s="83" t="s">
        <v>642</v>
      </c>
      <c r="C130" s="83" t="s">
        <v>95</v>
      </c>
      <c r="D130" s="84">
        <v>755</v>
      </c>
      <c r="E130" s="84">
        <v>1550</v>
      </c>
      <c r="F130" s="92">
        <v>1</v>
      </c>
      <c r="G130" s="92">
        <v>0</v>
      </c>
      <c r="H130" s="91">
        <f t="shared" ref="H130:H161" si="12">F130+IF(LEN(G130)=0,0,G130)</f>
        <v>1</v>
      </c>
      <c r="I130" s="91">
        <f>IF(D130&lt;&gt;"",D130,IFERROR(E130/(IFERROR(SUM(Sales!C:C),0))*(IFERROR(SUM(Purchases!C:C),0)),0))</f>
        <v>755</v>
      </c>
      <c r="J130" s="91">
        <f t="shared" ref="J130:J161" si="13">F130*I130</f>
        <v>755</v>
      </c>
      <c r="K130" s="91">
        <f t="shared" ref="K130:K163" si="14">IF(LEN(G130)=0,0,G130)*I130</f>
        <v>0</v>
      </c>
      <c r="L130" s="83" t="s">
        <v>813</v>
      </c>
      <c r="M130" s="83"/>
      <c r="N130" s="83" t="s">
        <v>337</v>
      </c>
      <c r="O130" s="83"/>
      <c r="P130" s="83"/>
      <c r="Q130" s="83"/>
      <c r="R130" s="83"/>
      <c r="S130" s="83"/>
      <c r="T130" s="83"/>
    </row>
    <row r="131" spans="1:20" ht="15">
      <c r="A131" s="89" t="s">
        <v>643</v>
      </c>
      <c r="B131" s="78" t="s">
        <v>644</v>
      </c>
      <c r="C131" s="78" t="s">
        <v>95</v>
      </c>
      <c r="D131" s="85">
        <v>975</v>
      </c>
      <c r="E131" s="85">
        <v>1499</v>
      </c>
      <c r="F131" s="90">
        <v>0</v>
      </c>
      <c r="G131" s="90">
        <v>1</v>
      </c>
      <c r="H131" s="89">
        <f t="shared" si="12"/>
        <v>1</v>
      </c>
      <c r="I131" s="89">
        <f>IF(D131&lt;&gt;"",D131,IFERROR(E131/(IFERROR(SUM(Sales!C:C),0))*(IFERROR(SUM(Purchases!C:C),0)),0))</f>
        <v>975</v>
      </c>
      <c r="J131" s="89">
        <f t="shared" si="13"/>
        <v>0</v>
      </c>
      <c r="K131" s="89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1" t="s">
        <v>645</v>
      </c>
      <c r="B132" s="83" t="s">
        <v>646</v>
      </c>
      <c r="C132" s="83" t="s">
        <v>95</v>
      </c>
      <c r="D132" s="84">
        <v>450</v>
      </c>
      <c r="E132" s="84">
        <v>1250</v>
      </c>
      <c r="F132" s="92">
        <v>1</v>
      </c>
      <c r="G132" s="92">
        <v>0</v>
      </c>
      <c r="H132" s="91">
        <f t="shared" si="12"/>
        <v>1</v>
      </c>
      <c r="I132" s="91">
        <f>IF(D132&lt;&gt;"",D132,IFERROR(E132/(IFERROR(SUM(Sales!C:C),0))*(IFERROR(SUM(Purchases!C:C),0)),0))</f>
        <v>450</v>
      </c>
      <c r="J132" s="91">
        <f t="shared" si="13"/>
        <v>450</v>
      </c>
      <c r="K132" s="91">
        <f t="shared" si="14"/>
        <v>0</v>
      </c>
      <c r="L132" s="83" t="s">
        <v>647</v>
      </c>
      <c r="M132" s="83"/>
      <c r="N132" s="83" t="s">
        <v>337</v>
      </c>
      <c r="O132" s="83"/>
      <c r="P132" s="83"/>
      <c r="Q132" s="83"/>
      <c r="R132" s="83"/>
      <c r="S132" s="83"/>
      <c r="T132" s="83"/>
    </row>
    <row r="133" spans="1:20" ht="15">
      <c r="A133" s="89" t="s">
        <v>648</v>
      </c>
      <c r="B133" s="78" t="s">
        <v>649</v>
      </c>
      <c r="C133" s="78" t="s">
        <v>95</v>
      </c>
      <c r="D133" s="85">
        <v>500</v>
      </c>
      <c r="E133" s="85">
        <v>1000</v>
      </c>
      <c r="F133" s="90">
        <v>0</v>
      </c>
      <c r="G133" s="90">
        <v>1</v>
      </c>
      <c r="H133" s="89">
        <f t="shared" si="12"/>
        <v>1</v>
      </c>
      <c r="I133" s="89">
        <f>IF(D133&lt;&gt;"",D133,IFERROR(E133/(IFERROR(SUM(Sales!C:C),0))*(IFERROR(SUM(Purchases!C:C),0)),0))</f>
        <v>500</v>
      </c>
      <c r="J133" s="89">
        <f t="shared" si="13"/>
        <v>0</v>
      </c>
      <c r="K133" s="89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1" t="s">
        <v>650</v>
      </c>
      <c r="B134" s="83" t="s">
        <v>651</v>
      </c>
      <c r="C134" s="83" t="s">
        <v>95</v>
      </c>
      <c r="D134" s="84">
        <v>500</v>
      </c>
      <c r="E134" s="84">
        <v>950</v>
      </c>
      <c r="F134" s="92">
        <v>0</v>
      </c>
      <c r="G134" s="92">
        <v>1</v>
      </c>
      <c r="H134" s="91">
        <f t="shared" si="12"/>
        <v>1</v>
      </c>
      <c r="I134" s="91">
        <f>IF(D134&lt;&gt;"",D134,IFERROR(E134/(IFERROR(SUM(Sales!C:C),0))*(IFERROR(SUM(Purchases!C:C),0)),0))</f>
        <v>500</v>
      </c>
      <c r="J134" s="91">
        <f t="shared" si="13"/>
        <v>0</v>
      </c>
      <c r="K134" s="91">
        <f t="shared" si="14"/>
        <v>500</v>
      </c>
      <c r="L134" s="83"/>
      <c r="M134" s="83"/>
      <c r="N134" s="83" t="s">
        <v>506</v>
      </c>
      <c r="O134" s="83"/>
      <c r="P134" s="83"/>
      <c r="Q134" s="83"/>
      <c r="R134" s="83"/>
      <c r="S134" s="83"/>
      <c r="T134" s="83"/>
    </row>
    <row r="135" spans="1:20" ht="15">
      <c r="A135" s="89" t="s">
        <v>652</v>
      </c>
      <c r="B135" s="78" t="s">
        <v>653</v>
      </c>
      <c r="C135" s="78" t="s">
        <v>95</v>
      </c>
      <c r="D135" s="85">
        <v>450</v>
      </c>
      <c r="E135" s="85">
        <v>850</v>
      </c>
      <c r="F135" s="90">
        <v>1</v>
      </c>
      <c r="G135" s="90">
        <v>0</v>
      </c>
      <c r="H135" s="89">
        <f t="shared" si="12"/>
        <v>1</v>
      </c>
      <c r="I135" s="89">
        <f>IF(D135&lt;&gt;"",D135,IFERROR(E135/(IFERROR(SUM(Sales!C:C),0))*(IFERROR(SUM(Purchases!C:C),0)),0))</f>
        <v>450</v>
      </c>
      <c r="J135" s="89">
        <f t="shared" si="13"/>
        <v>450</v>
      </c>
      <c r="K135" s="89">
        <f t="shared" si="14"/>
        <v>0</v>
      </c>
      <c r="L135" s="78" t="s">
        <v>654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1" t="s">
        <v>655</v>
      </c>
      <c r="B136" s="83" t="s">
        <v>656</v>
      </c>
      <c r="C136" s="83" t="s">
        <v>95</v>
      </c>
      <c r="D136" s="84">
        <v>908</v>
      </c>
      <c r="E136" s="84">
        <v>1250</v>
      </c>
      <c r="F136" s="92">
        <v>2</v>
      </c>
      <c r="G136" s="92">
        <v>1</v>
      </c>
      <c r="H136" s="91">
        <f t="shared" si="12"/>
        <v>3</v>
      </c>
      <c r="I136" s="91">
        <f>IF(D136&lt;&gt;"",D136,IFERROR(E136/(IFERROR(SUM(Sales!C:C),0))*(IFERROR(SUM(Purchases!C:C),0)),0))</f>
        <v>908</v>
      </c>
      <c r="J136" s="91">
        <f t="shared" si="13"/>
        <v>1816</v>
      </c>
      <c r="K136" s="91">
        <f t="shared" si="14"/>
        <v>908</v>
      </c>
      <c r="L136" s="83" t="s">
        <v>815</v>
      </c>
      <c r="M136" s="83"/>
      <c r="N136" s="83" t="s">
        <v>422</v>
      </c>
      <c r="O136" s="83"/>
      <c r="P136" s="83" t="s">
        <v>814</v>
      </c>
      <c r="Q136" s="83"/>
      <c r="R136" s="83"/>
      <c r="S136" s="83"/>
      <c r="T136" s="83"/>
    </row>
    <row r="137" spans="1:20" ht="15">
      <c r="A137" s="89" t="s">
        <v>657</v>
      </c>
      <c r="B137" s="78" t="s">
        <v>658</v>
      </c>
      <c r="C137" s="78" t="s">
        <v>95</v>
      </c>
      <c r="D137" s="85">
        <v>891</v>
      </c>
      <c r="E137" s="85">
        <v>1380</v>
      </c>
      <c r="F137" s="90">
        <v>1</v>
      </c>
      <c r="G137" s="90">
        <v>0</v>
      </c>
      <c r="H137" s="89">
        <f t="shared" si="12"/>
        <v>1</v>
      </c>
      <c r="I137" s="89">
        <f>IF(D137&lt;&gt;"",D137,IFERROR(E137/(IFERROR(SUM(Sales!C:C),0))*(IFERROR(SUM(Purchases!C:C),0)),0))</f>
        <v>891</v>
      </c>
      <c r="J137" s="89">
        <f t="shared" si="13"/>
        <v>891</v>
      </c>
      <c r="K137" s="89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1" t="s">
        <v>659</v>
      </c>
      <c r="B138" s="83" t="s">
        <v>660</v>
      </c>
      <c r="C138" s="83" t="s">
        <v>95</v>
      </c>
      <c r="D138" s="84">
        <v>814</v>
      </c>
      <c r="E138" s="84">
        <v>1100</v>
      </c>
      <c r="F138" s="92">
        <v>0</v>
      </c>
      <c r="G138" s="92">
        <v>1</v>
      </c>
      <c r="H138" s="91">
        <f t="shared" si="12"/>
        <v>1</v>
      </c>
      <c r="I138" s="91">
        <f>IF(D138&lt;&gt;"",D138,IFERROR(E138/(IFERROR(SUM(Sales!C:C),0))*(IFERROR(SUM(Purchases!C:C),0)),0))</f>
        <v>814</v>
      </c>
      <c r="J138" s="91">
        <f t="shared" si="13"/>
        <v>0</v>
      </c>
      <c r="K138" s="91">
        <f t="shared" si="14"/>
        <v>814</v>
      </c>
      <c r="L138" s="83"/>
      <c r="M138" s="83"/>
      <c r="N138" s="83" t="s">
        <v>506</v>
      </c>
      <c r="O138" s="83"/>
      <c r="P138" s="83"/>
      <c r="Q138" s="83"/>
      <c r="R138" s="83"/>
      <c r="S138" s="83"/>
      <c r="T138" s="83"/>
    </row>
    <row r="139" spans="1:20" ht="15">
      <c r="A139" s="89" t="s">
        <v>661</v>
      </c>
      <c r="B139" s="78" t="s">
        <v>662</v>
      </c>
      <c r="C139" s="78" t="s">
        <v>95</v>
      </c>
      <c r="D139" s="85">
        <v>754</v>
      </c>
      <c r="E139" s="85">
        <v>1050</v>
      </c>
      <c r="F139" s="90">
        <v>1</v>
      </c>
      <c r="G139" s="90">
        <v>0</v>
      </c>
      <c r="H139" s="89">
        <f t="shared" si="12"/>
        <v>1</v>
      </c>
      <c r="I139" s="89">
        <f>IF(D139&lt;&gt;"",D139,IFERROR(E139/(IFERROR(SUM(Sales!C:C),0))*(IFERROR(SUM(Purchases!C:C),0)),0))</f>
        <v>754</v>
      </c>
      <c r="J139" s="89">
        <f t="shared" si="13"/>
        <v>754</v>
      </c>
      <c r="K139" s="89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1" t="s">
        <v>663</v>
      </c>
      <c r="B140" s="83" t="s">
        <v>664</v>
      </c>
      <c r="C140" s="83" t="s">
        <v>95</v>
      </c>
      <c r="D140" s="84">
        <v>699</v>
      </c>
      <c r="E140" s="84">
        <v>1100</v>
      </c>
      <c r="F140" s="92">
        <v>1</v>
      </c>
      <c r="G140" s="92">
        <v>1</v>
      </c>
      <c r="H140" s="91">
        <f t="shared" si="12"/>
        <v>2</v>
      </c>
      <c r="I140" s="91">
        <f>IF(D140&lt;&gt;"",D140,IFERROR(E140/(IFERROR(SUM(Sales!C:C),0))*(IFERROR(SUM(Purchases!C:C),0)),0))</f>
        <v>699</v>
      </c>
      <c r="J140" s="91">
        <f t="shared" si="13"/>
        <v>699</v>
      </c>
      <c r="K140" s="91">
        <f t="shared" si="14"/>
        <v>699</v>
      </c>
      <c r="L140" s="83" t="s">
        <v>665</v>
      </c>
      <c r="M140" s="83"/>
      <c r="N140" s="83" t="s">
        <v>422</v>
      </c>
      <c r="O140" s="83"/>
      <c r="P140" s="83"/>
      <c r="Q140" s="83"/>
      <c r="R140" s="83"/>
      <c r="S140" s="83"/>
      <c r="T140" s="83"/>
    </row>
    <row r="141" spans="1:20" ht="15">
      <c r="A141" s="89" t="s">
        <v>666</v>
      </c>
      <c r="B141" s="78" t="s">
        <v>667</v>
      </c>
      <c r="C141" s="78" t="s">
        <v>95</v>
      </c>
      <c r="D141" s="85">
        <v>838</v>
      </c>
      <c r="E141" s="85">
        <v>1100</v>
      </c>
      <c r="F141" s="90">
        <v>0</v>
      </c>
      <c r="G141" s="90">
        <v>1</v>
      </c>
      <c r="H141" s="89">
        <f t="shared" si="12"/>
        <v>1</v>
      </c>
      <c r="I141" s="89">
        <f>IF(D141&lt;&gt;"",D141,IFERROR(E141/(IFERROR(SUM(Sales!C:C),0))*(IFERROR(SUM(Purchases!C:C),0)),0))</f>
        <v>838</v>
      </c>
      <c r="J141" s="89">
        <f t="shared" si="13"/>
        <v>0</v>
      </c>
      <c r="K141" s="89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3" t="s">
        <v>668</v>
      </c>
      <c r="B142" s="83" t="s">
        <v>669</v>
      </c>
      <c r="C142" s="83" t="s">
        <v>95</v>
      </c>
      <c r="D142" s="84">
        <v>600</v>
      </c>
      <c r="E142" s="84">
        <v>1200</v>
      </c>
      <c r="F142" s="92">
        <v>3</v>
      </c>
      <c r="G142" s="92">
        <v>1</v>
      </c>
      <c r="H142" s="91">
        <f t="shared" si="12"/>
        <v>4</v>
      </c>
      <c r="I142" s="91">
        <f>IF(D142&lt;&gt;"",D142,IFERROR(E142/(IFERROR(SUM(Sales!C:C),0))*(IFERROR(SUM(Purchases!C:C),0)),0))</f>
        <v>600</v>
      </c>
      <c r="J142" s="91">
        <f t="shared" si="13"/>
        <v>1800</v>
      </c>
      <c r="K142" s="91">
        <f t="shared" si="14"/>
        <v>600</v>
      </c>
      <c r="L142" s="83" t="s">
        <v>670</v>
      </c>
      <c r="M142" s="83"/>
      <c r="N142" s="83" t="s">
        <v>422</v>
      </c>
      <c r="O142" s="83"/>
      <c r="P142" s="83" t="s">
        <v>427</v>
      </c>
      <c r="Q142" s="83"/>
      <c r="R142" s="83"/>
      <c r="S142" s="83"/>
      <c r="T142" s="83"/>
    </row>
    <row r="143" spans="1:20" ht="15">
      <c r="A143" s="78" t="s">
        <v>671</v>
      </c>
      <c r="B143" s="78" t="s">
        <v>672</v>
      </c>
      <c r="C143" s="78" t="s">
        <v>95</v>
      </c>
      <c r="D143" s="85">
        <v>550</v>
      </c>
      <c r="E143" s="85">
        <v>1100</v>
      </c>
      <c r="F143" s="90">
        <v>0</v>
      </c>
      <c r="G143" s="90">
        <v>1</v>
      </c>
      <c r="H143" s="89">
        <f t="shared" si="12"/>
        <v>1</v>
      </c>
      <c r="I143" s="89">
        <f>IF(D143&lt;&gt;"",D143,IFERROR(E143/(IFERROR(SUM(Sales!C:C),0))*(IFERROR(SUM(Purchases!C:C),0)),0))</f>
        <v>550</v>
      </c>
      <c r="J143" s="89">
        <f t="shared" si="13"/>
        <v>0</v>
      </c>
      <c r="K143" s="89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3" t="s">
        <v>673</v>
      </c>
      <c r="B144" s="83" t="s">
        <v>674</v>
      </c>
      <c r="C144" s="83" t="s">
        <v>95</v>
      </c>
      <c r="D144" s="84">
        <v>550</v>
      </c>
      <c r="E144" s="84">
        <v>1100</v>
      </c>
      <c r="F144" s="92">
        <v>0</v>
      </c>
      <c r="G144" s="92">
        <v>1</v>
      </c>
      <c r="H144" s="91">
        <f t="shared" si="12"/>
        <v>1</v>
      </c>
      <c r="I144" s="91">
        <f>IF(D144&lt;&gt;"",D144,IFERROR(E144/(IFERROR(SUM(Sales!C:C),0))*(IFERROR(SUM(Purchases!C:C),0)),0))</f>
        <v>550</v>
      </c>
      <c r="J144" s="91">
        <f t="shared" si="13"/>
        <v>0</v>
      </c>
      <c r="K144" s="91">
        <f t="shared" si="14"/>
        <v>550</v>
      </c>
      <c r="L144" s="83"/>
      <c r="M144" s="83"/>
      <c r="N144" s="83" t="s">
        <v>506</v>
      </c>
      <c r="O144" s="83"/>
      <c r="P144" s="83"/>
      <c r="Q144" s="83"/>
      <c r="R144" s="83"/>
      <c r="S144" s="83"/>
      <c r="T144" s="83"/>
    </row>
    <row r="145" spans="1:20" ht="15">
      <c r="A145" s="78" t="s">
        <v>675</v>
      </c>
      <c r="B145" s="78" t="s">
        <v>293</v>
      </c>
      <c r="C145" s="78" t="s">
        <v>95</v>
      </c>
      <c r="D145" s="85">
        <v>1100</v>
      </c>
      <c r="E145" s="85">
        <v>1450</v>
      </c>
      <c r="F145" s="90">
        <v>1</v>
      </c>
      <c r="G145" s="90">
        <v>0</v>
      </c>
      <c r="H145" s="89">
        <f t="shared" si="12"/>
        <v>1</v>
      </c>
      <c r="I145" s="89">
        <f>IF(D145&lt;&gt;"",D145,IFERROR(E145/(IFERROR(SUM(Sales!C:C),0))*(IFERROR(SUM(Purchases!C:C),0)),0))</f>
        <v>1100</v>
      </c>
      <c r="J145" s="89">
        <f t="shared" si="13"/>
        <v>1100</v>
      </c>
      <c r="K145" s="89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3" t="s">
        <v>676</v>
      </c>
      <c r="B146" s="83" t="s">
        <v>677</v>
      </c>
      <c r="C146" s="83" t="s">
        <v>95</v>
      </c>
      <c r="D146" s="84">
        <v>761</v>
      </c>
      <c r="E146" s="84">
        <v>1200</v>
      </c>
      <c r="F146" s="92">
        <v>1</v>
      </c>
      <c r="G146" s="92">
        <v>2</v>
      </c>
      <c r="H146" s="91">
        <f t="shared" si="12"/>
        <v>3</v>
      </c>
      <c r="I146" s="91">
        <f>IF(D146&lt;&gt;"",D146,IFERROR(E146/(IFERROR(SUM(Sales!C:C),0))*(IFERROR(SUM(Purchases!C:C),0)),0))</f>
        <v>761</v>
      </c>
      <c r="J146" s="91">
        <f t="shared" si="13"/>
        <v>761</v>
      </c>
      <c r="K146" s="91">
        <f t="shared" si="14"/>
        <v>1522</v>
      </c>
      <c r="L146" s="83" t="s">
        <v>678</v>
      </c>
      <c r="M146" s="83"/>
      <c r="N146" s="83" t="s">
        <v>422</v>
      </c>
      <c r="O146" s="83"/>
      <c r="P146" s="83"/>
      <c r="Q146" s="83"/>
      <c r="R146" s="83"/>
      <c r="S146" s="83"/>
      <c r="T146" s="83"/>
    </row>
    <row r="147" spans="1:20" ht="45">
      <c r="A147" s="78" t="s">
        <v>679</v>
      </c>
      <c r="B147" s="78" t="s">
        <v>805</v>
      </c>
      <c r="C147" s="78" t="s">
        <v>95</v>
      </c>
      <c r="D147" s="85">
        <v>719</v>
      </c>
      <c r="E147" s="85">
        <v>1200</v>
      </c>
      <c r="F147" s="90">
        <v>4</v>
      </c>
      <c r="G147" s="90">
        <v>7</v>
      </c>
      <c r="H147" s="89">
        <f t="shared" si="12"/>
        <v>11</v>
      </c>
      <c r="I147" s="89">
        <f>IF(D147&lt;&gt;"",D147,IFERROR(E147/(IFERROR(SUM(Sales!C:C),0))*(IFERROR(SUM(Purchases!C:C),0)),0))</f>
        <v>719</v>
      </c>
      <c r="J147" s="89">
        <f t="shared" si="13"/>
        <v>2876</v>
      </c>
      <c r="K147" s="89">
        <f t="shared" si="14"/>
        <v>5033</v>
      </c>
      <c r="L147" s="78" t="s">
        <v>808</v>
      </c>
      <c r="M147" s="78"/>
      <c r="N147" s="78" t="s">
        <v>422</v>
      </c>
      <c r="O147" s="78"/>
      <c r="P147" s="78" t="s">
        <v>809</v>
      </c>
      <c r="Q147" s="78"/>
      <c r="R147" s="78"/>
      <c r="S147" s="78"/>
      <c r="T147" s="78"/>
    </row>
    <row r="148" spans="1:20" ht="15">
      <c r="A148" s="83" t="s">
        <v>680</v>
      </c>
      <c r="B148" s="83" t="s">
        <v>681</v>
      </c>
      <c r="C148" s="83" t="s">
        <v>95</v>
      </c>
      <c r="D148" s="84">
        <v>502</v>
      </c>
      <c r="E148" s="84">
        <v>850</v>
      </c>
      <c r="F148" s="92">
        <v>2</v>
      </c>
      <c r="G148" s="92">
        <v>1</v>
      </c>
      <c r="H148" s="91">
        <f t="shared" si="12"/>
        <v>3</v>
      </c>
      <c r="I148" s="91">
        <f>IF(D148&lt;&gt;"",D148,IFERROR(E148/(IFERROR(SUM(Sales!C:C),0))*(IFERROR(SUM(Purchases!C:C),0)),0))</f>
        <v>502</v>
      </c>
      <c r="J148" s="91">
        <f t="shared" si="13"/>
        <v>1004</v>
      </c>
      <c r="K148" s="91">
        <f t="shared" si="14"/>
        <v>502</v>
      </c>
      <c r="L148" s="83" t="s">
        <v>682</v>
      </c>
      <c r="M148" s="83"/>
      <c r="N148" s="83" t="s">
        <v>422</v>
      </c>
      <c r="O148" s="83"/>
      <c r="P148" s="83"/>
      <c r="Q148" s="83"/>
      <c r="R148" s="83"/>
      <c r="S148" s="83"/>
      <c r="T148" s="83"/>
    </row>
    <row r="149" spans="1:20" ht="15">
      <c r="A149" s="78" t="s">
        <v>683</v>
      </c>
      <c r="B149" s="78" t="s">
        <v>684</v>
      </c>
      <c r="C149" s="78" t="s">
        <v>95</v>
      </c>
      <c r="D149" s="85">
        <v>1024</v>
      </c>
      <c r="E149" s="85">
        <v>1450</v>
      </c>
      <c r="F149" s="90">
        <v>1</v>
      </c>
      <c r="G149" s="90">
        <v>2</v>
      </c>
      <c r="H149" s="89">
        <f t="shared" si="12"/>
        <v>3</v>
      </c>
      <c r="I149" s="89">
        <f>IF(D149&lt;&gt;"",D149,IFERROR(E149/(IFERROR(SUM(Sales!C:C),0))*(IFERROR(SUM(Purchases!C:C),0)),0))</f>
        <v>1024</v>
      </c>
      <c r="J149" s="89">
        <f t="shared" si="13"/>
        <v>1024</v>
      </c>
      <c r="K149" s="89">
        <f t="shared" si="14"/>
        <v>2048</v>
      </c>
      <c r="L149" s="78" t="s">
        <v>754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3" t="s">
        <v>685</v>
      </c>
      <c r="B150" s="83" t="s">
        <v>686</v>
      </c>
      <c r="C150" s="83" t="s">
        <v>95</v>
      </c>
      <c r="D150" s="84">
        <v>688</v>
      </c>
      <c r="E150" s="84">
        <v>960</v>
      </c>
      <c r="F150" s="92">
        <v>0</v>
      </c>
      <c r="G150" s="92">
        <v>3</v>
      </c>
      <c r="H150" s="91">
        <f t="shared" si="12"/>
        <v>3</v>
      </c>
      <c r="I150" s="91">
        <f>IF(D150&lt;&gt;"",D150,IFERROR(E150/(IFERROR(SUM(Sales!C:C),0))*(IFERROR(SUM(Purchases!C:C),0)),0))</f>
        <v>688</v>
      </c>
      <c r="J150" s="91">
        <f t="shared" si="13"/>
        <v>0</v>
      </c>
      <c r="K150" s="91">
        <f t="shared" si="14"/>
        <v>2064</v>
      </c>
      <c r="L150" s="83"/>
      <c r="M150" s="83"/>
      <c r="N150" s="83" t="s">
        <v>506</v>
      </c>
      <c r="O150" s="83"/>
      <c r="P150" s="83"/>
      <c r="Q150" s="83"/>
      <c r="R150" s="83"/>
      <c r="S150" s="83"/>
      <c r="T150" s="83"/>
    </row>
    <row r="151" spans="1:20" ht="15">
      <c r="A151" s="78" t="s">
        <v>687</v>
      </c>
      <c r="B151" s="78" t="s">
        <v>688</v>
      </c>
      <c r="C151" s="78" t="s">
        <v>96</v>
      </c>
      <c r="D151" s="84">
        <v>645</v>
      </c>
      <c r="E151" s="84">
        <v>1099</v>
      </c>
      <c r="F151" s="92">
        <v>2</v>
      </c>
      <c r="G151" s="92">
        <v>2</v>
      </c>
      <c r="H151" s="91">
        <f t="shared" si="12"/>
        <v>4</v>
      </c>
      <c r="I151" s="91">
        <f>IF(D151&lt;&gt;"",D151,IFERROR(E151/(IFERROR(SUM(Sales!C:C),0))*(IFERROR(SUM(Purchases!C:C),0)),0))</f>
        <v>645</v>
      </c>
      <c r="J151" s="91">
        <f t="shared" si="13"/>
        <v>1290</v>
      </c>
      <c r="K151" s="91">
        <f t="shared" si="14"/>
        <v>1290</v>
      </c>
      <c r="L151" s="78" t="s">
        <v>689</v>
      </c>
      <c r="M151" s="78"/>
      <c r="N151" s="78" t="s">
        <v>422</v>
      </c>
      <c r="O151" s="78" t="s">
        <v>690</v>
      </c>
      <c r="P151" s="78" t="s">
        <v>691</v>
      </c>
      <c r="Q151" s="78"/>
      <c r="R151" s="78"/>
      <c r="S151" s="78"/>
      <c r="T151" s="78"/>
    </row>
    <row r="152" spans="1:20" ht="15">
      <c r="A152" s="83" t="s">
        <v>692</v>
      </c>
      <c r="B152" s="83" t="s">
        <v>693</v>
      </c>
      <c r="C152" s="83" t="s">
        <v>97</v>
      </c>
      <c r="D152" s="84">
        <v>295</v>
      </c>
      <c r="E152" s="84">
        <v>580</v>
      </c>
      <c r="F152" s="92">
        <v>1</v>
      </c>
      <c r="G152" s="92">
        <v>3</v>
      </c>
      <c r="H152" s="91">
        <f t="shared" si="12"/>
        <v>4</v>
      </c>
      <c r="I152" s="91">
        <f>IF(D152&lt;&gt;"",D152,IFERROR(E152/(IFERROR(SUM(Sales!C:C),0))*(IFERROR(SUM(Purchases!C:C),0)),0))</f>
        <v>295</v>
      </c>
      <c r="J152" s="91">
        <f t="shared" si="13"/>
        <v>295</v>
      </c>
      <c r="K152" s="91">
        <f t="shared" si="14"/>
        <v>885</v>
      </c>
      <c r="L152" s="83" t="s">
        <v>694</v>
      </c>
      <c r="M152" s="83"/>
      <c r="N152" s="83" t="s">
        <v>422</v>
      </c>
      <c r="O152" s="83" t="s">
        <v>695</v>
      </c>
      <c r="P152" s="83" t="s">
        <v>696</v>
      </c>
      <c r="Q152" s="83"/>
      <c r="R152" s="83"/>
      <c r="S152" s="83"/>
      <c r="T152" s="83"/>
    </row>
    <row r="153" spans="1:20" ht="15">
      <c r="A153" s="78" t="s">
        <v>697</v>
      </c>
      <c r="B153" s="78" t="s">
        <v>698</v>
      </c>
      <c r="C153" s="78" t="s">
        <v>95</v>
      </c>
      <c r="D153" s="85">
        <v>891.5</v>
      </c>
      <c r="E153" s="85">
        <v>1380</v>
      </c>
      <c r="F153" s="90">
        <v>1</v>
      </c>
      <c r="G153" s="90">
        <v>1</v>
      </c>
      <c r="H153" s="89">
        <f t="shared" si="12"/>
        <v>2</v>
      </c>
      <c r="I153" s="89">
        <f>IF(D153&lt;&gt;"",D153,IFERROR(E153/(IFERROR(SUM(Sales!C:C),0))*(IFERROR(SUM(Purchases!C:C),0)),0))</f>
        <v>891.5</v>
      </c>
      <c r="J153" s="89">
        <f t="shared" si="13"/>
        <v>891.5</v>
      </c>
      <c r="K153" s="89">
        <f t="shared" si="14"/>
        <v>891.5</v>
      </c>
      <c r="L153" s="78" t="s">
        <v>753</v>
      </c>
      <c r="M153" s="78"/>
      <c r="N153" s="78" t="s">
        <v>422</v>
      </c>
      <c r="O153" s="78"/>
      <c r="P153" s="78" t="s">
        <v>699</v>
      </c>
      <c r="Q153" s="78"/>
      <c r="R153" s="78"/>
      <c r="S153" s="78"/>
      <c r="T153" s="78"/>
    </row>
    <row r="154" spans="1:20" ht="15">
      <c r="A154" s="83" t="s">
        <v>700</v>
      </c>
      <c r="B154" s="83" t="s">
        <v>701</v>
      </c>
      <c r="C154" s="83" t="s">
        <v>96</v>
      </c>
      <c r="D154" s="84">
        <v>949</v>
      </c>
      <c r="E154" s="84">
        <v>1450</v>
      </c>
      <c r="F154" s="92">
        <v>0</v>
      </c>
      <c r="G154" s="92">
        <v>3</v>
      </c>
      <c r="H154" s="91">
        <f t="shared" si="12"/>
        <v>3</v>
      </c>
      <c r="I154" s="91">
        <f>IF(D154&lt;&gt;"",D154,IFERROR(E154/(IFERROR(SUM(Sales!C:C),0))*(IFERROR(SUM(Purchases!C:C),0)),0))</f>
        <v>949</v>
      </c>
      <c r="J154" s="91">
        <f t="shared" si="13"/>
        <v>0</v>
      </c>
      <c r="K154" s="91">
        <f t="shared" si="14"/>
        <v>2847</v>
      </c>
      <c r="L154" s="83"/>
      <c r="M154" s="83"/>
      <c r="N154" s="83" t="s">
        <v>506</v>
      </c>
      <c r="O154" s="83" t="s">
        <v>702</v>
      </c>
      <c r="P154" s="83"/>
      <c r="Q154" s="83"/>
      <c r="R154" s="83"/>
      <c r="S154" s="83"/>
      <c r="T154" s="83"/>
    </row>
    <row r="155" spans="1:20" ht="15">
      <c r="A155" s="78" t="s">
        <v>703</v>
      </c>
      <c r="B155" s="78" t="s">
        <v>704</v>
      </c>
      <c r="C155" s="78" t="s">
        <v>96</v>
      </c>
      <c r="D155" s="85">
        <v>949</v>
      </c>
      <c r="E155" s="85">
        <v>1450</v>
      </c>
      <c r="F155" s="90">
        <v>0</v>
      </c>
      <c r="G155" s="90">
        <v>3</v>
      </c>
      <c r="H155" s="89">
        <f t="shared" si="12"/>
        <v>3</v>
      </c>
      <c r="I155" s="89">
        <f>IF(D155&lt;&gt;"",D155,IFERROR(E155/(IFERROR(SUM(Sales!C:C),0))*(IFERROR(SUM(Purchases!C:C),0)),0))</f>
        <v>949</v>
      </c>
      <c r="J155" s="89">
        <f t="shared" si="13"/>
        <v>0</v>
      </c>
      <c r="K155" s="89">
        <f t="shared" si="14"/>
        <v>2847</v>
      </c>
      <c r="L155" s="78"/>
      <c r="M155" s="78"/>
      <c r="N155" s="78" t="s">
        <v>506</v>
      </c>
      <c r="O155" s="78" t="s">
        <v>702</v>
      </c>
      <c r="P155" s="78"/>
      <c r="Q155" s="78"/>
      <c r="R155" s="78"/>
      <c r="S155" s="78"/>
      <c r="T155" s="78"/>
    </row>
    <row r="156" spans="1:20" ht="15">
      <c r="A156" s="83" t="s">
        <v>705</v>
      </c>
      <c r="B156" s="83" t="s">
        <v>706</v>
      </c>
      <c r="C156" s="83" t="s">
        <v>96</v>
      </c>
      <c r="D156" s="84">
        <v>950</v>
      </c>
      <c r="E156" s="84">
        <v>1550</v>
      </c>
      <c r="F156" s="92">
        <v>0</v>
      </c>
      <c r="G156" s="92">
        <v>4</v>
      </c>
      <c r="H156" s="91">
        <f t="shared" si="12"/>
        <v>4</v>
      </c>
      <c r="I156" s="91">
        <f>IF(D156&lt;&gt;"",D156,IFERROR(E156/(IFERROR(SUM(Sales!C:C),0))*(IFERROR(SUM(Purchases!C:C),0)),0))</f>
        <v>950</v>
      </c>
      <c r="J156" s="91">
        <f t="shared" si="13"/>
        <v>0</v>
      </c>
      <c r="K156" s="91">
        <f t="shared" si="14"/>
        <v>3800</v>
      </c>
      <c r="L156" s="83"/>
      <c r="M156" s="83"/>
      <c r="N156" s="83" t="s">
        <v>506</v>
      </c>
      <c r="O156" s="83" t="s">
        <v>707</v>
      </c>
      <c r="P156" s="83"/>
      <c r="Q156" s="83"/>
      <c r="R156" s="83"/>
      <c r="S156" s="83"/>
      <c r="T156" s="83"/>
    </row>
    <row r="157" spans="1:20" ht="15">
      <c r="A157" s="78" t="s">
        <v>708</v>
      </c>
      <c r="B157" s="78" t="s">
        <v>709</v>
      </c>
      <c r="C157" s="78" t="s">
        <v>96</v>
      </c>
      <c r="D157" s="85">
        <v>525</v>
      </c>
      <c r="E157" s="85">
        <v>850</v>
      </c>
      <c r="F157" s="90">
        <v>1</v>
      </c>
      <c r="G157" s="90">
        <v>3</v>
      </c>
      <c r="H157" s="89">
        <f t="shared" si="12"/>
        <v>4</v>
      </c>
      <c r="I157" s="89">
        <f>IF(D157&lt;&gt;"",D157,IFERROR(E157/(IFERROR(SUM(Sales!C:C),0))*(IFERROR(SUM(Purchases!C:C),0)),0))</f>
        <v>525</v>
      </c>
      <c r="J157" s="89">
        <f t="shared" si="13"/>
        <v>525</v>
      </c>
      <c r="K157" s="89">
        <f t="shared" si="14"/>
        <v>1575</v>
      </c>
      <c r="L157" s="78" t="s">
        <v>710</v>
      </c>
      <c r="M157" s="78"/>
      <c r="N157" s="78" t="s">
        <v>422</v>
      </c>
      <c r="O157" s="78" t="s">
        <v>619</v>
      </c>
      <c r="P157" s="78"/>
      <c r="Q157" s="78"/>
      <c r="R157" s="78"/>
      <c r="S157" s="78"/>
      <c r="T157" s="78"/>
    </row>
    <row r="158" spans="1:20" ht="15">
      <c r="A158" s="83" t="s">
        <v>711</v>
      </c>
      <c r="B158" s="83" t="s">
        <v>712</v>
      </c>
      <c r="C158" s="83" t="s">
        <v>96</v>
      </c>
      <c r="D158" s="84">
        <v>839</v>
      </c>
      <c r="E158" s="84">
        <v>1450</v>
      </c>
      <c r="F158" s="92">
        <v>0</v>
      </c>
      <c r="G158" s="92">
        <v>5</v>
      </c>
      <c r="H158" s="91">
        <f t="shared" si="12"/>
        <v>5</v>
      </c>
      <c r="I158" s="91">
        <f>IF(D158&lt;&gt;"",D158,IFERROR(E158/(IFERROR(SUM(Sales!C:C),0))*(IFERROR(SUM(Purchases!C:C),0)),0))</f>
        <v>839</v>
      </c>
      <c r="J158" s="91">
        <f t="shared" si="13"/>
        <v>0</v>
      </c>
      <c r="K158" s="91">
        <f t="shared" si="14"/>
        <v>4195</v>
      </c>
      <c r="L158" s="83"/>
      <c r="M158" s="83"/>
      <c r="N158" s="83" t="s">
        <v>506</v>
      </c>
      <c r="O158" s="83" t="s">
        <v>713</v>
      </c>
      <c r="P158" s="83"/>
      <c r="Q158" s="83"/>
      <c r="R158" s="83"/>
      <c r="S158" s="83"/>
      <c r="T158" s="83"/>
    </row>
    <row r="159" spans="1:20" ht="15">
      <c r="A159" s="78" t="s">
        <v>714</v>
      </c>
      <c r="B159" s="78" t="s">
        <v>715</v>
      </c>
      <c r="C159" s="78" t="s">
        <v>96</v>
      </c>
      <c r="D159" s="85">
        <v>839</v>
      </c>
      <c r="E159" s="85">
        <v>1450</v>
      </c>
      <c r="F159" s="90">
        <v>0</v>
      </c>
      <c r="G159" s="90">
        <v>5</v>
      </c>
      <c r="H159" s="89">
        <f t="shared" si="12"/>
        <v>5</v>
      </c>
      <c r="I159" s="89">
        <f>IF(D159&lt;&gt;"",D159,IFERROR(E159/(IFERROR(SUM(Sales!C:C),0))*(IFERROR(SUM(Purchases!C:C),0)),0))</f>
        <v>839</v>
      </c>
      <c r="J159" s="89">
        <f t="shared" si="13"/>
        <v>0</v>
      </c>
      <c r="K159" s="89">
        <f t="shared" si="14"/>
        <v>4195</v>
      </c>
      <c r="L159" s="78"/>
      <c r="M159" s="78"/>
      <c r="N159" s="78" t="s">
        <v>506</v>
      </c>
      <c r="O159" s="78" t="s">
        <v>713</v>
      </c>
      <c r="P159" s="78"/>
      <c r="Q159" s="78"/>
      <c r="R159" s="78"/>
      <c r="S159" s="78"/>
      <c r="T159" s="78"/>
    </row>
    <row r="160" spans="1:20" ht="15">
      <c r="A160" s="83" t="s">
        <v>716</v>
      </c>
      <c r="B160" s="83" t="s">
        <v>717</v>
      </c>
      <c r="C160" s="83" t="s">
        <v>95</v>
      </c>
      <c r="D160" s="84">
        <v>336</v>
      </c>
      <c r="E160" s="84">
        <v>600</v>
      </c>
      <c r="F160" s="92">
        <v>1</v>
      </c>
      <c r="G160" s="92">
        <v>0</v>
      </c>
      <c r="H160" s="91">
        <f t="shared" si="12"/>
        <v>1</v>
      </c>
      <c r="I160" s="91">
        <f>IF(D160&lt;&gt;"",D160,IFERROR(E160/(IFERROR(SUM(Sales!C:C),0))*(IFERROR(SUM(Purchases!C:C),0)),0))</f>
        <v>336</v>
      </c>
      <c r="J160" s="91">
        <f t="shared" si="13"/>
        <v>336</v>
      </c>
      <c r="K160" s="91">
        <f t="shared" si="14"/>
        <v>0</v>
      </c>
      <c r="L160" s="83" t="s">
        <v>320</v>
      </c>
      <c r="M160" s="83"/>
      <c r="N160" s="83" t="s">
        <v>337</v>
      </c>
      <c r="O160" s="83"/>
      <c r="P160" s="83"/>
      <c r="Q160" s="83"/>
      <c r="R160" s="83"/>
      <c r="S160" s="83"/>
      <c r="T160" s="83"/>
    </row>
    <row r="161" spans="1:20" ht="15">
      <c r="A161" s="78" t="s">
        <v>718</v>
      </c>
      <c r="B161" s="78" t="s">
        <v>719</v>
      </c>
      <c r="C161" s="78" t="s">
        <v>95</v>
      </c>
      <c r="D161" s="85">
        <v>353</v>
      </c>
      <c r="E161" s="85">
        <v>600</v>
      </c>
      <c r="F161" s="90">
        <v>1</v>
      </c>
      <c r="G161" s="90">
        <v>0</v>
      </c>
      <c r="H161" s="89">
        <f t="shared" si="12"/>
        <v>1</v>
      </c>
      <c r="I161" s="89">
        <f>IF(D161&lt;&gt;"",D161,IFERROR(E161/(IFERROR(SUM(Sales!C:C),0))*(IFERROR(SUM(Purchases!C:C),0)),0))</f>
        <v>353</v>
      </c>
      <c r="J161" s="89">
        <f t="shared" si="13"/>
        <v>353</v>
      </c>
      <c r="K161" s="89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3" t="s">
        <v>720</v>
      </c>
      <c r="B162" s="83" t="s">
        <v>721</v>
      </c>
      <c r="C162" s="83" t="s">
        <v>95</v>
      </c>
      <c r="D162" s="84">
        <v>533</v>
      </c>
      <c r="E162" s="84">
        <v>750</v>
      </c>
      <c r="F162" s="92">
        <v>0</v>
      </c>
      <c r="G162" s="92">
        <v>1</v>
      </c>
      <c r="H162" s="91">
        <f t="shared" ref="H162:H163" si="15">F162+IF(LEN(G162)=0,0,G162)</f>
        <v>1</v>
      </c>
      <c r="I162" s="91">
        <f>IF(D162&lt;&gt;"",D162,IFERROR(E162/(IFERROR(SUM(Sales!C:C),0))*(IFERROR(SUM(Purchases!C:C),0)),0))</f>
        <v>533</v>
      </c>
      <c r="J162" s="91">
        <f t="shared" ref="J162:J163" si="16">F162*I162</f>
        <v>0</v>
      </c>
      <c r="K162" s="91">
        <f t="shared" si="14"/>
        <v>533</v>
      </c>
      <c r="L162" s="83"/>
      <c r="M162" s="83"/>
      <c r="N162" s="83" t="s">
        <v>506</v>
      </c>
      <c r="O162" s="83"/>
      <c r="P162" s="83"/>
      <c r="Q162" s="83"/>
      <c r="R162" s="83"/>
      <c r="S162" s="83"/>
      <c r="T162" s="83"/>
    </row>
    <row r="163" spans="1:20" ht="15">
      <c r="A163" s="78" t="s">
        <v>722</v>
      </c>
      <c r="B163" s="78" t="s">
        <v>723</v>
      </c>
      <c r="C163" s="78" t="s">
        <v>95</v>
      </c>
      <c r="D163" s="85">
        <v>441</v>
      </c>
      <c r="E163" s="85">
        <v>750</v>
      </c>
      <c r="F163" s="90">
        <v>0</v>
      </c>
      <c r="G163" s="90">
        <v>1</v>
      </c>
      <c r="H163" s="89">
        <f t="shared" si="15"/>
        <v>1</v>
      </c>
      <c r="I163" s="89">
        <f>IF(D163&lt;&gt;"",D163,IFERROR(E163/(IFERROR(SUM(Sales!C:C),0))*(IFERROR(SUM(Purchases!C:C),0)),0))</f>
        <v>441</v>
      </c>
      <c r="J163" s="89">
        <f t="shared" si="16"/>
        <v>0</v>
      </c>
      <c r="K163" s="89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3" t="s">
        <v>765</v>
      </c>
      <c r="B164" s="83" t="s">
        <v>818</v>
      </c>
      <c r="C164" s="83" t="s">
        <v>95</v>
      </c>
      <c r="D164" s="84">
        <v>1013</v>
      </c>
      <c r="E164" s="84">
        <v>1499</v>
      </c>
      <c r="F164" s="92">
        <v>0</v>
      </c>
      <c r="G164" s="92">
        <v>5</v>
      </c>
      <c r="H164" s="91">
        <f t="shared" ref="H164:H165" si="17">F164+IF(LEN(G164)=0,0,G164)</f>
        <v>5</v>
      </c>
      <c r="I164" s="91">
        <f>IF(D164&lt;&gt;"",D164,IFERROR(E164/(IFERROR(SUM(Sales!C:C),0))*(IFERROR(SUM(Purchases!C:C),0)),0))</f>
        <v>1013</v>
      </c>
      <c r="J164" s="91">
        <f t="shared" ref="J164:J165" si="18">F164*I164</f>
        <v>0</v>
      </c>
      <c r="K164" s="91">
        <f t="shared" ref="K164:K165" si="19">IF(LEN(G164)=0,0,G164)*I164</f>
        <v>5065</v>
      </c>
      <c r="L164" s="83"/>
      <c r="M164" s="83"/>
      <c r="N164" s="83" t="s">
        <v>506</v>
      </c>
      <c r="O164" s="83"/>
      <c r="P164" s="83" t="s">
        <v>764</v>
      </c>
      <c r="Q164" s="83"/>
      <c r="R164" s="83"/>
      <c r="S164" s="83"/>
      <c r="T164" s="83"/>
    </row>
    <row r="165" spans="1:20" ht="15">
      <c r="A165" s="78" t="s">
        <v>767</v>
      </c>
      <c r="B165" s="78" t="s">
        <v>803</v>
      </c>
      <c r="C165" s="78" t="s">
        <v>95</v>
      </c>
      <c r="D165" s="85">
        <v>786.46</v>
      </c>
      <c r="E165" s="85">
        <v>1250</v>
      </c>
      <c r="F165" s="90">
        <v>1</v>
      </c>
      <c r="G165" s="90">
        <v>0</v>
      </c>
      <c r="H165" s="89">
        <f t="shared" si="17"/>
        <v>1</v>
      </c>
      <c r="I165" s="89">
        <f>IF(D165&lt;&gt;"",D165,IFERROR(E165/(IFERROR(SUM(Sales!C:C),0))*(IFERROR(SUM(Purchases!C:C),0)),0))</f>
        <v>786.46</v>
      </c>
      <c r="J165" s="89">
        <f t="shared" si="18"/>
        <v>786.46</v>
      </c>
      <c r="K165" s="89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768</v>
      </c>
      <c r="Q165" s="78"/>
      <c r="R165" s="78"/>
      <c r="S165" s="78"/>
      <c r="T165" s="78"/>
    </row>
    <row r="166" spans="1:20" ht="15">
      <c r="A166" s="83" t="s">
        <v>769</v>
      </c>
      <c r="B166" s="83" t="s">
        <v>816</v>
      </c>
      <c r="C166" s="83" t="s">
        <v>95</v>
      </c>
      <c r="D166" s="84">
        <v>606</v>
      </c>
      <c r="E166" s="84">
        <v>950</v>
      </c>
      <c r="F166" s="92">
        <v>0</v>
      </c>
      <c r="G166" s="92">
        <v>3</v>
      </c>
      <c r="H166" s="91">
        <f t="shared" ref="H166:H169" si="20">F166+IF(LEN(G166)=0,0,G166)</f>
        <v>3</v>
      </c>
      <c r="I166" s="91">
        <f>IF(D166&lt;&gt;"",D166,IFERROR(E166/(IFERROR(SUM(Sales!C:C),0))*(IFERROR(SUM(Purchases!C:C),0)),0))</f>
        <v>606</v>
      </c>
      <c r="J166" s="91">
        <f t="shared" ref="J166:J169" si="21">F166*I166</f>
        <v>0</v>
      </c>
      <c r="K166" s="91">
        <f t="shared" ref="K166:K169" si="22">IF(LEN(G166)=0,0,G166)*I166</f>
        <v>1818</v>
      </c>
      <c r="L166" s="83"/>
      <c r="M166" s="83"/>
      <c r="N166" s="83" t="s">
        <v>506</v>
      </c>
      <c r="O166" s="83"/>
      <c r="P166" s="83" t="s">
        <v>770</v>
      </c>
      <c r="Q166" s="83"/>
      <c r="R166" s="83"/>
      <c r="S166" s="83"/>
      <c r="T166" s="83"/>
    </row>
    <row r="167" spans="1:20" ht="15">
      <c r="A167" s="78" t="s">
        <v>772</v>
      </c>
      <c r="B167" s="78" t="s">
        <v>771</v>
      </c>
      <c r="C167" s="78" t="s">
        <v>95</v>
      </c>
      <c r="D167" s="85">
        <v>740</v>
      </c>
      <c r="E167" s="85">
        <v>980</v>
      </c>
      <c r="F167" s="90">
        <v>3</v>
      </c>
      <c r="G167" s="90">
        <v>3</v>
      </c>
      <c r="H167" s="89">
        <f t="shared" si="20"/>
        <v>6</v>
      </c>
      <c r="I167" s="89">
        <f>IF(D167&lt;&gt;"",D167,IFERROR(E167/(IFERROR(SUM(Sales!C:C),0))*(IFERROR(SUM(Purchases!C:C),0)),0))</f>
        <v>740</v>
      </c>
      <c r="J167" s="89">
        <f t="shared" si="21"/>
        <v>2220</v>
      </c>
      <c r="K167" s="89">
        <f t="shared" si="22"/>
        <v>2220</v>
      </c>
      <c r="L167" s="78" t="s">
        <v>791</v>
      </c>
      <c r="M167" s="78"/>
      <c r="N167" s="78" t="s">
        <v>422</v>
      </c>
      <c r="O167" s="78"/>
      <c r="P167" s="78" t="s">
        <v>774</v>
      </c>
      <c r="Q167" s="78"/>
      <c r="R167" s="78"/>
      <c r="S167" s="78"/>
      <c r="T167" s="78"/>
    </row>
    <row r="168" spans="1:20" ht="15">
      <c r="A168" s="83" t="s">
        <v>776</v>
      </c>
      <c r="B168" s="83" t="s">
        <v>817</v>
      </c>
      <c r="C168" s="83" t="s">
        <v>95</v>
      </c>
      <c r="D168" s="84">
        <v>608</v>
      </c>
      <c r="E168" s="84">
        <v>950</v>
      </c>
      <c r="F168" s="92">
        <v>0</v>
      </c>
      <c r="G168" s="92">
        <v>3</v>
      </c>
      <c r="H168" s="91">
        <f t="shared" si="20"/>
        <v>3</v>
      </c>
      <c r="I168" s="91">
        <f>IF(D168&lt;&gt;"",D168,IFERROR(E168/(IFERROR(SUM(Sales!C:C),0))*(IFERROR(SUM(Purchases!C:C),0)),0))</f>
        <v>608</v>
      </c>
      <c r="J168" s="91">
        <f t="shared" si="21"/>
        <v>0</v>
      </c>
      <c r="K168" s="91">
        <f t="shared" si="22"/>
        <v>1824</v>
      </c>
      <c r="L168" s="83"/>
      <c r="M168" s="83"/>
      <c r="N168" s="83" t="s">
        <v>506</v>
      </c>
      <c r="O168" s="83"/>
      <c r="P168" s="83" t="s">
        <v>775</v>
      </c>
      <c r="Q168" s="83"/>
      <c r="R168" s="83"/>
      <c r="S168" s="83"/>
      <c r="T168" s="83"/>
    </row>
    <row r="169" spans="1:20" ht="15">
      <c r="A169" s="78" t="s">
        <v>777</v>
      </c>
      <c r="B169" s="78" t="s">
        <v>778</v>
      </c>
      <c r="C169" s="78" t="s">
        <v>95</v>
      </c>
      <c r="D169" s="85">
        <v>383.26</v>
      </c>
      <c r="E169" s="85">
        <v>699</v>
      </c>
      <c r="F169" s="90">
        <v>0</v>
      </c>
      <c r="G169" s="90">
        <v>1</v>
      </c>
      <c r="H169" s="89">
        <f t="shared" si="20"/>
        <v>1</v>
      </c>
      <c r="I169" s="89">
        <f>IF(D169&lt;&gt;"",D169,IFERROR(E169/(IFERROR(SUM(Sales!C:C),0))*(IFERROR(SUM(Purchases!C:C),0)),0))</f>
        <v>383.26</v>
      </c>
      <c r="J169" s="89">
        <f t="shared" si="21"/>
        <v>0</v>
      </c>
      <c r="K169" s="89">
        <f t="shared" si="22"/>
        <v>383.26</v>
      </c>
      <c r="L169" s="78"/>
      <c r="M169" s="78"/>
      <c r="N169" s="78" t="s">
        <v>506</v>
      </c>
      <c r="O169" s="78"/>
      <c r="P169" s="78" t="s">
        <v>779</v>
      </c>
      <c r="Q169" s="78"/>
      <c r="R169" s="78"/>
      <c r="S169" s="78"/>
      <c r="T169" s="78"/>
    </row>
    <row r="170" spans="1:20" ht="30">
      <c r="A170" s="83" t="s">
        <v>789</v>
      </c>
      <c r="B170" s="83" t="s">
        <v>788</v>
      </c>
      <c r="C170" s="83" t="s">
        <v>95</v>
      </c>
      <c r="D170" s="84">
        <v>892</v>
      </c>
      <c r="E170" s="84">
        <v>1380</v>
      </c>
      <c r="F170" s="92">
        <v>0</v>
      </c>
      <c r="G170" s="92">
        <v>3</v>
      </c>
      <c r="H170" s="91">
        <f t="shared" ref="H170:H171" si="23">F170+IF(LEN(G170)=0,0,G170)</f>
        <v>3</v>
      </c>
      <c r="I170" s="91">
        <f>IF(D170&lt;&gt;"",D170,IFERROR(E170/(IFERROR(SUM(Sales!C:C),0))*(IFERROR(SUM(Purchases!C:C),0)),0))</f>
        <v>892</v>
      </c>
      <c r="J170" s="91">
        <f t="shared" ref="J170:J171" si="24">F170*I170</f>
        <v>0</v>
      </c>
      <c r="K170" s="91">
        <f t="shared" ref="K170:K171" si="25">IF(LEN(G170)=0,0,G170)*I170</f>
        <v>2676</v>
      </c>
      <c r="L170" s="83"/>
      <c r="M170" s="83"/>
      <c r="N170" s="83" t="s">
        <v>506</v>
      </c>
      <c r="O170" s="83"/>
      <c r="P170" s="83" t="s">
        <v>790</v>
      </c>
      <c r="Q170" s="83"/>
      <c r="R170" s="83"/>
      <c r="S170" s="83"/>
      <c r="T170" s="83"/>
    </row>
    <row r="171" spans="1:20" ht="15">
      <c r="A171" s="78" t="s">
        <v>796</v>
      </c>
      <c r="B171" s="83" t="s">
        <v>811</v>
      </c>
      <c r="C171" s="78" t="s">
        <v>95</v>
      </c>
      <c r="D171" s="85">
        <v>892</v>
      </c>
      <c r="E171" s="85">
        <v>1380</v>
      </c>
      <c r="F171" s="90">
        <v>0</v>
      </c>
      <c r="G171" s="90">
        <v>3</v>
      </c>
      <c r="H171" s="89">
        <f t="shared" si="23"/>
        <v>3</v>
      </c>
      <c r="I171" s="89">
        <f>IF(D171&lt;&gt;"",D171,IFERROR(E171/(IFERROR(SUM(Sales!C:C),0))*(IFERROR(SUM(Purchases!C:C),0)),0))</f>
        <v>892</v>
      </c>
      <c r="J171" s="89">
        <f t="shared" si="24"/>
        <v>0</v>
      </c>
      <c r="K171" s="89">
        <f t="shared" si="25"/>
        <v>2676</v>
      </c>
      <c r="L171" s="78"/>
      <c r="M171" s="78"/>
      <c r="N171" s="78" t="s">
        <v>506</v>
      </c>
      <c r="O171" s="78"/>
      <c r="P171" s="78"/>
      <c r="Q171" s="78"/>
      <c r="R171" s="78"/>
      <c r="S171" s="78"/>
      <c r="T171" s="78"/>
    </row>
    <row r="172" spans="1:20" ht="15">
      <c r="A172" s="83" t="s">
        <v>798</v>
      </c>
      <c r="B172" s="83" t="s">
        <v>797</v>
      </c>
      <c r="C172" s="83" t="s">
        <v>95</v>
      </c>
      <c r="D172" s="84">
        <v>1047</v>
      </c>
      <c r="E172" s="84">
        <v>1550</v>
      </c>
      <c r="F172" s="92">
        <v>0</v>
      </c>
      <c r="G172" s="92">
        <v>1</v>
      </c>
      <c r="H172" s="91">
        <f t="shared" ref="H172:H174" si="26">F172+IF(LEN(G172)=0,0,G172)</f>
        <v>1</v>
      </c>
      <c r="I172" s="91">
        <f>IF(D172&lt;&gt;"",D172,IFERROR(E172/(IFERROR(SUM(Sales!C:C),0))*(IFERROR(SUM(Purchases!C:C),0)),0))</f>
        <v>1047</v>
      </c>
      <c r="J172" s="91">
        <f t="shared" ref="J172:J174" si="27">F172*I172</f>
        <v>0</v>
      </c>
      <c r="K172" s="91">
        <f t="shared" ref="K172:K174" si="28">IF(LEN(G172)=0,0,G172)*I172</f>
        <v>1047</v>
      </c>
      <c r="L172" s="83"/>
      <c r="M172" s="83"/>
      <c r="N172" s="83" t="s">
        <v>506</v>
      </c>
      <c r="O172" s="83"/>
      <c r="P172" s="83"/>
      <c r="Q172" s="83"/>
      <c r="R172" s="83"/>
      <c r="S172" s="83"/>
      <c r="T172" s="83"/>
    </row>
    <row r="173" spans="1:20" ht="15">
      <c r="A173" s="78" t="s">
        <v>801</v>
      </c>
      <c r="B173" s="78" t="s">
        <v>799</v>
      </c>
      <c r="C173" s="78" t="s">
        <v>95</v>
      </c>
      <c r="D173" s="85">
        <v>803.26</v>
      </c>
      <c r="E173" s="85">
        <v>1250</v>
      </c>
      <c r="F173" s="90">
        <v>0</v>
      </c>
      <c r="G173" s="90">
        <v>1</v>
      </c>
      <c r="H173" s="89">
        <f t="shared" si="26"/>
        <v>1</v>
      </c>
      <c r="I173" s="89">
        <f>IF(D173&lt;&gt;"",D173,IFERROR(E173/(IFERROR(SUM(Sales!C:C),0))*(IFERROR(SUM(Purchases!C:C),0)),0))</f>
        <v>803.26</v>
      </c>
      <c r="J173" s="89">
        <f t="shared" si="27"/>
        <v>0</v>
      </c>
      <c r="K173" s="89">
        <f t="shared" si="28"/>
        <v>803.26</v>
      </c>
      <c r="L173" s="78"/>
      <c r="M173" s="78"/>
      <c r="N173" s="78" t="s">
        <v>506</v>
      </c>
      <c r="O173" s="78"/>
      <c r="P173" s="78"/>
      <c r="Q173" s="78"/>
      <c r="R173" s="78"/>
      <c r="S173" s="78"/>
      <c r="T173" s="78"/>
    </row>
    <row r="174" spans="1:20" ht="15">
      <c r="A174" s="83" t="s">
        <v>802</v>
      </c>
      <c r="B174" s="83" t="s">
        <v>800</v>
      </c>
      <c r="C174" s="83" t="s">
        <v>95</v>
      </c>
      <c r="D174" s="84">
        <v>791.7</v>
      </c>
      <c r="E174" s="84">
        <v>1250</v>
      </c>
      <c r="F174" s="92">
        <v>0</v>
      </c>
      <c r="G174" s="92">
        <v>1</v>
      </c>
      <c r="H174" s="91">
        <f t="shared" si="26"/>
        <v>1</v>
      </c>
      <c r="I174" s="91">
        <f>IF(D174&lt;&gt;"",D174,IFERROR(E174/(IFERROR(SUM(Sales!C:C),0))*(IFERROR(SUM(Purchases!C:C),0)),0))</f>
        <v>791.7</v>
      </c>
      <c r="J174" s="91">
        <f t="shared" si="27"/>
        <v>0</v>
      </c>
      <c r="K174" s="91">
        <f t="shared" si="28"/>
        <v>791.7</v>
      </c>
      <c r="L174" s="83"/>
      <c r="M174" s="83"/>
      <c r="N174" s="83" t="s">
        <v>506</v>
      </c>
      <c r="O174" s="83"/>
      <c r="P174" s="83"/>
      <c r="Q174" s="83"/>
      <c r="R174" s="83"/>
      <c r="S174" s="83"/>
      <c r="T174" s="83"/>
    </row>
    <row r="175" spans="1:20" ht="90">
      <c r="A175" s="78" t="s">
        <v>806</v>
      </c>
      <c r="B175" s="78" t="s">
        <v>807</v>
      </c>
      <c r="C175" s="78" t="s">
        <v>95</v>
      </c>
      <c r="D175" s="85">
        <v>698.25</v>
      </c>
      <c r="E175" s="85">
        <v>1250</v>
      </c>
      <c r="F175" s="90">
        <v>0</v>
      </c>
      <c r="G175" s="90">
        <v>10</v>
      </c>
      <c r="H175" s="89">
        <f t="shared" ref="H175" si="29">F175+IF(LEN(G175)=0,0,G175)</f>
        <v>10</v>
      </c>
      <c r="I175" s="89">
        <f>IF(D175&lt;&gt;"",D175,IFERROR(E175/(IFERROR(SUM(Sales!C:C),0))*(IFERROR(SUM(Purchases!C:C),0)),0))</f>
        <v>698.25</v>
      </c>
      <c r="J175" s="89">
        <f t="shared" ref="J175" si="30">F175*I175</f>
        <v>0</v>
      </c>
      <c r="K175" s="89">
        <f t="shared" ref="K175" si="31">IF(LEN(G175)=0,0,G175)*I175</f>
        <v>6982.5</v>
      </c>
      <c r="L175" s="78"/>
      <c r="M175" s="78"/>
      <c r="N175" s="78" t="s">
        <v>506</v>
      </c>
      <c r="O175" s="78"/>
      <c r="P175" s="78" t="s">
        <v>810</v>
      </c>
      <c r="Q175" s="78"/>
      <c r="R175" s="78"/>
      <c r="S175" s="78"/>
      <c r="T175" s="78"/>
    </row>
    <row r="176" spans="1:20">
      <c r="A176" s="83"/>
      <c r="B176" s="83"/>
      <c r="C176" s="83"/>
      <c r="D176" s="84"/>
      <c r="E176" s="84"/>
      <c r="F176" s="92"/>
      <c r="G176" s="92"/>
      <c r="H176" s="91"/>
      <c r="I176" s="91"/>
      <c r="J176" s="91"/>
      <c r="K176" s="91"/>
      <c r="L176" s="83"/>
      <c r="M176" s="83"/>
      <c r="N176" s="83"/>
      <c r="O176" s="83"/>
      <c r="P176" s="83"/>
      <c r="Q176" s="83"/>
      <c r="R176" s="83"/>
      <c r="S176" s="83"/>
      <c r="T176" s="83"/>
    </row>
    <row r="177" spans="1:20">
      <c r="A177" s="78"/>
      <c r="B177" s="78"/>
      <c r="C177" s="78"/>
      <c r="D177" s="85"/>
      <c r="E177" s="85"/>
      <c r="F177" s="90"/>
      <c r="G177" s="90"/>
      <c r="H177" s="89"/>
      <c r="I177" s="89"/>
      <c r="J177" s="89"/>
      <c r="K177" s="89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1:20">
      <c r="A178" s="83"/>
      <c r="B178" s="83"/>
      <c r="C178" s="83"/>
      <c r="D178" s="84"/>
      <c r="E178" s="84"/>
      <c r="F178" s="92"/>
      <c r="G178" s="92"/>
      <c r="H178" s="91"/>
      <c r="I178" s="91"/>
      <c r="J178" s="91"/>
      <c r="K178" s="91"/>
      <c r="L178" s="83"/>
      <c r="M178" s="83"/>
      <c r="N178" s="83"/>
      <c r="O178" s="83"/>
      <c r="P178" s="83"/>
      <c r="Q178" s="83"/>
      <c r="R178" s="83"/>
      <c r="S178" s="83"/>
      <c r="T178" s="83"/>
    </row>
    <row r="179" spans="1:20">
      <c r="A179" s="78"/>
      <c r="B179" s="78"/>
      <c r="C179" s="78"/>
      <c r="D179" s="85"/>
      <c r="E179" s="85"/>
      <c r="F179" s="90"/>
      <c r="G179" s="90"/>
      <c r="H179" s="89"/>
      <c r="I179" s="89"/>
      <c r="J179" s="89"/>
      <c r="K179" s="89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1:20">
      <c r="A180" s="83"/>
      <c r="B180" s="83"/>
      <c r="C180" s="83"/>
      <c r="D180" s="84"/>
      <c r="E180" s="84"/>
      <c r="F180" s="92"/>
      <c r="G180" s="92"/>
      <c r="H180" s="91"/>
      <c r="I180" s="91"/>
      <c r="J180" s="91"/>
      <c r="K180" s="91"/>
      <c r="L180" s="83"/>
      <c r="M180" s="83"/>
      <c r="N180" s="83"/>
      <c r="O180" s="83"/>
      <c r="P180" s="83"/>
      <c r="Q180" s="83"/>
      <c r="R180" s="83"/>
      <c r="S180" s="83"/>
      <c r="T180" s="83"/>
    </row>
    <row r="181" spans="1:20">
      <c r="A181" s="78"/>
      <c r="B181" s="78"/>
      <c r="C181" s="78"/>
      <c r="D181" s="85"/>
      <c r="E181" s="85"/>
      <c r="F181" s="90"/>
      <c r="G181" s="90"/>
      <c r="H181" s="89"/>
      <c r="I181" s="89"/>
      <c r="J181" s="89"/>
      <c r="K181" s="89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1:20">
      <c r="A182" s="83"/>
      <c r="B182" s="83"/>
      <c r="C182" s="83"/>
      <c r="D182" s="84"/>
      <c r="E182" s="84"/>
      <c r="F182" s="92"/>
      <c r="G182" s="92"/>
      <c r="H182" s="91"/>
      <c r="I182" s="91"/>
      <c r="J182" s="91"/>
      <c r="K182" s="91"/>
      <c r="L182" s="83"/>
      <c r="M182" s="83"/>
      <c r="N182" s="83"/>
      <c r="O182" s="83"/>
      <c r="P182" s="83"/>
      <c r="Q182" s="83"/>
      <c r="R182" s="83"/>
      <c r="S182" s="83"/>
      <c r="T182" s="83"/>
    </row>
    <row r="183" spans="1:20">
      <c r="A183" s="78"/>
      <c r="B183" s="78"/>
      <c r="C183" s="78"/>
      <c r="D183" s="85"/>
      <c r="E183" s="85"/>
      <c r="F183" s="90"/>
      <c r="G183" s="90"/>
      <c r="H183" s="89"/>
      <c r="I183" s="89"/>
      <c r="J183" s="89"/>
      <c r="K183" s="89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1:20">
      <c r="A184" s="83"/>
      <c r="B184" s="83"/>
      <c r="C184" s="83"/>
      <c r="D184" s="84"/>
      <c r="E184" s="84"/>
      <c r="F184" s="92"/>
      <c r="G184" s="92"/>
      <c r="H184" s="91"/>
      <c r="I184" s="91"/>
      <c r="J184" s="91"/>
      <c r="K184" s="91"/>
      <c r="L184" s="83"/>
      <c r="M184" s="83"/>
      <c r="N184" s="83"/>
      <c r="O184" s="83"/>
      <c r="P184" s="83"/>
      <c r="Q184" s="83"/>
      <c r="R184" s="83"/>
      <c r="S184" s="83"/>
      <c r="T184" s="83"/>
    </row>
    <row r="185" spans="1:20">
      <c r="A185" s="78"/>
      <c r="B185" s="78"/>
      <c r="C185" s="78"/>
      <c r="D185" s="85"/>
      <c r="E185" s="85"/>
      <c r="F185" s="90"/>
      <c r="G185" s="90"/>
      <c r="H185" s="89"/>
      <c r="I185" s="89"/>
      <c r="J185" s="89"/>
      <c r="K185" s="89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1:20">
      <c r="A186" s="83"/>
      <c r="B186" s="83"/>
      <c r="C186" s="83"/>
      <c r="D186" s="84"/>
      <c r="E186" s="84"/>
      <c r="F186" s="92"/>
      <c r="G186" s="92"/>
      <c r="H186" s="91"/>
      <c r="I186" s="91"/>
      <c r="J186" s="91"/>
      <c r="K186" s="91"/>
      <c r="L186" s="83"/>
      <c r="M186" s="83"/>
      <c r="N186" s="83"/>
      <c r="O186" s="83"/>
      <c r="P186" s="83"/>
      <c r="Q186" s="83"/>
      <c r="R186" s="83"/>
      <c r="S186" s="83"/>
      <c r="T186" s="83"/>
    </row>
    <row r="187" spans="1:20">
      <c r="A187" s="78"/>
      <c r="B187" s="78"/>
      <c r="C187" s="78"/>
      <c r="D187" s="85"/>
      <c r="E187" s="85"/>
      <c r="F187" s="90"/>
      <c r="G187" s="90"/>
      <c r="H187" s="89"/>
      <c r="I187" s="89"/>
      <c r="J187" s="89"/>
      <c r="K187" s="89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1:20">
      <c r="A188" s="83"/>
      <c r="B188" s="83"/>
      <c r="C188" s="83"/>
      <c r="D188" s="84"/>
      <c r="E188" s="84"/>
      <c r="F188" s="92"/>
      <c r="G188" s="92"/>
      <c r="H188" s="91"/>
      <c r="I188" s="91"/>
      <c r="J188" s="91"/>
      <c r="K188" s="91"/>
      <c r="L188" s="83"/>
      <c r="M188" s="83"/>
      <c r="N188" s="83"/>
      <c r="O188" s="83"/>
      <c r="P188" s="83"/>
      <c r="Q188" s="83"/>
      <c r="R188" s="83"/>
      <c r="S188" s="83"/>
      <c r="T188" s="83"/>
    </row>
    <row r="189" spans="1:20">
      <c r="A189" s="78"/>
      <c r="B189" s="78"/>
      <c r="C189" s="78"/>
      <c r="D189" s="85"/>
      <c r="E189" s="85"/>
      <c r="F189" s="90"/>
      <c r="G189" s="90"/>
      <c r="H189" s="89"/>
      <c r="I189" s="89"/>
      <c r="J189" s="89"/>
      <c r="K189" s="89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1:20">
      <c r="S190" s="62"/>
      <c r="T190" s="62"/>
    </row>
    <row r="191" spans="1:20">
      <c r="S191" s="62"/>
      <c r="T191" s="62"/>
    </row>
    <row r="192" spans="1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phoneticPr fontId="29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724</v>
      </c>
      <c r="B1" s="94"/>
    </row>
    <row r="2" spans="1:8" ht="13.5" customHeight="1">
      <c r="A2" s="8" t="s">
        <v>42</v>
      </c>
      <c r="B2" s="8" t="s">
        <v>725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726</v>
      </c>
      <c r="C7" s="72" t="s">
        <v>727</v>
      </c>
      <c r="D7" s="72" t="s">
        <v>728</v>
      </c>
      <c r="E7" s="72" t="s">
        <v>729</v>
      </c>
      <c r="F7" s="72" t="s">
        <v>730</v>
      </c>
      <c r="G7" s="72" t="s">
        <v>731</v>
      </c>
      <c r="H7" s="72" t="s">
        <v>732</v>
      </c>
    </row>
    <row r="8" spans="1:8" ht="13.5" customHeight="1">
      <c r="A8" s="9" t="s">
        <v>49</v>
      </c>
      <c r="B8" s="9">
        <f>IFERROR(SUMIF(Purchases!$B:$B,$A8,Purchases!$C:$C),0)</f>
        <v>126654</v>
      </c>
      <c r="C8" s="9">
        <f>SUM($B$8:$B$10)/3</f>
        <v>106229</v>
      </c>
      <c r="D8" s="9">
        <f>B8-C8</f>
        <v>20425</v>
      </c>
      <c r="E8" s="9">
        <f>IF(Summary!$B$6&gt;0, Summary!$B$6*VLOOKUP($A8,$A$3:$B$5,2,FALSE()),0)</f>
        <v>0</v>
      </c>
      <c r="F8" s="9">
        <f>D8+E8</f>
        <v>20425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2121.66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106229</v>
      </c>
      <c r="D9" s="11">
        <f>B9-C9</f>
        <v>53204</v>
      </c>
      <c r="E9" s="11">
        <f>IF(Summary!$B$6&gt;0, Summary!$B$6*VLOOKUP($A9,$A$3:$B$5,2,FALSE()),0)</f>
        <v>0</v>
      </c>
      <c r="F9" s="11">
        <f>D9+E9</f>
        <v>53204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11564.669999999998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106229</v>
      </c>
      <c r="D10" s="9">
        <f>B10-C10</f>
        <v>-73629</v>
      </c>
      <c r="E10" s="9">
        <f>IF(Summary!$B$6&gt;0, Summary!$B$6*VLOOKUP($A10,$A$3:$B$5,2,FALSE()),0)</f>
        <v>0</v>
      </c>
      <c r="F10" s="9">
        <f>D10+E10</f>
        <v>-73629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-13686.330000000002</v>
      </c>
    </row>
    <row r="12" spans="1:8" s="74" customFormat="1" ht="15.75" customHeight="1">
      <c r="A12" s="95" t="s">
        <v>733</v>
      </c>
      <c r="B12" s="95"/>
      <c r="C12" s="95"/>
      <c r="D12" s="95"/>
      <c r="E12" s="95"/>
      <c r="F12" s="95"/>
    </row>
    <row r="13" spans="1:8" s="73" customFormat="1" ht="13.5" customHeight="1">
      <c r="A13" s="72" t="s">
        <v>98</v>
      </c>
      <c r="B13" s="72" t="s">
        <v>734</v>
      </c>
      <c r="C13" s="72" t="s">
        <v>735</v>
      </c>
      <c r="D13" s="72" t="s">
        <v>736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737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737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737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737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737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737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737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737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737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737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738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739</v>
      </c>
    </row>
    <row r="3" spans="1:7" s="73" customFormat="1" ht="13.5" customHeight="1">
      <c r="A3" s="72" t="s">
        <v>42</v>
      </c>
      <c r="B3" s="72" t="s">
        <v>740</v>
      </c>
      <c r="C3" s="72" t="s">
        <v>725</v>
      </c>
      <c r="D3" s="72" t="s">
        <v>741</v>
      </c>
      <c r="E3" s="72" t="s">
        <v>742</v>
      </c>
      <c r="F3" s="72" t="s">
        <v>743</v>
      </c>
      <c r="G3" s="72" t="s">
        <v>744</v>
      </c>
    </row>
    <row r="4" spans="1:7" ht="13.5" customHeight="1">
      <c r="A4" s="9" t="s">
        <v>49</v>
      </c>
      <c r="B4" s="9">
        <f>IFERROR(SUMIFS(Sales!$C:$C,Sales!$E:$E,$A4,Sales!$I:$I,"Completed"),0)</f>
        <v>243102</v>
      </c>
      <c r="C4" s="9">
        <f>VLOOKUP($A4,PartnerShares!$A$3:$B$5,2,FALSE())</f>
        <v>0.33339999999999997</v>
      </c>
      <c r="D4" s="9">
        <f>Summary!$B$4*C4</f>
        <v>88034.603399999993</v>
      </c>
      <c r="E4" s="9">
        <f>B4-D4</f>
        <v>155067.39660000001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17757.370599999995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87981.7932</v>
      </c>
      <c r="E5" s="11">
        <f>B5-D5</f>
        <v>-79562.7932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-7975.7511999999988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88034.603399999993</v>
      </c>
      <c r="E6" s="9">
        <f>B6-D6</f>
        <v>-75504.603399999993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-9781.6193999999814</v>
      </c>
    </row>
    <row r="9" spans="1:7" ht="13.5" customHeight="1">
      <c r="A9" s="6" t="s">
        <v>0</v>
      </c>
    </row>
    <row r="10" spans="1:7" ht="13.5" customHeight="1">
      <c r="A10" s="6" t="s">
        <v>745</v>
      </c>
    </row>
    <row r="11" spans="1:7" ht="13.5" customHeight="1">
      <c r="A11" s="6" t="s">
        <v>746</v>
      </c>
    </row>
    <row r="12" spans="1:7" ht="13.5" customHeight="1">
      <c r="A12" s="6" t="s">
        <v>747</v>
      </c>
    </row>
    <row r="13" spans="1:7" ht="13.5" customHeight="1">
      <c r="A13" s="6" t="s">
        <v>748</v>
      </c>
    </row>
    <row r="14" spans="1:7" ht="13.5" customHeight="1">
      <c r="A14" s="6" t="s">
        <v>749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2026-04-16T02:14:06Z</dcterms:modified>
  <dc:language>en-US</dc:language>
</cp:coreProperties>
</file>