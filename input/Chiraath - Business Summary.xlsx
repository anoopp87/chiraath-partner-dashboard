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C71B2464-DA28-2646-AE19-007737AB0544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<sst xmlns="http://schemas.openxmlformats.org/spreadsheetml/2006/main" count="2912" uniqueCount="1158">
  <si>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</si>
  <si>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</si>
  <si>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</si>
  <si>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</si>
  <si>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</si>
  <si>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</si>
  <si>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</si>
  <si>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</si>
  <si>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</si>
  <si>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</si>
  <si>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</si>
  <si>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</si>
  <si>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</si>
  <si>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</si>
  <si>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</si>
  <si>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</si>
  <si>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</si>
  <si>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</si>
  <si>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</si>
  <si>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</si>
  <si>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</si>
  <si>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</si>
  <si>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</si>
  <si>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</si>
  <si>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</si>
  <si>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</si>
  <si>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</si>
  <si>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</si>
  <si>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</si>
  <si>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</si>
  <si>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</si>
  <si>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</si>
  <si>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</si>
  <si>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</si>
  <si>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</si>
  <si>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</si>
  <si>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</si>
  <si>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</si>
  <si>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</si>
  <si>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</si>
  <si>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</si>
  <si>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</si>
  <si>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</si>
  <si>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</si>
  <si>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</si>
  <si>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</si>
  <si>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</si>
  <si>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</si>
  <si>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</si>
  <si>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</si>
  <si>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</si>
  <si>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</si>
  <si>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</si>
  <si>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</si>
  <si>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</si>
  <si>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</si>
  <si>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</si>
  <si>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</si>
  <si>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</si>
  <si>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</si>
  <si>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</si>
  <si>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</si>
  <si>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</si>
  <si>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</si>
  <si>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</si>
  <si>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</si>
  <si>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</si>
  <si>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</si>
  <si>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</si>
  <si>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</si>
  <si>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</si>
  <si>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</si>
  <si>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</si>
  <si>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</si>
  <si>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</si>
  <si>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</si>
  <si>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</si>
  <si>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</si>
  <si>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</si>
  <si>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</si>
  <si>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</si>
  <si>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</si>
  <si>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</si>
  <si>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</si>
  <si>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</si>
  <si>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</si>
  <si>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</si>
  <si>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</si>
  <si>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</si>
  <si>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</si>
  <si>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</si>
  <si>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</si>
  <si>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</si>
  <si>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</si>
  <si>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</si>
  <si>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</si>
  <si>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</si>
  <si>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</si>
  <si>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</si>
  <si>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</si>
  <si>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</si>
  <si>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</si>
  <si>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</si>
  <si>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</si>
  <si>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</si>
  <si>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</si>
  <si>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</si>
  <si>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</si>
  <si>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</si>
  <si>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</si>
  <si>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</si>
  <si>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</si>
  <si>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</si>
  <si>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</si>
  <si>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</si>
  <si>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</si>
  <si>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</si>
  <si>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</si>
  <si>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</si>
  <si>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</si>
  <si>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</si>
  <si>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</si>
  <si>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</si>
  <si>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</si>
  <si>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</si>
  <si>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</si>
  <si>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</si>
  <si>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</si>
  <si>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</si>
  <si>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</si>
  <si>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</si>
  <si>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</si>
  <si>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</si>
  <si>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</si>
  <si>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</si>
  <si>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</si>
  <si>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</si>
  <si>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</si>
  <si>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</si>
  <si>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</si>
  <si>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</si>
  <si>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</si>
  <si>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</si>
  <si>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</si>
  <si>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</si>
  <si>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</si>
  <si>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</si>
  <si>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</si>
  <si>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</si>
  <si>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</si>
  <si>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</si>
  <si>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</si>
  <si>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</si>
  <si>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</si>
  <si>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</si>
  <si>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</si>
  <si>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</si>
  <si>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</si>
  <si>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</si>
  <si>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</si>
  <si>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</si>
  <si>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</si>
  <si>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</si>
  <si>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</si>
  <si>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</si>
  <si>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</si>
  <si>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</si>
  <si>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</si>
  <si>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</si>
  <si>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</si>
  <si>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</si>
  <si>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</si>
  <si>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</si>
  <si>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</si>
  <si>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</si>
  <si>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</si>
  <si>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</si>
  <si>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</si>
  <si>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</si>
  <si>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</si>
  <si>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</si>
  <si>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</si>
  <si>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</si>
  <si>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</si>
  <si>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</si>
  <si>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</si>
  <si>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</si>
  <si>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</si>
  <si>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</si>
  <si>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</si>
  <si>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</si>
  <si>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</si>
  <si>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</si>
  <si>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</si>
  <si>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</si>
  <si>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</si>
  <si>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</si>
  <si>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</si>
  <si>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</si>
  <si>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</si>
  <si>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</si>
  <si>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</si>
  <si>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</si>
  <si>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</si>
  <si>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</si>
  <si>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</si>
  <si>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</si>
  <si>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</si>
  <si>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</si>
  <si>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</si>
  <si>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</si>
  <si>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</si>
  <si>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</si>
  <si>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</si>
  <si>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</si>
  <si>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</si>
  <si>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</si>
  <si>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</si>
  <si>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</si>
  <si>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</si>
  <si>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</si>
  <si>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</si>
  <si>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</si>
  <si>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</si>
  <si>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</si>
  <si>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</si>
  <si>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</si>
  <si>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</si>
  <si>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</si>
  <si>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</si>
  <si>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</si>
  <si>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</si>
  <si>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</si>
  <si>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</si>
  <si>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</si>
  <si>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</si>
  <si>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</si>
  <si>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</si>
  <si>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</si>
  <si>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</si>
  <si>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</si>
  <si>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</si>
  <si>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</si>
  <si>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</si>
  <si>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</si>
  <si>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</si>
  <si>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</si>
  <si>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</si>
  <si>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</si>
  <si>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</si>
  <si>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</si>
  <si>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</si>
  <si>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</si>
  <si>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</si>
  <si>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</si>
  <si>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</si>
  <si>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</si>
  <si>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</si>
  <si>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</si>
  <si>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</si>
  <si>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</si>
  <si>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</si>
  <si>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</si>
  <si>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</si>
  <si>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</si>
  <si>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</si>
  <si>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</si>
  <si>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</si>
  <si>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</si>
  <si>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</si>
  <si>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</si>
  <si>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</si>
  <si>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</si>
  <si>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</si>
  <si>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</si>
  <si>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</si>
  <si>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</si>
  <si>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</si>
  <si>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</si>
  <si>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</si>
  <si>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</si>
  <si>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</si>
  <si>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</si>
  <si>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</si>
  <si>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</si>
  <si>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</si>
  <si>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</si>
  <si>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</si>
  <si>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</si>
  <si>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</si>
  <si>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</si>
  <si>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</si>
  <si>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</si>
  <si>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</si>
  <si>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</si>
  <si>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</si>
  <si>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</si>
  <si>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</si>
  <si>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</si>
  <si>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</si>
  <si>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</si>
  <si>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</si>
  <si>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</si>
  <si>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</si>
  <si>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</si>
  <si>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</si>
  <si>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</si>
  <si>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</si>
  <si>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</si>
  <si>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</si>
  <si>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</si>
  <si>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</si>
  <si>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</si>
  <si>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</si>
  <si>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</si>
  <si>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</si>
  <si>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</si>
  <si>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</si>
  <si>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</si>
  <si>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</si>
  <si>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</si>
  <si>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</si>
  <si>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</si>
  <si>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</si>
  <si>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</si>
  <si>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</si>
  <si>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</si>
  <si>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</si>
  <si>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</si>
  <si>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</si>
  <si>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</si>
  <si>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</si>
  <si>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</si>
  <si>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</si>
  <si>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</si>
  <si>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</si>
  <si>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</si>
  <si>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</si>
  <si>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</si>
  <si>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</si>
  <si>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</si>
  <si>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</si>
  <si>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</si>
  <si>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</si>
  <si>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</si>
  <si>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</si>
  <si>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</si>
  <si>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</si>
  <si>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</si>
  <si>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</si>
  <si>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</si>
  <si>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</si>
  <si>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</si>
  <si>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</si>
  <si>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</si>
  <si>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</si>
  <si>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</si>
  <si>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</si>
  <si>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</si>
  <si>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</si>
  <si>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</si>
  <si>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</si>
  <si>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</si>
  <si>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</si>
  <si>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</si>
  <si>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</si>
  <si>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</si>
  <si>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</si>
  <si>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</si>
  <si>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</si>
  <si>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</si>
  <si>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</si>
  <si>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</si>
  <si>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</si>
  <si>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</si>
  <si>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</si>
  <si>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</si>
  <si>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</si>
  <si>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</si>
  <si>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</si>
  <si>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</si>
  <si>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</si>
  <si>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</si>
  <si>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</si>
  <si>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</si>
  <si>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</si>
  <si>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</si>
  <si>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</si>
  <si>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</si>
  <si>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</si>
  <si>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</si>
  <si>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</si>
  <si>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</si>
  <si>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</si>
  <si>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</si>
  <si>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</si>
  <si>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</si>
  <si>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</si>
  <si>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</si>
  <si>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</si>
  <si>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</si>
  <si>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</si>
  <si>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</si>
  <si>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</si>
  <si>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</si>
  <si>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</si>
  <si>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</si>
  <si>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</si>
  <si>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</si>
  <si>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</si>
  <si>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</si>
  <si>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</si>
  <si>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</si>
  <si>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</si>
  <si>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</si>
  <si>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</si>
  <si>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</si>
  <si>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</si>
  <si>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</si>
  <si>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</si>
  <si>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</si>
  <si>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</si>
  <si>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</si>
  <si>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</si>
  <si>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</si>
  <si>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</si>
  <si>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</si>
  <si>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</si>
  <si>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</si>
  <si>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</si>
  <si>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</si>
  <si>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</si>
  <si>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</si>
  <si>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</si>
  <si>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</si>
  <si>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</si>
  <si>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</si>
  <si>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</si>
  <si>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</si>
  <si>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</si>
  <si>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</si>
  <si>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</si>
  <si>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</si>
  <si>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</si>
  <si>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</si>
  <si>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</si>
  <si>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</si>
  <si>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</si>
  <si>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</si>
  <si>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</si>
  <si>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</si>
  <si>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</si>
  <si>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</si>
  <si>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</si>
  <si>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</si>
  <si>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</si>
  <si>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</si>
  <si>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</si>
  <si>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</si>
  <si>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</si>
  <si>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</si>
  <si>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</si>
  <si>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</si>
  <si>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</si>
  <si>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</si>
  <si>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</si>
  <si>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</si>
  <si>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</si>
  <si>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</si>
  <si>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</si>
  <si>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</si>
  <si>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</si>
  <si>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</si>
  <si>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</si>
  <si>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</si>
  <si>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</si>
  <si>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</si>
  <si>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</si>
  <si>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</si>
  <si>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</si>
  <si>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</si>
  <si>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</si>
  <si>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</si>
  <si>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</si>
  <si>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</si>
  <si>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</si>
  <si>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</si>
  <si>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</si>
  <si>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</si>
  <si>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</si>
  <si>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</si>
  <si>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</si>
  <si>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</si>
  <si>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</si>
  <si>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</si>
  <si>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</si>
  <si>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</si>
  <si>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</si>
  <si>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</si>
  <si>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</si>
  <si>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</si>
  <si>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</si>
  <si>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</si>
  <si>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</si>
  <si>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</si>
  <si>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</si>
  <si>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</si>
  <si>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</si>
  <si>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</si>
  <si>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</si>
  <si>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</si>
  <si>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</si>
  <si>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</si>
  <si>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</si>
  <si>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</si>
  <si>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</si>
  <si>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</si>
  <si>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</si>
  <si>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</si>
  <si>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</si>
  <si>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</si>
  <si>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</si>
  <si>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</si>
  <si>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</si>
  <si>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</si>
  <si>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</si>
  <si>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</si>
  <si>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</si>
  <si>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</si>
  <si>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</si>
  <si>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</si>
  <si>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</si>
  <si>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</si>
  <si>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</si>
  <si>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</si>
  <si>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</si>
  <si>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</si>
  <si>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</si>
  <si>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</si>
  <si>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</si>
  <si>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</si>
  <si>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</si>
  <si>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</si>
  <si>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</si>
  <si>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</si>
  <si>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</si>
  <si>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</si>
  <si>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</si>
  <si>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</si>
  <si>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</si>
  <si>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</si>
  <si>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</si>
  <si>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</si>
  <si>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</si>
  <si>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</si>
  <si>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</si>
  <si>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</si>
  <si>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</si>
  <si>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</si>
  <si>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</si>
  <si>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</si>
  <si>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</si>
  <si>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</si>
  <si>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</si>
  <si>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</si>
  <si>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</si>
  <si>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</si>
  <si>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</si>
  <si>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</si>
  <si>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</si>
  <si>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</si>
  <si>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</si>
  <si>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</si>
  <si>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</si>
  <si>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</si>
  <si>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</si>
  <si>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</si>
  <si>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</si>
  <si>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</si>
  <si>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</si>
  <si>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</si>
  <si>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</si>
  <si>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</si>
  <si>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</si>
  <si>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</si>
  <si>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</si>
  <si>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</si>
  <si>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</si>
  <si>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</si>
  <si>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</si>
  <si>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</si>
  <si>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</si>
  <si>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</si>
  <si>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</si>
  <si>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</si>
  <si>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</si>
  <si>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</si>
  <si>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</si>
  <si>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</si>
  <si>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</si>
  <si>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</si>
  <si>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</si>
  <si>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</si>
  <si>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</si>
  <si>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</si>
  <si>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</si>
  <si>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</si>
  <si>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</si>
  <si>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</si>
  <si>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</si>
  <si>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</si>
  <si>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</si>
  <si>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</si>
  <si>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</si>
  <si>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</si>
  <si>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</si>
  <si>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</si>
  <si>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</si>
  <si>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</si>
  <si>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</si>
  <si>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</si>
  <si>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</si>
  <si>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</si>
  <si>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</si>
  <si>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</si>
  <si>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</si>
  <si>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</si>
  <si>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</si>
  <si>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</si>
  <si>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</si>
  <si>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</si>
  <si>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</si>
  <si>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</si>
  <si>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</si>
  <si>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</si>
  <si>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</si>
  <si>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</si>
  <si>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</si>
  <si>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</si>
  <si>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</si>
  <si>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</si>
  <si>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</si>
  <si>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</si>
  <si>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</si>
  <si>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</si>
  <si>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</si>
  <si>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</si>
  <si>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</si>
  <si>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</si>
  <si>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</si>
  <si>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</si>
  <si>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</si>
  <si>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</si>
  <si>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</si>
  <si>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</si>
  <si>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</si>
  <si>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</si>
  <si>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</si>
  <si>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</si>
  <si>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</si>
  <si>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</si>
  <si>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</si>
  <si>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</si>
  <si>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</si>
  <si>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</si>
  <si>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</si>
  <si>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</si>
  <si>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</si>
  <si>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</si>
  <si>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</si>
  <si>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</si>
  <si>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</si>
  <si>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</si>
  <si>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</si>
  <si>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</si>
  <si>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</si>
  <si>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</si>
  <si>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</si>
  <si>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</si>
  <si>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</si>
  <si>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</si>
  <si>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</si>
  <si>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</si>
  <si>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</si>
  <si>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</si>
  <si>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</si>
  <si>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</si>
  <si>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</si>
  <si>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</si>
  <si>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</si>
  <si>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</si>
  <si>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</si>
  <si>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</si>
  <si>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</si>
  <si>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</si>
  <si>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</si>
  <si>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</si>
  <si>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</si>
  <si>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</si>
  <si>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</si>
  <si>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</si>
  <si>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</si>
  <si>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</si>
  <si>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</si>
  <si>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</si>
  <si>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</si>
  <si>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</si>
  <si>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</si>
  <si>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</si>
  <si>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</si>
  <si>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</si>
  <si>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</si>
  <si>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</si>
  <si>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</si>
  <si>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</si>
  <si>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</si>
  <si>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</si>
  <si>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</si>
  <si>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</si>
  <si>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</si>
  <si>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</si>
  <si>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</si>
  <si>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</si>
  <si>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</si>
  <si>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</si>
  <si>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</si>
  <si>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</si>
  <si>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</si>
  <si>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</si>
  <si>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</si>
  <si>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</si>
  <si>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</si>
  <si>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</si>
  <si>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</si>
  <si>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</si>
  <si>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</si>
  <si>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</si>
  <si>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</si>
  <si>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</si>
  <si>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</si>
  <si>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</si>
  <si>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</si>
  <si>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</si>
  <si>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</si>
  <si>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</si>
  <si>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</si>
  <si>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</si>
  <si>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</si>
  <si>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</si>
  <si>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</si>
  <si>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</si>
  <si>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</si>
  <si>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</si>
  <si>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</si>
  <si>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</si>
  <si>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</si>
  <si>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</si>
  <si>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</si>
  <si>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</si>
  <si>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</si>
  <si>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</si>
  <si>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</si>
  <si>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</si>
  <si>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</si>
  <si>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</si>
  <si>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</si>
  <si>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</si>
  <si>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</si>
  <si>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</si>
  <si>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</si>
  <si>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</si>
  <si>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</si>
  <si>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</si>
  <si>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</si>
  <si>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</si>
  <si>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</si>
  <si>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</si>
  <si>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</si>
  <si>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</si>
  <si>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</si>
  <si>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</si>
  <si>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</si>
  <si>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</si>
  <si>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</si>
  <si>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</si>
  <si>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</si>
  <si>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</si>
  <si>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</si>
  <si>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</si>
  <si>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</si>
  <si>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</si>
  <si>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</si>
  <si>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</si>
  <si>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</si>
  <si>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</si>
  <si>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</si>
  <si>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</si>
  <si>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</si>
  <si>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</si>
  <si>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</si>
  <si>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</si>
  <si>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</si>
  <si>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</si>
  <si>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</si>
  <si>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</si>
  <si>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</si>
  <si>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</si>
  <si>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</si>
  <si>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</si>
  <si>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</si>
  <si>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</si>
  <si>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</si>
  <si>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</si>
  <si>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</si>
  <si>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</si>
  <si>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</si>
  <si>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</si>
  <si>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</si>
  <si>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</si>
  <si>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</si>
  <si>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</si>
  <si>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</si>
  <si>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</si>
  <si>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</si>
  <si>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</si>
  <si>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</si>
  <si>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</si>
  <si>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</si>
  <si>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</si>
  <si>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</si>
  <si>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</si>
  <si>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</si>
  <si>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</si>
  <si>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</si>
  <si>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</si>
  <si>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</si>
  <si>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</si>
  <si>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</si>
  <si>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</si>
  <si>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</si>
  <si>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</si>
  <si>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</si>
  <si>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</si>
  <si>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</si>
  <si>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</si>
  <si>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</si>
  <si>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</si>
  <si>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</si>
  <si>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</si>
  <si>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</si>
  <si>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</si>
  <si>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</si>
  <si>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</si>
  <si>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</si>
  <si>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</si>
  <si>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</si>
  <si>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</si>
  <si>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</si>
  <si>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</si>
  <si>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</si>
  <si>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</si>
  <si>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</si>
  <si>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</si>
  <si>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</si>
  <si>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</si>
  <si>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</si>
  <si>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</si>
  <si>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</si>
  <si>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</si>
  <si>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</si>
  <si>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</si>
  <si>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</si>
  <si>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</si>
  <si>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</si>
  <si>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</si>
  <si>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</si>
  <si>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</si>
  <si>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</si>
  <si>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</si>
  <si>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</si>
  <si>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</si>
  <si>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</si>
  <si>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</si>
  <si>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</si>
  <si>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</si>
  <si>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</si>
  <si>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</si>
  <si>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</si>
  <si>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</si>
  <si>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</si>
  <si>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</si>
  <si>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</si>
  <si>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</si>
  <si>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</si>
  <si>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</si>
  <si>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</si>
  <si>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</si>
  <si>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</si>
  <si>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</si>
  <si>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</si>
  <si>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</si>
  <si>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</si>
  <si>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</si>
  <si>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</si>
  <si>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</si>
  <si>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</si>
  <si>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</si>
  <si>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</si>
  <si>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</si>
  <si>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</si>
  <si>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</si>
  <si>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</si>
  <si>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</si>
  <si>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</si>
  <si>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</si>
  <si>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</si>
  <si>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</si>
  <si>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</si>
  <si>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</si>
  <si>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</si>
  <si>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</si>
  <si>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</si>
  <si>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</si>
  <si>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</si>
  <si>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</si>
  <si>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</si>
  <si>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</si>
  <si>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</si>
  <si>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</si>
  <si>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</si>
  <si>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</si>
  <si>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</si>
  <si>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</si>
  <si>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</si>
  <si>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</si>
  <si>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</si>
  <si>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</si>
  <si>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</si>
  <si>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</si>
  <si>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</si>
  <si>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</si>
  <si>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</si>
  <si>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</si>
  <si>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</si>
  <si>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</si>
  <si>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</si>
  <si>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</si>
  <si>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</si>
  <si>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</si>
  <si>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</si>
  <si>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</si>
  <si>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</si>
  <si>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</si>
  <si>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</si>
  <si>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</si>
  <si>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</si>
  <si>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</si>
  <si>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</si>
  <si>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</si>
  <si>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</si>
  <si>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</si>
  <si>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</si>
  <si>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</si>
  <si>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</si>
  <si>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</si>
  <si>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</si>
  <si>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</si>
  <si>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</si>
  <si>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</si>
  <si>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</si>
  <si>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</si>
  <si>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</si>
  <si>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</si>
  <si>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</si>
  <si>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</si>
  <si>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</si>
  <si>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</si>
  <si>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</si>
  <si>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</si>
  <si>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</si>
  <si>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</si>
  <si>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</si>
  <si>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</si>
  <si>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</si>
  <si>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</si>
  <si>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</si>
  <si>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</si>
  <si>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</si>
  <si>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</si>
  <si>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</si>
  <si>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</si>
  <si>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</si>
  <si>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</si>
  <si>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</si>
  <si>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</si>
  <si>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</si>
  <si>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</si>
  <si>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</si>
  <si>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</si>
  <si>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</si>
  <si>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</si>
  <si>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</si>
  <si>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</si>
  <si>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</si>
  <si>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</si>
  <si>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</si>
  <si>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</si>
  <si>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</si>
  <si>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</si>
  <si>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</si>
  <si>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</si>
  <si>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</si>
  <si>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</si>
  <si>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</si>
  <si>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</si>
  <si>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</si>
  <si>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</si>
  <si>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</si>
  <si>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</si>
  <si>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</si>
  <si>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</si>
  <si>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</si>
  <si>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</si>
  <si>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</si>
  <si>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</si>
  <si>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</si>
  <si>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</si>
  <si>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</si>
  <si>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</si>
  <si>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</si>
  <si>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</si>
  <si>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</si>
  <si>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</si>
  <si>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</si>
  <si>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</si>
  <si>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</si>
  <si>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</si>
  <si>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</si>
  <si>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</si>
  <si>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</si>
  <si>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</si>
  <si>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</si>
  <si>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</si>
  <si>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</si>
  <si>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</si>
  <si>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</si>
  <si>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</si>
  <si>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</si>
  <si>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</si>
  <si>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</si>
  <si>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</si>
  <si>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</si>
  <si>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</si>
  <si>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</si>
  <si>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</si>
  <si>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</si>
  <si>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</si>
  <si>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</si>
  <si>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</si>
  <si>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</si>
  <si>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</si>
  <si>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</si>
  <si>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</si>
  <si>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</si>
  <si>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</si>
  <si>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</si>
  <si>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</si>
  <si>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</si>
  <si>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</si>
  <si>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</si>
  <si>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</si>
  <si>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</si>
  <si>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</si>
  <si>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</si>
  <si>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</si>
  <si>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</si>
  <si>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</si>
  <si>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</si>
  <si>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</si>
  <si>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</si>
  <si>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</si>
  <si>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</si>
  <si>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</si>
  <si>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</si>
  <si>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</si>
  <si>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</si>
  <si>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</si>
  <si>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</si>
  <si>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</si>
  <si>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</si>
  <si>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</si>
  <si>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</si>
  <si>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</si>
  <si>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</si>
  <si>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</si>
  <si>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</si>
  <si>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</si>
  <si>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</si>
  <si>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</si>
  <si>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</si>
  <si>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</si>
  <si>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</si>
  <si>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</si>
  <si>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</si>
  <si>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</si>
  <si>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</si>
  <si>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</si>
  <si>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peacock blue/navy, red/green, mustard/blue, golden yellow &amp; green triangle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</si>
  <si>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</si>
  <si>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</si>
  <si>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</si>
  <si>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</si>
  <si>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</si>
  <si>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</si>
  <si>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</si>
  <si>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Irene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</si>
  <si>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</si>
  <si>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</si>
  <si>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</si>
  <si>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</si>
  <si>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</si>
  <si>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</si>
  <si>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</si>
  <si>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</si>
  <si>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</si>
  <si>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</si>
  <si>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</si>
  <si>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</si>
  <si>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</si>
  <si>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</si>
  <si>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</si>
  <si>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</si>
  <si>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Sheeba George, Soji Thomas, Jessy Joseph, Jeeja Anil ,Sanam, Geetha, Sushama Bhaskar, Divya Jacob, Baby Johny, Jayasree, Navya, Bindu Saji, Vanajakshi, Dison Jose, Akshitha, Bahuleyan</t>
  </si>
  <si>
    <t>Akshitha</t>
  </si>
  <si>
    <t>Bahuleyan</t>
  </si>
  <si>
    <t>Indukala - XL, Shylaja - XXL</t>
  </si>
  <si>
    <t>Indukala - L, Shylaja - XXL</t>
  </si>
  <si>
    <t>CHR-76 (XXL Plus white salwar) - 600 advance</t>
  </si>
  <si>
    <t>Bank of baroda customer</t>
  </si>
  <si>
    <t>Green/maroon - Rajitha Teacher,  chikku green - Razia Salim, Rust Orange/Coffee Brown - Nishida, Chikku Maroon(1200) - Nishida, Komalavalli - Red/green</t>
  </si>
  <si>
    <t>CHR-188 Red/green new banarasi</t>
  </si>
  <si>
    <t>CHR-195 Purple Cotton Saree</t>
  </si>
  <si>
    <t>CHR-92 Jute Kurti &amp; CHR-157 2 piece cotton salwar</t>
  </si>
  <si>
    <t>CHR-87 Red Salwar with Elephant print, CHR-58 Wine Red Salwar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</si>
  <si>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</si>
  <si>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</si>
  <si>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</si>
  <si>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</si>
  <si>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</si>
  <si>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</si>
  <si>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</si>
  <si>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</si>
  <si>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</si>
  <si>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</si>
  <si>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</si>
  <si>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</si>
  <si>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</si>
  <si>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Renju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</si>
</sst>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268</c:v>
                </c:pt>
                <c:pt idx="1">
                  <c:v>93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153</c:v>
                </c:pt>
                <c:pt idx="1">
                  <c:v>55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58332</c:v>
                </c:pt>
                <c:pt idx="1">
                  <c:v>119515.43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28944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23969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-4975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366</c:v>
                </c:pt>
                <c:pt idx="1">
                  <c:v>-273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483091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442587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452467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-40504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62820.32666666666</v>
      </c>
      <c r="C10" s="9"/>
    </row>
    <row r="11" spans="1:6" ht="13.5" customHeight="1">
      <c r="A11" s="11" t="s">
        <v>50</v>
      </c>
      <c r="B11" s="14">
        <f>PartnerShares!H9</f>
        <v>5667.3366666666552</v>
      </c>
      <c r="C11" s="11"/>
    </row>
    <row r="12" spans="1:6" ht="13.5" customHeight="1">
      <c r="A12" s="9" t="s">
        <v>51</v>
      </c>
      <c r="B12" s="13">
        <f>PartnerShares!H10</f>
        <v>-68487.663333333345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242154</v>
      </c>
      <c r="C18" s="10">
        <f>PartnerShares!C8</f>
        <v>161030.33333333334</v>
      </c>
      <c r="D18" s="10">
        <f>PartnerShares!D8</f>
        <v>81123.666666666657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62820.32666666666</v>
      </c>
      <c r="G18" s="16" t="str">
        <f>IF(ROUND(F18,0)&gt;0,"Receive ₹"&amp;TEXT(ABS(F18),"#,##0"),IF(ROUND(F18,0)&lt;0,"Pay ₹"&amp;TEXT(ABS(F18),"#,##0"),"✓ Settled"))</f>
        <v>Receive ₹62,820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161030.33333333334</v>
      </c>
      <c r="D19" s="12">
        <f>PartnerShares!D9</f>
        <v>47306.666666666657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5667.3366666666552</v>
      </c>
      <c r="G19" s="17" t="str">
        <f>IF(ROUND(F19,0)&gt;0,"Receive ₹"&amp;TEXT(ABS(F19),"#,##0"),IF(ROUND(F19,0)&lt;0,"Pay ₹"&amp;TEXT(ABS(F19),"#,##0"),"✓ Settled"))</f>
        <v>Receive ₹5,667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161030.33333333334</v>
      </c>
      <c r="D20" s="10">
        <f>PartnerShares!D10</f>
        <v>-128430.33333333334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-68487.663333333345</v>
      </c>
      <c r="G20" s="17" t="str">
        <f>IF(ROUND(F20,0)&gt;0,"Receive ₹"&amp;TEXT(ABS(F20),"#,##0"),IF(ROUND(F20,0)&lt;0,"Pay ₹"&amp;TEXT(ABS(F20),"#,##0"),"✓ Settled"))</f>
        <v>Pay ₹68,488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375433</v>
      </c>
      <c r="C26" s="10">
        <f>'Cash Pool'!D4</f>
        <v>147558.50579999998</v>
      </c>
      <c r="D26" s="10">
        <f>'Cash Pool'!E4</f>
        <v>227874.49420000002</v>
      </c>
      <c r="E26" s="10">
        <f>'Cash Pool'!F4</f>
        <v>-137310.02600000001</v>
      </c>
      <c r="F26" s="13">
        <f>'Cash Pool'!G4</f>
        <v>90564.468200000003</v>
      </c>
      <c r="G26" s="17" t="str">
        <f>IF(ROUND(F26,0)&gt;0,"Pay ₹"&amp;TEXT(ABS(F26),"#,##0"),IF(ROUND(F26,0)&lt;0,"Receive ₹"&amp;TEXT(ABS(F26),"#,##0"),"✓ Settled"))</f>
        <v>Pay ₹90,564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147469.9884</v>
      </c>
      <c r="D27" s="12">
        <f>'Cash Pool'!E5</f>
        <v>-92845.988400000002</v>
      </c>
      <c r="E27" s="12">
        <f>'Cash Pool'!F5</f>
        <v>71587.042000000001</v>
      </c>
      <c r="F27" s="14">
        <f>'Cash Pool'!G5</f>
        <v>-21258.946400000001</v>
      </c>
      <c r="G27" s="18" t="str">
        <f>IF(ROUND(F27,0)&gt;0,"Pay ₹"&amp;TEXT(ABS(F27),"#,##0"),IF(ROUND(F27,0)&lt;0,"Receive ₹"&amp;TEXT(ABS(F27),"#,##0"),"✓ Settled"))</f>
        <v>Receive ₹21,259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147558.50579999998</v>
      </c>
      <c r="D28" s="10">
        <f>'Cash Pool'!E6</f>
        <v>-135028.50579999998</v>
      </c>
      <c r="E28" s="10">
        <f>'Cash Pool'!F6</f>
        <v>65722.984000000011</v>
      </c>
      <c r="F28" s="13">
        <f>'Cash Pool'!G6</f>
        <v>-69305.521799999973</v>
      </c>
      <c r="G28" s="16" t="str">
        <f>IF(ROUND(F28,0)&gt;0,"Pay ₹"&amp;TEXT(ABS(F28),"#,##0"),IF(ROUND(F28,0)&lt;0,"Receive ₹"&amp;TEXT(ABS(F28),"#,##0"),"✓ Settled"))</f>
        <v>Receive ₹69,306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46211</v>
      </c>
    </row>
    <row r="5" spans="1:8" ht="15" customHeight="1">
      <c r="A5" s="19" t="s">
        <v>41</v>
      </c>
      <c r="B5" s="21">
        <f>Summary!B3</f>
        <v>483091</v>
      </c>
      <c r="D5" s="19" t="s">
        <v>69</v>
      </c>
      <c r="E5" s="21">
        <f>Summary!B4</f>
        <v>442587</v>
      </c>
    </row>
    <row r="6" spans="1:8" ht="15" customHeight="1">
      <c r="A6" s="19" t="s">
        <v>70</v>
      </c>
      <c r="B6" s="21">
        <f>Summary!B6</f>
        <v>-40504</v>
      </c>
      <c r="D6" s="19" t="s">
        <v>71</v>
      </c>
      <c r="E6" s="21">
        <f>SUMIFS(INVENTORY!K:K, INVENTORY!N:N, "&lt;&gt;Sold Out")</f>
        <v>168816.63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366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-273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28944</v>
      </c>
      <c r="C16" s="21">
        <f>IFERROR(SUMPRODUCT((TEXT(Sales!$A$2:$A$995,"MMM")=$A16)*(YEAR(Sales!$A$2:$A$995)=$B$7)*Sales!$C$2:$C$995),0)</f>
        <v>23969</v>
      </c>
      <c r="D16" s="21">
        <f t="shared" si="0"/>
        <v>-4975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268</v>
      </c>
      <c r="H47" s="30">
        <f>SUMIF(INVENTORY!C:C, F47, INVENTORY!G:G)</f>
        <v>153</v>
      </c>
      <c r="J47" s="30" t="s">
        <v>96</v>
      </c>
      <c r="K47" s="31">
        <f t="array" ref="K47">SUMPRODUCT((INVENTORY!$C$2:$C$477=J47)*(INVENTORY!$D$2:$D$477)*(INVENTORY!$G$2:$G$477))</f>
        <v>58332</v>
      </c>
    </row>
    <row r="48" spans="6:11" ht="15" customHeight="1">
      <c r="F48" s="29" t="s">
        <v>96</v>
      </c>
      <c r="G48" s="30">
        <f>SUMIF(INVENTORY!C:C, F48, INVENTORY!F:F)</f>
        <v>93</v>
      </c>
      <c r="H48" s="30">
        <f>SUMIF(INVENTORY!C:C, F48, INVENTORY!G:G)</f>
        <v>55</v>
      </c>
      <c r="J48" s="30" t="s">
        <v>95</v>
      </c>
      <c r="K48" s="31">
        <f t="array" ref="K48">SUMPRODUCT((INVENTORY!$C$2:$C$477=J48)*(INVENTORY!$D$2:$D$477)*(INVENTORY!$G$2:$G$477))</f>
        <v>119515.43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E93" sqref="E93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1125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47" activePane="bottomLeft" state="frozen"/>
      <selection pane="bottomLeft" activeCell="J271" sqref="J271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1106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1086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1088</v>
      </c>
      <c r="I250" s="49" t="s">
        <v>356</v>
      </c>
    </row>
    <row r="251" spans="1:9" ht="14">
      <c r="A251" s="52">
        <v>46201</v>
      </c>
      <c r="B251" s="53" t="s">
        <v>1108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1091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1092</v>
      </c>
      <c r="I252" s="49" t="s">
        <v>148</v>
      </c>
    </row>
    <row r="253" spans="1:9" ht="14">
      <c r="A253" s="52">
        <v>46201</v>
      </c>
      <c r="B253" s="53" t="s">
        <v>1093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1094</v>
      </c>
      <c r="I253" s="53" t="s">
        <v>148</v>
      </c>
    </row>
    <row r="254" spans="1:9" ht="14">
      <c r="A254" s="48">
        <v>46201</v>
      </c>
      <c r="B254" s="49" t="s">
        <v>1095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1096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1099</v>
      </c>
      <c r="I255" s="53" t="s">
        <v>148</v>
      </c>
    </row>
    <row r="256" spans="1:9" ht="14">
      <c r="A256" s="48">
        <v>46203</v>
      </c>
      <c r="B256" s="49" t="s">
        <v>1109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1110</v>
      </c>
      <c r="I256" s="49" t="s">
        <v>148</v>
      </c>
    </row>
    <row r="257" spans="1:9" ht="14">
      <c r="A257" s="52">
        <v>46204</v>
      </c>
      <c r="B257" s="53" t="s">
        <v>1113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1114</v>
      </c>
      <c r="I257" s="53" t="s">
        <v>148</v>
      </c>
    </row>
    <row r="258" spans="1:9" ht="14">
      <c r="A258" s="48">
        <v>46205</v>
      </c>
      <c r="B258" s="49" t="s">
        <v>1116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1117</v>
      </c>
      <c r="I258" s="49" t="s">
        <v>148</v>
      </c>
    </row>
    <row r="259" spans="1:9" ht="14">
      <c r="A259" s="52">
        <v>46205</v>
      </c>
      <c r="B259" s="53" t="s">
        <v>1116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1120</v>
      </c>
      <c r="I259" s="53" t="s">
        <v>148</v>
      </c>
    </row>
    <row r="260" spans="1:9" ht="14">
      <c r="A260" s="48">
        <v>46205</v>
      </c>
      <c r="B260" s="49" t="s">
        <v>1122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1121</v>
      </c>
      <c r="I260" s="49" t="s">
        <v>148</v>
      </c>
    </row>
    <row r="261" spans="1:9" ht="14">
      <c r="A261" s="52">
        <v>46205</v>
      </c>
      <c r="B261" s="53" t="s">
        <v>1127</v>
      </c>
      <c r="C261" s="54">
        <v>1900</v>
      </c>
      <c r="D261" s="53"/>
      <c r="E261" s="53"/>
      <c r="F261" s="56"/>
      <c r="G261" s="56"/>
      <c r="H261" s="57" t="s">
        <v>1142</v>
      </c>
      <c r="I261" s="53" t="s">
        <v>356</v>
      </c>
    </row>
    <row r="262" spans="1:9" ht="14">
      <c r="A262" s="48">
        <v>46206</v>
      </c>
      <c r="B262" s="49" t="s">
        <v>1133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1134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1149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1150</v>
      </c>
      <c r="I264" s="49" t="s">
        <v>356</v>
      </c>
    </row>
    <row r="265" spans="1:9" ht="14">
      <c r="A265" s="52">
        <v>46206</v>
      </c>
      <c r="B265" s="53" t="s">
        <v>1138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1137</v>
      </c>
      <c r="I265" s="53" t="s">
        <v>356</v>
      </c>
    </row>
    <row r="266" spans="1:9" ht="14">
      <c r="A266" s="48">
        <v>46206</v>
      </c>
      <c r="B266" s="49" t="s">
        <v>1122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1140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1141</v>
      </c>
      <c r="I267" s="53" t="s">
        <v>148</v>
      </c>
    </row>
    <row r="268" spans="1:9" ht="28">
      <c r="A268" s="48">
        <v>46208</v>
      </c>
      <c r="B268" s="49" t="s">
        <v>1148</v>
      </c>
      <c r="C268" s="50">
        <v>2300</v>
      </c>
      <c r="D268" s="49"/>
      <c r="E268" s="49"/>
      <c r="F268" s="49"/>
      <c r="G268" s="49"/>
      <c r="H268" s="51" t="s">
        <v>1143</v>
      </c>
      <c r="I268" s="49" t="s">
        <v>356</v>
      </c>
    </row>
    <row r="269" spans="1:9" ht="14">
      <c r="A269" s="52">
        <v>46209</v>
      </c>
      <c r="B269" s="53" t="s">
        <v>1146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1147</v>
      </c>
      <c r="I269" s="53" t="s">
        <v>148</v>
      </c>
    </row>
    <row r="270" spans="1:9" ht="14">
      <c r="A270" s="48">
        <v>46210</v>
      </c>
      <c r="B270" s="49" t="s">
        <v>1153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1154</v>
      </c>
      <c r="I270" s="49" t="s">
        <v>148</v>
      </c>
    </row>
    <row r="271" spans="1:9" ht="14">
      <c r="A271" s="52">
        <v>46211</v>
      </c>
      <c r="B271" s="53" t="s">
        <v>1155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1156</v>
      </c>
      <c r="I271" s="53" t="s">
        <v>148</v>
      </c>
    </row>
    <row r="272" spans="1:9">
      <c r="A272" s="48"/>
      <c r="B272" s="49"/>
      <c r="C272" s="50"/>
      <c r="D272" s="49"/>
      <c r="E272" s="49"/>
      <c r="F272" s="49"/>
      <c r="G272" s="49"/>
      <c r="H272" s="51"/>
      <c r="I272" s="49"/>
    </row>
    <row r="273" spans="1:9">
      <c r="A273" s="52"/>
      <c r="B273" s="53"/>
      <c r="C273" s="54"/>
      <c r="D273" s="53"/>
      <c r="E273" s="53"/>
      <c r="F273" s="56"/>
      <c r="G273" s="56"/>
      <c r="H273" s="57"/>
      <c r="I273" s="53"/>
    </row>
    <row r="274" spans="1:9">
      <c r="A274" s="48"/>
      <c r="B274" s="49"/>
      <c r="C274" s="50"/>
      <c r="D274" s="49"/>
      <c r="E274" s="49"/>
      <c r="F274" s="49"/>
      <c r="G274" s="49"/>
      <c r="H274" s="51"/>
      <c r="I274" s="49"/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C1" zoomScaleNormal="100" workbookViewId="0">
      <pane ySplit="1" topLeftCell="A183" activePane="bottomLeft" state="frozen"/>
      <selection activeCell="E1" sqref="E1"/>
      <selection pane="bottomLeft" activeCell="F189" sqref="F189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1151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1152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1131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1097</v>
      </c>
      <c r="M120" s="63" t="s">
        <v>49</v>
      </c>
      <c r="N120" s="63" t="s">
        <v>589</v>
      </c>
      <c r="O120" s="63"/>
      <c r="P120" s="63" t="s">
        <v>1098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1087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1084</v>
      </c>
      <c r="M147" s="66"/>
      <c r="N147" s="66" t="s">
        <v>589</v>
      </c>
      <c r="O147" s="66"/>
      <c r="P147" s="66" t="s">
        <v>1085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858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859</v>
      </c>
      <c r="B149" s="66" t="s">
        <v>860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861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862</v>
      </c>
      <c r="B150" s="63" t="s">
        <v>863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864</v>
      </c>
      <c r="B151" s="66" t="s">
        <v>865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866</v>
      </c>
      <c r="M151" s="66"/>
      <c r="N151" s="66" t="s">
        <v>589</v>
      </c>
      <c r="O151" s="66" t="s">
        <v>216</v>
      </c>
      <c r="P151" s="66" t="s">
        <v>867</v>
      </c>
      <c r="Q151" s="66"/>
      <c r="R151" s="66"/>
      <c r="S151" s="66"/>
      <c r="T151" s="66"/>
    </row>
    <row r="152" spans="1:20" ht="15" customHeight="1">
      <c r="A152" s="63" t="s">
        <v>868</v>
      </c>
      <c r="B152" s="63" t="s">
        <v>869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870</v>
      </c>
      <c r="M152" s="63"/>
      <c r="N152" s="63" t="s">
        <v>589</v>
      </c>
      <c r="O152" s="63" t="s">
        <v>871</v>
      </c>
      <c r="P152" s="63" t="s">
        <v>872</v>
      </c>
      <c r="Q152" s="63"/>
      <c r="R152" s="63"/>
      <c r="S152" s="63"/>
      <c r="T152" s="63"/>
    </row>
    <row r="153" spans="1:20" ht="15" customHeight="1">
      <c r="A153" s="66" t="s">
        <v>873</v>
      </c>
      <c r="B153" s="66" t="s">
        <v>874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875</v>
      </c>
      <c r="M153" s="66"/>
      <c r="N153" s="66" t="s">
        <v>504</v>
      </c>
      <c r="O153" s="66"/>
      <c r="P153" s="66" t="s">
        <v>876</v>
      </c>
      <c r="Q153" s="66"/>
      <c r="R153" s="66"/>
      <c r="S153" s="66"/>
      <c r="T153" s="66"/>
    </row>
    <row r="154" spans="1:20" ht="15" customHeight="1">
      <c r="A154" s="63" t="s">
        <v>877</v>
      </c>
      <c r="B154" s="63" t="s">
        <v>878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1135</v>
      </c>
      <c r="M154" s="63"/>
      <c r="N154" s="63" t="s">
        <v>589</v>
      </c>
      <c r="O154" s="63" t="s">
        <v>1130</v>
      </c>
      <c r="P154" s="63"/>
      <c r="Q154" s="63"/>
      <c r="R154" s="63"/>
      <c r="S154" s="63"/>
      <c r="T154" s="63"/>
    </row>
    <row r="155" spans="1:20" ht="15" customHeight="1">
      <c r="A155" s="66" t="s">
        <v>879</v>
      </c>
      <c r="B155" s="66" t="s">
        <v>880</v>
      </c>
      <c r="C155" s="66" t="s">
        <v>96</v>
      </c>
      <c r="D155" s="67">
        <v>949</v>
      </c>
      <c r="E155" s="67">
        <v>1450</v>
      </c>
      <c r="F155" s="76">
        <v>0</v>
      </c>
      <c r="G155" s="76">
        <v>3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0</v>
      </c>
      <c r="K155" s="75">
        <f t="shared" si="10"/>
        <v>2847</v>
      </c>
      <c r="L155" s="66"/>
      <c r="M155" s="66"/>
      <c r="N155" s="66" t="s">
        <v>678</v>
      </c>
      <c r="O155" s="66" t="s">
        <v>881</v>
      </c>
      <c r="P155" s="66"/>
      <c r="Q155" s="66"/>
      <c r="R155" s="66"/>
      <c r="S155" s="66"/>
      <c r="T155" s="66"/>
    </row>
    <row r="156" spans="1:20" ht="15" customHeight="1">
      <c r="A156" s="63" t="s">
        <v>882</v>
      </c>
      <c r="B156" s="63" t="s">
        <v>883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1136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884</v>
      </c>
      <c r="B157" s="66" t="s">
        <v>885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886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887</v>
      </c>
      <c r="B158" s="63" t="s">
        <v>888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889</v>
      </c>
      <c r="M158" s="63"/>
      <c r="N158" s="63" t="s">
        <v>678</v>
      </c>
      <c r="O158" s="63" t="s">
        <v>890</v>
      </c>
      <c r="P158" s="63"/>
      <c r="Q158" s="63"/>
      <c r="R158" s="63"/>
      <c r="S158" s="63"/>
      <c r="T158" s="63"/>
    </row>
    <row r="159" spans="1:20" ht="15" customHeight="1">
      <c r="A159" s="66" t="s">
        <v>891</v>
      </c>
      <c r="B159" s="66" t="s">
        <v>892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893</v>
      </c>
      <c r="M159" s="66"/>
      <c r="N159" s="66" t="s">
        <v>589</v>
      </c>
      <c r="O159" s="66" t="s">
        <v>894</v>
      </c>
      <c r="P159" s="66"/>
      <c r="Q159" s="66"/>
      <c r="R159" s="66"/>
      <c r="S159" s="66"/>
      <c r="T159" s="66"/>
    </row>
    <row r="160" spans="1:20" ht="15" customHeight="1">
      <c r="A160" s="63" t="s">
        <v>895</v>
      </c>
      <c r="B160" s="63" t="s">
        <v>896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897</v>
      </c>
      <c r="B161" s="66" t="s">
        <v>898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899</v>
      </c>
      <c r="B162" s="63" t="s">
        <v>900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901</v>
      </c>
      <c r="B163" s="66" t="s">
        <v>902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903</v>
      </c>
      <c r="B164" s="63" t="s">
        <v>904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905</v>
      </c>
      <c r="M164" s="63"/>
      <c r="N164" s="63" t="s">
        <v>589</v>
      </c>
      <c r="O164" s="63"/>
      <c r="P164" s="63" t="s">
        <v>906</v>
      </c>
      <c r="Q164" s="63"/>
      <c r="R164" s="63"/>
      <c r="S164" s="63"/>
      <c r="T164" s="63"/>
    </row>
    <row r="165" spans="1:20" ht="15" customHeight="1">
      <c r="A165" s="66" t="s">
        <v>907</v>
      </c>
      <c r="B165" s="66" t="s">
        <v>908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909</v>
      </c>
      <c r="Q165" s="66"/>
      <c r="R165" s="66"/>
      <c r="S165" s="66"/>
      <c r="T165" s="66"/>
    </row>
    <row r="166" spans="1:20" ht="15" customHeight="1">
      <c r="A166" s="63" t="s">
        <v>910</v>
      </c>
      <c r="B166" s="63" t="s">
        <v>911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1111</v>
      </c>
      <c r="M166" s="63"/>
      <c r="N166" s="63" t="s">
        <v>504</v>
      </c>
      <c r="O166" s="63"/>
      <c r="P166" s="63" t="s">
        <v>1112</v>
      </c>
      <c r="Q166" s="63"/>
      <c r="R166" s="63"/>
      <c r="S166" s="63"/>
      <c r="T166" s="63"/>
    </row>
    <row r="167" spans="1:20" ht="15" customHeight="1">
      <c r="A167" s="66" t="s">
        <v>912</v>
      </c>
      <c r="B167" s="66" t="s">
        <v>913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914</v>
      </c>
      <c r="M167" s="66"/>
      <c r="N167" s="66" t="s">
        <v>589</v>
      </c>
      <c r="O167" s="66"/>
      <c r="P167" s="66" t="s">
        <v>915</v>
      </c>
      <c r="Q167" s="66"/>
      <c r="R167" s="66"/>
      <c r="S167" s="66"/>
      <c r="T167" s="66"/>
    </row>
    <row r="168" spans="1:20" ht="15" customHeight="1">
      <c r="A168" s="63" t="s">
        <v>916</v>
      </c>
      <c r="B168" s="63" t="s">
        <v>917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918</v>
      </c>
      <c r="M168" s="63"/>
      <c r="N168" s="63" t="s">
        <v>589</v>
      </c>
      <c r="O168" s="63"/>
      <c r="P168" s="63" t="s">
        <v>919</v>
      </c>
      <c r="Q168" s="63"/>
      <c r="R168" s="63"/>
      <c r="S168" s="63"/>
      <c r="T168" s="63"/>
    </row>
    <row r="169" spans="1:20" ht="15" customHeight="1">
      <c r="A169" s="66" t="s">
        <v>920</v>
      </c>
      <c r="B169" s="66" t="s">
        <v>921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922</v>
      </c>
      <c r="Q169" s="66"/>
      <c r="R169" s="66"/>
      <c r="S169" s="66"/>
      <c r="T169" s="66"/>
    </row>
    <row r="170" spans="1:20" ht="30" customHeight="1">
      <c r="A170" s="63" t="s">
        <v>923</v>
      </c>
      <c r="B170" s="63" t="s">
        <v>924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925</v>
      </c>
      <c r="M170" s="63"/>
      <c r="N170" s="63" t="s">
        <v>504</v>
      </c>
      <c r="O170" s="63"/>
      <c r="P170" s="63" t="s">
        <v>926</v>
      </c>
      <c r="Q170" s="63"/>
      <c r="R170" s="63"/>
      <c r="S170" s="63"/>
      <c r="T170" s="63"/>
    </row>
    <row r="171" spans="1:20" ht="31.5" customHeight="1">
      <c r="A171" s="66" t="s">
        <v>927</v>
      </c>
      <c r="B171" s="63" t="s">
        <v>928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929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930</v>
      </c>
      <c r="B172" s="63" t="s">
        <v>931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932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933</v>
      </c>
      <c r="B173" s="66" t="s">
        <v>934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935</v>
      </c>
      <c r="B174" s="63" t="s">
        <v>936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937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938</v>
      </c>
      <c r="B175" s="66" t="s">
        <v>939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1119</v>
      </c>
      <c r="M175" s="66"/>
      <c r="N175" s="66" t="s">
        <v>589</v>
      </c>
      <c r="O175" s="66"/>
      <c r="P175" s="66" t="s">
        <v>1118</v>
      </c>
      <c r="Q175" s="66"/>
      <c r="R175" s="66"/>
      <c r="S175" s="66"/>
      <c r="T175" s="66"/>
    </row>
    <row r="176" spans="1:20" ht="24" customHeight="1">
      <c r="A176" s="63" t="s">
        <v>940</v>
      </c>
      <c r="B176" s="63" t="s">
        <v>941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942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943</v>
      </c>
      <c r="B177" s="66" t="s">
        <v>944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945</v>
      </c>
      <c r="M177" s="66"/>
      <c r="N177" s="66" t="s">
        <v>504</v>
      </c>
      <c r="O177" s="66"/>
      <c r="P177" s="66" t="s">
        <v>946</v>
      </c>
      <c r="Q177" s="66"/>
      <c r="R177" s="66"/>
      <c r="S177" s="66"/>
      <c r="T177" s="66"/>
    </row>
    <row r="178" spans="1:20" ht="15" customHeight="1">
      <c r="A178" s="63" t="s">
        <v>947</v>
      </c>
      <c r="B178" s="63" t="s">
        <v>948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949</v>
      </c>
      <c r="M178" s="63"/>
      <c r="N178" s="63" t="s">
        <v>504</v>
      </c>
      <c r="O178" s="63"/>
      <c r="P178" s="63" t="s">
        <v>950</v>
      </c>
      <c r="Q178" s="63"/>
      <c r="R178" s="63"/>
      <c r="S178" s="63"/>
      <c r="T178" s="63"/>
    </row>
    <row r="179" spans="1:20" ht="30" customHeight="1">
      <c r="A179" s="66" t="s">
        <v>951</v>
      </c>
      <c r="B179" s="66" t="s">
        <v>952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953</v>
      </c>
      <c r="M179" s="66"/>
      <c r="N179" s="66" t="s">
        <v>504</v>
      </c>
      <c r="O179" s="66"/>
      <c r="P179" s="66" t="s">
        <v>954</v>
      </c>
      <c r="Q179" s="66"/>
      <c r="R179" s="66"/>
      <c r="S179" s="66"/>
      <c r="T179" s="66"/>
    </row>
    <row r="180" spans="1:20" ht="33.75" customHeight="1">
      <c r="A180" s="63" t="s">
        <v>955</v>
      </c>
      <c r="B180" s="63" t="s">
        <v>956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957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958</v>
      </c>
      <c r="B181" s="66" t="s">
        <v>959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1128</v>
      </c>
      <c r="M181" s="66"/>
      <c r="N181" s="66" t="s">
        <v>589</v>
      </c>
      <c r="O181" s="66" t="s">
        <v>1129</v>
      </c>
      <c r="P181" s="66" t="s">
        <v>960</v>
      </c>
      <c r="Q181" s="66"/>
      <c r="R181" s="66"/>
      <c r="S181" s="66"/>
      <c r="T181" s="66"/>
    </row>
    <row r="182" spans="1:20" ht="15" customHeight="1">
      <c r="A182" s="63" t="s">
        <v>961</v>
      </c>
      <c r="B182" s="63" t="s">
        <v>962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963</v>
      </c>
      <c r="Q182" s="63"/>
      <c r="R182" s="63"/>
      <c r="S182" s="63"/>
      <c r="T182" s="63"/>
    </row>
    <row r="183" spans="1:20" ht="15" customHeight="1">
      <c r="A183" s="66" t="s">
        <v>964</v>
      </c>
      <c r="B183" s="66" t="s">
        <v>965</v>
      </c>
      <c r="C183" s="66" t="s">
        <v>95</v>
      </c>
      <c r="D183" s="67">
        <v>419</v>
      </c>
      <c r="E183" s="67">
        <v>699</v>
      </c>
      <c r="F183" s="76">
        <v>1</v>
      </c>
      <c r="G183" s="76">
        <v>7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419</v>
      </c>
      <c r="K183" s="75">
        <f t="shared" si="10"/>
        <v>2933</v>
      </c>
      <c r="L183" s="66" t="s">
        <v>1115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966</v>
      </c>
      <c r="B184" s="63" t="s">
        <v>967</v>
      </c>
      <c r="C184" s="63" t="s">
        <v>95</v>
      </c>
      <c r="D184" s="64">
        <v>891</v>
      </c>
      <c r="E184" s="64">
        <v>1380</v>
      </c>
      <c r="F184" s="78">
        <v>16</v>
      </c>
      <c r="G184" s="78">
        <v>4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14256</v>
      </c>
      <c r="K184" s="77">
        <f t="shared" si="10"/>
        <v>3564</v>
      </c>
      <c r="L184" s="63" t="s">
        <v>1132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968</v>
      </c>
      <c r="B185" s="66" t="s">
        <v>969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970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971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972</v>
      </c>
      <c r="B187" s="66" t="s">
        <v>973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974</v>
      </c>
      <c r="B188" s="63" t="s">
        <v>975</v>
      </c>
      <c r="C188" s="63" t="s">
        <v>95</v>
      </c>
      <c r="D188" s="64">
        <v>891</v>
      </c>
      <c r="E188" s="64">
        <v>1380</v>
      </c>
      <c r="F188" s="78">
        <v>1</v>
      </c>
      <c r="G188" s="78">
        <v>1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891</v>
      </c>
      <c r="K188" s="77">
        <f t="shared" si="10"/>
        <v>891</v>
      </c>
      <c r="L188" s="63" t="s">
        <v>1157</v>
      </c>
      <c r="M188" s="63"/>
      <c r="N188" s="63" t="s">
        <v>589</v>
      </c>
      <c r="O188" s="63"/>
      <c r="P188" s="63"/>
      <c r="Q188" s="63"/>
      <c r="R188" s="63"/>
      <c r="S188" s="63"/>
      <c r="T188" s="63"/>
    </row>
    <row r="189" spans="1:20" ht="30" customHeight="1">
      <c r="A189" s="66" t="s">
        <v>976</v>
      </c>
      <c r="B189" s="63" t="s">
        <v>977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3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2673</v>
      </c>
      <c r="L189" s="66" t="s">
        <v>1139</v>
      </c>
      <c r="M189" s="66"/>
      <c r="N189" s="66" t="s">
        <v>589</v>
      </c>
      <c r="O189" s="66"/>
      <c r="P189" s="66" t="s">
        <v>1107</v>
      </c>
      <c r="Q189" s="66"/>
      <c r="R189" s="66"/>
      <c r="S189" s="66"/>
      <c r="T189" s="66"/>
    </row>
    <row r="190" spans="1:20" ht="15" customHeight="1">
      <c r="A190" s="63" t="s">
        <v>978</v>
      </c>
      <c r="B190" s="66" t="s">
        <v>979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980</v>
      </c>
      <c r="P190" s="58" t="s">
        <v>981</v>
      </c>
      <c r="S190" s="58"/>
      <c r="T190" s="58"/>
    </row>
    <row r="191" spans="1:20" ht="30" customHeight="1">
      <c r="A191" s="66" t="s">
        <v>982</v>
      </c>
      <c r="B191" s="63" t="s">
        <v>983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984</v>
      </c>
      <c r="S191" s="58"/>
      <c r="T191" s="58"/>
    </row>
    <row r="192" spans="1:20" ht="15" customHeight="1">
      <c r="A192" s="63" t="s">
        <v>985</v>
      </c>
      <c r="B192" s="66" t="s">
        <v>986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1100</v>
      </c>
      <c r="M192" s="63"/>
      <c r="N192" s="58" t="s">
        <v>589</v>
      </c>
      <c r="P192" s="58" t="s">
        <v>1101</v>
      </c>
      <c r="S192" s="58"/>
      <c r="T192" s="58"/>
    </row>
    <row r="193" spans="1:20" ht="15" customHeight="1">
      <c r="A193" s="66" t="s">
        <v>987</v>
      </c>
      <c r="B193" s="63" t="s">
        <v>988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989</v>
      </c>
      <c r="S193" s="58"/>
      <c r="T193" s="58"/>
    </row>
    <row r="194" spans="1:20" ht="15" customHeight="1">
      <c r="A194" s="63" t="s">
        <v>990</v>
      </c>
      <c r="B194" s="63" t="s">
        <v>991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992</v>
      </c>
      <c r="S194" s="58"/>
      <c r="T194" s="58"/>
    </row>
    <row r="195" spans="1:20" ht="15" customHeight="1">
      <c r="A195" s="66" t="s">
        <v>993</v>
      </c>
      <c r="B195" s="66" t="s">
        <v>994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995</v>
      </c>
      <c r="M195" s="66"/>
      <c r="N195" s="58" t="s">
        <v>589</v>
      </c>
      <c r="P195" s="58" t="s">
        <v>996</v>
      </c>
      <c r="S195" s="58"/>
      <c r="T195" s="58"/>
    </row>
    <row r="196" spans="1:20" ht="15" customHeight="1">
      <c r="A196" s="63" t="s">
        <v>997</v>
      </c>
      <c r="B196" s="63" t="s">
        <v>998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1090</v>
      </c>
      <c r="M196" s="63"/>
      <c r="N196" s="58" t="s">
        <v>589</v>
      </c>
      <c r="P196" s="58" t="s">
        <v>1089</v>
      </c>
      <c r="S196" s="58"/>
      <c r="T196" s="58"/>
    </row>
    <row r="197" spans="1:20" ht="15" customHeight="1">
      <c r="A197" s="66" t="s">
        <v>999</v>
      </c>
      <c r="B197" s="66" t="s">
        <v>1000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1001</v>
      </c>
      <c r="S197" s="58"/>
      <c r="T197" s="58"/>
    </row>
    <row r="198" spans="1:20" ht="15" customHeight="1">
      <c r="A198" s="63" t="s">
        <v>1002</v>
      </c>
      <c r="B198" s="63" t="s">
        <v>1003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1004</v>
      </c>
      <c r="S198" s="58"/>
      <c r="T198" s="58"/>
    </row>
    <row r="199" spans="1:20" ht="15" customHeight="1">
      <c r="A199" s="66" t="s">
        <v>1005</v>
      </c>
      <c r="B199" s="63" t="s">
        <v>1006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1007</v>
      </c>
      <c r="S199" s="58"/>
      <c r="T199" s="58"/>
    </row>
    <row r="200" spans="1:20" ht="30" customHeight="1">
      <c r="A200" s="63" t="s">
        <v>1008</v>
      </c>
      <c r="B200" s="66" t="s">
        <v>1009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1104</v>
      </c>
      <c r="M200" s="63"/>
      <c r="N200" s="58" t="s">
        <v>589</v>
      </c>
      <c r="P200" s="58" t="s">
        <v>1105</v>
      </c>
      <c r="S200" s="58"/>
      <c r="T200" s="58"/>
    </row>
    <row r="201" spans="1:20" ht="15" customHeight="1">
      <c r="A201" s="66" t="s">
        <v>1010</v>
      </c>
      <c r="B201" s="63" t="s">
        <v>1011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1012</v>
      </c>
      <c r="M201" s="66"/>
      <c r="N201" s="58" t="s">
        <v>589</v>
      </c>
      <c r="P201" s="58" t="s">
        <v>1013</v>
      </c>
      <c r="S201" s="58"/>
      <c r="T201" s="58"/>
    </row>
    <row r="202" spans="1:20" ht="15" customHeight="1">
      <c r="A202" s="63" t="s">
        <v>1014</v>
      </c>
      <c r="B202" s="66" t="s">
        <v>1015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1123</v>
      </c>
      <c r="M202" s="63"/>
      <c r="N202" s="58" t="s">
        <v>589</v>
      </c>
      <c r="P202" s="58" t="s">
        <v>1124</v>
      </c>
      <c r="S202" s="58"/>
      <c r="T202" s="58"/>
    </row>
    <row r="203" spans="1:20" ht="15" customHeight="1">
      <c r="A203" s="66" t="s">
        <v>1016</v>
      </c>
      <c r="B203" s="63" t="s">
        <v>1017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1018</v>
      </c>
      <c r="M203" s="66"/>
      <c r="N203" s="58" t="s">
        <v>504</v>
      </c>
      <c r="P203" s="58" t="s">
        <v>1019</v>
      </c>
      <c r="S203" s="58"/>
      <c r="T203" s="58"/>
    </row>
    <row r="204" spans="1:20" ht="15" customHeight="1">
      <c r="A204" s="63" t="s">
        <v>1020</v>
      </c>
      <c r="B204" s="63" t="s">
        <v>1021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1145</v>
      </c>
      <c r="M204" s="63"/>
      <c r="N204" s="58" t="s">
        <v>589</v>
      </c>
      <c r="P204" s="58" t="s">
        <v>1144</v>
      </c>
      <c r="S204" s="58"/>
      <c r="T204" s="58"/>
    </row>
    <row r="205" spans="1:20" ht="15" customHeight="1">
      <c r="A205" s="66" t="s">
        <v>1022</v>
      </c>
      <c r="B205" s="66" t="s">
        <v>1023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1024</v>
      </c>
      <c r="M205" s="66"/>
      <c r="N205" s="58" t="s">
        <v>678</v>
      </c>
      <c r="P205" s="58" t="s">
        <v>1025</v>
      </c>
      <c r="S205" s="58"/>
      <c r="T205" s="58"/>
    </row>
    <row r="206" spans="1:20" ht="15" customHeight="1">
      <c r="A206" s="63" t="s">
        <v>1026</v>
      </c>
      <c r="B206" s="63" t="s">
        <v>1027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678</v>
      </c>
      <c r="P206" s="58" t="s">
        <v>1028</v>
      </c>
      <c r="S206" s="58"/>
      <c r="T206" s="58"/>
    </row>
    <row r="207" spans="1:20" ht="15" customHeight="1">
      <c r="A207" s="66" t="s">
        <v>1029</v>
      </c>
      <c r="B207" s="66" t="s">
        <v>1030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1031</v>
      </c>
      <c r="M207" s="66"/>
      <c r="N207" s="58" t="s">
        <v>589</v>
      </c>
      <c r="P207" s="58" t="s">
        <v>1032</v>
      </c>
      <c r="S207" s="58"/>
      <c r="T207" s="58"/>
    </row>
    <row r="208" spans="1:20" ht="30" customHeight="1">
      <c r="A208" s="63" t="s">
        <v>1033</v>
      </c>
      <c r="B208" s="63" t="s">
        <v>1034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1035</v>
      </c>
      <c r="S208" s="58"/>
      <c r="T208" s="58"/>
    </row>
    <row r="209" spans="1:20" ht="15" customHeight="1">
      <c r="A209" s="66" t="s">
        <v>1036</v>
      </c>
      <c r="B209" s="63" t="s">
        <v>1037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1103</v>
      </c>
      <c r="M209" s="66"/>
      <c r="N209" s="58" t="s">
        <v>589</v>
      </c>
      <c r="P209" s="58" t="s">
        <v>1102</v>
      </c>
      <c r="S209" s="58"/>
      <c r="T209" s="58"/>
    </row>
    <row r="210" spans="1:20" ht="15" customHeight="1">
      <c r="A210" s="63" t="s">
        <v>1038</v>
      </c>
      <c r="B210" s="66" t="s">
        <v>1039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1040</v>
      </c>
      <c r="S210" s="58"/>
      <c r="T210" s="58"/>
    </row>
    <row r="211" spans="1:20" ht="15" customHeight="1">
      <c r="A211" s="66" t="s">
        <v>1041</v>
      </c>
      <c r="B211" s="63" t="s">
        <v>904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1042</v>
      </c>
      <c r="S211" s="58"/>
      <c r="T211" s="58"/>
    </row>
    <row r="212" spans="1:20" ht="15" customHeight="1">
      <c r="A212" s="63" t="s">
        <v>1043</v>
      </c>
      <c r="B212" s="66" t="s">
        <v>1126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1044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1045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1046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1047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1048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1049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1050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1051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1052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1053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1054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1055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1056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1057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1058</v>
      </c>
      <c r="B1" s="92"/>
    </row>
    <row r="2" spans="1:8" ht="13.5" customHeight="1">
      <c r="A2" s="8" t="s">
        <v>42</v>
      </c>
      <c r="B2" s="8" t="s">
        <v>1059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1060</v>
      </c>
      <c r="C7" s="83" t="s">
        <v>1061</v>
      </c>
      <c r="D7" s="83" t="s">
        <v>1062</v>
      </c>
      <c r="E7" s="83" t="s">
        <v>1063</v>
      </c>
      <c r="F7" s="83" t="s">
        <v>1064</v>
      </c>
      <c r="G7" s="83" t="s">
        <v>1065</v>
      </c>
      <c r="H7" s="83" t="s">
        <v>1066</v>
      </c>
    </row>
    <row r="8" spans="1:8" ht="13.5" customHeight="1">
      <c r="A8" s="9" t="s">
        <v>49</v>
      </c>
      <c r="B8" s="9">
        <f>IFERROR(SUMIF(Purchases!$B:$B,$A8,Purchases!$C:$C),0)</f>
        <v>242154</v>
      </c>
      <c r="C8" s="9">
        <f>SUM($B$8:$B$10)/3</f>
        <v>161030.33333333334</v>
      </c>
      <c r="D8" s="9">
        <f>B8-C8</f>
        <v>81123.666666666657</v>
      </c>
      <c r="E8" s="9">
        <f>IF(Summary!$B$6&gt;0, Summary!$B$6*VLOOKUP($A8,$A$3:$B$5,2,FALSE()),0)</f>
        <v>0</v>
      </c>
      <c r="F8" s="9">
        <f>D8+E8</f>
        <v>81123.666666666657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62820.32666666666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161030.33333333334</v>
      </c>
      <c r="D9" s="11">
        <f>B9-C9</f>
        <v>47306.666666666657</v>
      </c>
      <c r="E9" s="11">
        <f>IF(Summary!$B$6&gt;0, Summary!$B$6*VLOOKUP($A9,$A$3:$B$5,2,FALSE()),0)</f>
        <v>0</v>
      </c>
      <c r="F9" s="11">
        <f>D9+E9</f>
        <v>47306.666666666657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5667.3366666666552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161030.33333333334</v>
      </c>
      <c r="D10" s="9">
        <f>B10-C10</f>
        <v>-128430.33333333334</v>
      </c>
      <c r="E10" s="9">
        <f>IF(Summary!$B$6&gt;0, Summary!$B$6*VLOOKUP($A10,$A$3:$B$5,2,FALSE()),0)</f>
        <v>0</v>
      </c>
      <c r="F10" s="9">
        <f>D10+E10</f>
        <v>-128430.33333333334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-68487.663333333345</v>
      </c>
    </row>
    <row r="12" spans="1:8" s="87" customFormat="1" ht="15.75" customHeight="1">
      <c r="A12" s="93" t="s">
        <v>1067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1068</v>
      </c>
      <c r="C13" s="83" t="s">
        <v>1069</v>
      </c>
      <c r="D13" s="83" t="s">
        <v>1070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1071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1071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1071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1071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1071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1071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1071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1071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1071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1071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1073</v>
      </c>
    </row>
    <row r="3" spans="1:7" s="84" customFormat="1" ht="13.5" customHeight="1">
      <c r="A3" s="83" t="s">
        <v>42</v>
      </c>
      <c r="B3" s="83" t="s">
        <v>1074</v>
      </c>
      <c r="C3" s="83" t="s">
        <v>1059</v>
      </c>
      <c r="D3" s="83" t="s">
        <v>1075</v>
      </c>
      <c r="E3" s="83" t="s">
        <v>1076</v>
      </c>
      <c r="F3" s="83" t="s">
        <v>1077</v>
      </c>
      <c r="G3" s="83" t="s">
        <v>1078</v>
      </c>
    </row>
    <row r="4" spans="1:7" ht="13.5" customHeight="1">
      <c r="A4" s="9" t="s">
        <v>49</v>
      </c>
      <c r="B4" s="9">
        <f>IFERROR(SUMIFS(Sales!$C:$C,Sales!$E:$E,$A4,Sales!$I:$I,"Completed"),0)</f>
        <v>375433</v>
      </c>
      <c r="C4" s="9">
        <f>VLOOKUP($A4,PartnerShares!$A$3:$B$5,2,FALSE())</f>
        <v>0.33339999999999997</v>
      </c>
      <c r="D4" s="9">
        <f>Summary!$B$4*C4</f>
        <v>147558.50579999998</v>
      </c>
      <c r="E4" s="9">
        <f>B4-D4</f>
        <v>227874.49420000002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90564.468200000003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147469.9884</v>
      </c>
      <c r="E5" s="11">
        <f>B5-D5</f>
        <v>-92845.988400000002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-21258.946400000001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147558.50579999998</v>
      </c>
      <c r="E6" s="9">
        <f>B6-D6</f>
        <v>-135028.50579999998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-69305.521799999973</v>
      </c>
    </row>
    <row r="9" spans="1:7" ht="13.5" customHeight="1">
      <c r="A9" s="6" t="s">
        <v>0</v>
      </c>
    </row>
    <row r="10" spans="1:7" ht="13.5" customHeight="1">
      <c r="A10" s="6" t="s">
        <v>1079</v>
      </c>
    </row>
    <row r="11" spans="1:7" ht="13.5" customHeight="1">
      <c r="A11" s="6" t="s">
        <v>1080</v>
      </c>
    </row>
    <row r="12" spans="1:7" ht="13.5" customHeight="1">
      <c r="A12" s="6" t="s">
        <v>1081</v>
      </c>
    </row>
    <row r="13" spans="1:7" ht="13.5" customHeight="1">
      <c r="A13" s="6" t="s">
        <v>1082</v>
      </c>
    </row>
    <row r="14" spans="1:7" ht="13.5" customHeight="1">
      <c r="A14" s="6" t="s">
        <v>1083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2026-07-09T03:21:01Z</dcterms:modified>
  <dc:language>en-US</dc:language>
</cp:coreProperties>
</file>