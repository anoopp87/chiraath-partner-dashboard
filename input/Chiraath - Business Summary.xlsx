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B4B309B2-16EC-9E4C-872B-B77A0164A203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5" i="6" l="1"/>
  <c r="I175" i="6"/>
  <c r="J175" i="6" s="1"/>
  <c r="H174" i="6"/>
  <c r="I174" i="6"/>
  <c r="J174" i="6" s="1"/>
  <c r="H172" i="6"/>
  <c r="I172" i="6"/>
  <c r="J172" i="6" s="1"/>
  <c r="H173" i="6"/>
  <c r="I173" i="6"/>
  <c r="K173" i="6" s="1"/>
  <c r="H171" i="6"/>
  <c r="I171" i="6"/>
  <c r="J171" i="6" s="1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1" i="6" l="1"/>
  <c r="K175" i="6"/>
  <c r="K172" i="6"/>
  <c r="K174" i="6"/>
  <c r="J173" i="6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<sst xmlns="http://schemas.openxmlformats.org/spreadsheetml/2006/main" count="2065" uniqueCount="826">
  <si>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</si>
  <si>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</si>
  <si>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</si>
  <si>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</si>
  <si>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</si>
  <si>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</si>
  <si>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</si>
  <si>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</si>
  <si>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</si>
  <si>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</si>
  <si>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</si>
  <si>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</si>
  <si>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</si>
  <si>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</si>
  <si>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</si>
  <si>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</si>
  <si>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</si>
  <si>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</si>
  <si>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</si>
  <si>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</si>
  <si>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</si>
  <si>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</si>
  <si>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</si>
  <si>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</si>
  <si>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</si>
  <si>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</si>
  <si>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</si>
  <si>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</si>
  <si>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</si>
  <si>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</si>
  <si>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</si>
  <si>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</si>
  <si>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</si>
  <si>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</si>
  <si>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</si>
  <si>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</si>
  <si>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</si>
  <si>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</si>
  <si>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</si>
  <si>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</si>
  <si>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</si>
  <si>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</si>
  <si>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</si>
  <si>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</si>
  <si>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</si>
  <si>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</si>
  <si>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</si>
  <si>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</si>
  <si>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</si>
  <si>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</si>
  <si>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</si>
  <si>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</si>
  <si>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</si>
  <si>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</si>
  <si>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</si>
  <si>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</si>
  <si>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</si>
  <si>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</si>
  <si>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</si>
  <si>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</si>
  <si>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</si>
  <si>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</si>
  <si>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</si>
  <si>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</si>
  <si>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</si>
  <si>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</si>
  <si>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</si>
  <si>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</si>
  <si>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</si>
  <si>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</si>
  <si>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</si>
  <si>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</si>
  <si>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</si>
  <si>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</si>
  <si>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</si>
  <si>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</si>
  <si>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</si>
  <si>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</si>
  <si>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</si>
  <si>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</si>
  <si>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</si>
  <si>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</si>
  <si>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</si>
  <si>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</si>
  <si>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</si>
  <si>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</si>
  <si>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</si>
  <si>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</si>
  <si>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</si>
  <si>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</si>
  <si>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</si>
  <si>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</si>
  <si>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</si>
  <si>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</si>
  <si>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</si>
  <si>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</si>
  <si>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</si>
  <si>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</si>
  <si>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</si>
  <si>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</si>
  <si>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</si>
  <si>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</si>
  <si>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</si>
  <si>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</si>
  <si>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</si>
  <si>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</si>
  <si>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</si>
  <si>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</si>
  <si>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</si>
  <si>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</si>
  <si>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</si>
  <si>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</si>
  <si>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</si>
  <si>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</si>
  <si>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</si>
  <si>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</si>
  <si>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</si>
  <si>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</si>
  <si>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</si>
  <si>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</si>
  <si>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</si>
  <si>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</si>
  <si>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</si>
  <si>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</si>
  <si>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</si>
  <si>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</si>
  <si>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</si>
  <si>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</si>
  <si>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</si>
  <si>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</si>
  <si>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</si>
  <si>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</si>
  <si>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</si>
  <si>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</si>
  <si>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</si>
  <si>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</si>
  <si>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</si>
  <si>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</si>
  <si>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</si>
  <si>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</si>
  <si>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</si>
  <si>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</si>
  <si>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</si>
  <si>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</si>
  <si>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</si>
  <si>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</si>
  <si>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</si>
  <si>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</si>
  <si>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</si>
  <si>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</si>
  <si>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</si>
  <si>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</si>
  <si>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</si>
  <si>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</si>
  <si>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</si>
  <si>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</si>
  <si>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</si>
  <si>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</si>
  <si>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</si>
  <si>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</si>
  <si>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</si>
  <si>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</si>
  <si>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</si>
  <si>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</si>
  <si>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</si>
  <si>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</si>
  <si>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</si>
  <si>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</si>
  <si>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</si>
  <si>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</si>
  <si>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</si>
  <si>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</si>
  <si>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</si>
  <si>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</si>
  <si>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</si>
  <si>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</si>
  <si>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</si>
  <si>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</si>
  <si>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</si>
  <si>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</si>
  <si>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</si>
  <si>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</si>
  <si>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</si>
  <si>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</si>
  <si>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</si>
  <si>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</si>
  <si>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</si>
  <si>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</si>
  <si>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</si>
  <si>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</si>
  <si>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</si>
  <si>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</si>
  <si>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</si>
  <si>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</si>
  <si>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</si>
  <si>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</si>
  <si>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</si>
  <si>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</si>
  <si>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</si>
  <si>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</si>
  <si>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</si>
  <si>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</si>
  <si>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</si>
  <si>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</si>
  <si>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</si>
  <si>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</si>
  <si>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</si>
  <si>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</si>
  <si>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</si>
  <si>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</si>
  <si>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</si>
  <si>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</si>
  <si>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</si>
  <si>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</si>
  <si>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</si>
  <si>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</si>
  <si>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</si>
  <si>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</si>
  <si>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</si>
  <si>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</si>
  <si>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</si>
  <si>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</si>
  <si>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</si>
  <si>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</si>
  <si>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</si>
  <si>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</si>
  <si>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</si>
  <si>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</si>
  <si>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</si>
  <si>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</si>
  <si>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</si>
  <si>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</si>
  <si>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</si>
  <si>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</si>
  <si>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</si>
  <si>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</si>
  <si>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</si>
  <si>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</si>
  <si>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</si>
  <si>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</si>
  <si>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</si>
  <si>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</si>
  <si>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</si>
  <si>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</si>
  <si>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</si>
  <si>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</si>
  <si>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</si>
  <si>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</si>
  <si>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</si>
  <si>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</si>
  <si>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</si>
  <si>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</si>
  <si>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</si>
  <si>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</si>
  <si>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</si>
  <si>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</si>
  <si>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</si>
  <si>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</si>
  <si>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</si>
  <si>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</si>
  <si>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</si>
  <si>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</si>
  <si>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</si>
  <si>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</si>
  <si>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</si>
  <si>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</si>
  <si>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</si>
  <si>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</si>
  <si>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</si>
  <si>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</si>
  <si>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</si>
  <si>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</si>
  <si>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</si>
  <si>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</si>
  <si>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</si>
  <si>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</si>
  <si>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</si>
  <si>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</si>
  <si>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</si>
  <si>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</si>
  <si>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</si>
  <si>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</si>
  <si>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</si>
  <si>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</si>
  <si>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</si>
  <si>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</si>
  <si>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</si>
  <si>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</si>
  <si>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</si>
  <si>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</si>
  <si>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</si>
  <si>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</si>
  <si>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</si>
  <si>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</si>
  <si>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</si>
  <si>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</si>
  <si>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</si>
  <si>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</si>
  <si>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</si>
  <si>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</si>
  <si>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</si>
  <si>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</si>
  <si>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</si>
  <si>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</si>
  <si>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</si>
  <si>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</si>
  <si>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</si>
  <si>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</si>
  <si>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</si>
  <si>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</si>
  <si>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</si>
  <si>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</si>
  <si>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</si>
  <si>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</si>
  <si>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</si>
  <si>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</si>
  <si>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</si>
  <si>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</si>
  <si>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</si>
  <si>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</si>
  <si>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</si>
  <si>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</si>
  <si>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</si>
  <si>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</si>
  <si>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</si>
  <si>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</si>
  <si>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</si>
  <si>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</si>
  <si>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</si>
  <si>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</si>
  <si>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</si>
  <si>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</si>
  <si>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</si>
  <si>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</si>
  <si>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</si>
  <si>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</si>
  <si>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</si>
  <si>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</si>
  <si>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</si>
  <si>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</si>
  <si>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</si>
  <si>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</si>
  <si>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</si>
  <si>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</si>
  <si>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</si>
  <si>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</si>
  <si>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</si>
  <si>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</si>
  <si>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</si>
  <si>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</si>
  <si>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</si>
  <si>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</si>
  <si>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</si>
  <si>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</si>
  <si>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</si>
  <si>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</si>
  <si>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</si>
  <si>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</si>
  <si>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</si>
  <si>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</si>
  <si>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</si>
  <si>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</si>
  <si>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</si>
  <si>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</si>
  <si>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</si>
  <si>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</si>
  <si>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</si>
  <si>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</si>
  <si>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</si>
  <si>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</si>
  <si>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</si>
  <si>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</si>
  <si>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</si>
  <si>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</si>
  <si>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</si>
  <si>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</si>
  <si>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</si>
  <si>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</si>
  <si>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</si>
  <si>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</si>
  <si>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</si>
  <si>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</si>
  <si>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</si>
  <si>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</si>
  <si>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</si>
  <si>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</si>
  <si>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</si>
  <si>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</si>
  <si>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</si>
  <si>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</si>
  <si>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</si>
  <si>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</si>
  <si>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</si>
  <si>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</si>
  <si>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</si>
  <si>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</si>
  <si>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</si>
  <si>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</si>
  <si>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</si>
  <si>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</si>
  <si>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</si>
  <si>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</si>
  <si>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</si>
  <si>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</si>
  <si>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</si>
  <si>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</si>
  <si>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</si>
  <si>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</si>
  <si>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</si>
  <si>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</si>
  <si>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</si>
  <si>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</si>
  <si>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</si>
  <si>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</si>
  <si>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</si>
  <si>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</si>
  <si>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</si>
  <si>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</si>
  <si>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</si>
  <si>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</si>
  <si>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</si>
  <si>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</si>
  <si>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</si>
  <si>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</si>
  <si>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</si>
  <si>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</si>
  <si>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</si>
  <si>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</si>
  <si>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</si>
  <si>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</si>
  <si>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</si>
  <si>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</si>
  <si>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</si>
  <si>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</si>
  <si>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</si>
  <si>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</si>
  <si>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</si>
  <si>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</si>
  <si>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</si>
  <si>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</si>
  <si>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</si>
  <si>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</si>
  <si>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</si>
  <si>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</si>
  <si>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</si>
  <si>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</si>
  <si>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</si>
  <si>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</si>
  <si>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</si>
  <si>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</si>
  <si>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</si>
  <si>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</si>
  <si>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</si>
  <si>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</si>
  <si>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</si>
  <si>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</si>
  <si>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</si>
  <si>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</si>
  <si>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</si>
  <si>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</si>
  <si>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</si>
  <si>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</si>
  <si>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</si>
  <si>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</si>
  <si>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</si>
  <si>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</si>
  <si>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</si>
  <si>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</si>
  <si>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</si>
  <si>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</si>
  <si>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</si>
  <si>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</si>
  <si>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</si>
  <si>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</si>
  <si>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</si>
  <si>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</si>
  <si>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</si>
  <si>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</si>
  <si>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</si>
  <si>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</si>
  <si>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</si>
  <si>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</si>
  <si>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</si>
  <si>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</si>
  <si>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</si>
  <si>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</si>
  <si>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</si>
  <si>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</si>
  <si>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</si>
  <si>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</si>
  <si>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</si>
  <si>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</si>
  <si>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</si>
  <si>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</si>
  <si>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</si>
  <si>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</si>
  <si>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</si>
  <si>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</si>
  <si>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</si>
  <si>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</si>
  <si>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</si>
  <si>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</si>
  <si>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</si>
  <si>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</si>
  <si>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</si>
  <si>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</si>
  <si>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</si>
  <si>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</si>
  <si>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</si>
  <si>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</si>
  <si>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</si>
  <si>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</si>
  <si>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</si>
  <si>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</si>
  <si>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</si>
  <si>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</si>
  <si>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</si>
  <si>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</si>
  <si>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</si>
  <si>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</si>
  <si>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</si>
  <si>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</si>
  <si>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</si>
  <si>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</si>
  <si>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</si>
  <si>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</si>
  <si>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</si>
  <si>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</si>
  <si>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</si>
  <si>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</si>
  <si>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</si>
  <si>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</si>
  <si>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</si>
  <si>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</si>
  <si>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</si>
  <si>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</si>
  <si>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</si>
  <si>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</si>
  <si>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</si>
  <si>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</si>
  <si>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</si>
  <si>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</si>
  <si>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</si>
  <si>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</si>
  <si>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</si>
  <si>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</si>
  <si>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</si>
  <si>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</si>
  <si>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</si>
  <si>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</si>
  <si>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</si>
  <si>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</si>
  <si>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</si>
  <si>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</si>
  <si>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</si>
  <si>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</si>
  <si>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</si>
  <si>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</si>
  <si>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</si>
  <si>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</si>
  <si>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</si>
  <si>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</si>
  <si>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</si>
  <si>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</si>
  <si>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</si>
  <si>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</si>
  <si>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</si>
  <si>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</si>
  <si>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</si>
  <si>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</si>
  <si>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</si>
  <si>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</si>
  <si>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</si>
  <si>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</si>
  <si>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</si>
  <si>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</si>
  <si>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</si>
  <si>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</si>
  <si>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</si>
  <si>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</si>
  <si>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</si>
  <si>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</si>
  <si>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</si>
  <si>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</si>
  <si>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</si>
  <si>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</si>
  <si>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</si>
  <si>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</si>
  <si>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</si>
  <si>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</si>
  <si>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</si>
  <si>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</si>
  <si>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</si>
  <si>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</si>
  <si>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</si>
  <si>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</si>
  <si>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</si>
  <si>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</si>
  <si>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</si>
  <si>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</si>
  <si>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</si>
  <si>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CHR-116</t>
  </si>
  <si>
    <t>Banarasi Silk (Yellow design)</t>
  </si>
  <si>
    <t>CHR-117</t>
  </si>
  <si>
    <t>Chanderi Silk Tie &amp; Dye collection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</si>
  <si>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</si>
  <si>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</si>
  <si>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</si>
  <si>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</si>
  <si>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</si>
  <si>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</si>
  <si>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</si>
  <si>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</si>
  <si>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</si>
  <si>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</si>
  <si>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</si>
  <si>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</si>
  <si>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</si>
  <si>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</si>
  <si>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</si>
  <si>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</si>
  <si>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</si>
  <si>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</si>
  <si>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</si>
  <si>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</si>
  <si>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</si>
  <si>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</si>
  <si>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</si>
  <si>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</si>
  <si>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</si>
  <si>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</si>
  <si>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</si>
  <si>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</si>
  <si>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</si>
  <si>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</si>
  <si>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</si>
  <si>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</si>
  <si>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</si>
  <si>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</si>
  <si>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</si>
  <si>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</si>
  <si>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</si>
  <si>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</si>
  <si>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</si>
  <si>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</si>
  <si>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</si>
  <si>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</si>
  <si>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</si>
  <si>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</si>
  <si>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</si>
  <si>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</si>
  <si>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</si>
  <si>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</si>
  <si>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</si>
  <si>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</si>
  <si>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</si>
  <si>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</si>
  <si>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</si>
  <si>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</si>
  <si>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</si>
  <si>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</si>
  <si>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</si>
  <si>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</si>
  <si>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</si>
  <si>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</si>
  <si>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</si>
  <si>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</si>
  <si>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</si>
  <si>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</si>
  <si>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</si>
  <si>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</si>
  <si>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</si>
  <si>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</si>
  <si>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</si>
  <si>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</si>
  <si>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</si>
  <si>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</si>
  <si>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</si>
  <si>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</si>
  <si>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</si>
  <si>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</si>
  <si>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</si>
  <si>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</si>
  <si>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</si>
  <si>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</si>
  <si>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</si>
  <si>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</si>
  <si>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</si>
  <si>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</si>
  <si>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</si>
  <si>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</si>
  <si>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</si>
  <si>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</si>
  <si>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</si>
  <si>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</si>
  <si>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</si>
  <si>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</si>
  <si>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</si>
  <si>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</si>
  <si>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</si>
  <si>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</si>
  <si>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</si>
  <si>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</si>
  <si>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</si>
  <si>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</si>
  <si>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</si>
  <si>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</si>
  <si>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</si>
  <si>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</si>
  <si>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</si>
  <si>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</si>
  <si>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</si>
  <si>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</si>
  <si>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</si>
  <si>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</si>
  <si>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</si>
  <si>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</si>
  <si>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</si>
  <si>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</si>
  <si>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</si>
  <si>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</si>
  <si>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</si>
  <si>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</si>
  <si>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</si>
  <si>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</si>
  <si>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</si>
  <si>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</si>
  <si>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</si>
  <si>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</si>
  <si>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</si>
  <si>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</si>
  <si>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</si>
  <si>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</si>
  <si>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</si>
  <si>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</si>
  <si>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</si>
  <si>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</si>
  <si>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</si>
  <si>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</si>
  <si>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</si>
  <si>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</si>
  <si>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</si>
  <si>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</si>
  <si>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</si>
  <si>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</si>
  <si>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</si>
  <si>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</si>
  <si>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</si>
  <si>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</si>
  <si>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</si>
  <si>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</si>
  <si>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</si>
  <si>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</si>
  <si>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</si>
  <si>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</si>
  <si>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</si>
  <si>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</si>
  <si>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</si>
  <si>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</si>
  <si>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</si>
  <si>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</si>
  <si>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</si>
  <si>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</si>
  <si>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</si>
  <si>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</si>
  <si>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</si>
  <si>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</si>
  <si>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</si>
  <si>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</si>
  <si>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</si>
  <si>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</si>
  <si>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</si>
  <si>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</si>
  <si>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</si>
  <si>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</si>
  <si>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</si>
  <si>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</si>
  <si>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</si>
  <si>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</si>
  <si>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</si>
  <si>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</si>
  <si>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</si>
  <si>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</si>
  <si>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</si>
  <si>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</si>
  <si>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</si>
  <si>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</si>
  <si>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</si>
  <si>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Dark biege with bottle green, Biege Maroon combination, Green</t>
  </si>
  <si>
    <t>Rajna - 740, Malini - 980, Baby Khadeeja - 980</t>
  </si>
  <si>
    <t>Shinoob - 1100, Sruthi - 1100</t>
  </si>
  <si>
    <t>Green Cotton Silk (CHR-88)</t>
  </si>
  <si>
    <t>Swapna Binu(Thrisurr)</t>
  </si>
  <si>
    <t>Yellow Green (CHR-146)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</si>
  <si>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</si>
  <si>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</si>
  <si>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</si>
  <si>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</si>
  <si>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</si>
  <si>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</si>
  <si>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</si>
  <si>
    <t>Sungudi Saree (Alice Christy inspired)</t>
  </si>
  <si>
    <t>Rani Pink(1), Jet Black(2), Maroon(3), Dark Green(1), navy Blue (2), Off white (1)</t>
  </si>
  <si>
    <t>Matka Silk Saree collections - old design</t>
  </si>
  <si>
    <t>CHR-174</t>
  </si>
  <si>
    <t>Matka Silk Saree collections - new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</si>
  <si>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</si>
  <si>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</si>
  <si>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Peacok Blue/Maroon - 3
Purple/Green - 1
Navy Blue/Maroon - 3
Maroon/Navy Blue - 1
Lavender/Violet - 1
Grey/Blue - 1</t>
  </si>
  <si>
    <t>Banarasi Sarees with Paisley motifs</t>
  </si>
  <si>
    <t>Chokda Rust Orange, Dolla</t>
  </si>
  <si>
    <t>Ranju(1000)</t>
  </si>
  <si>
    <t>burned orange (lotus)</t>
  </si>
  <si>
    <t>Sreeja -Green:1250, Ranju - rust orange:1000</t>
  </si>
  <si>
    <t>Jute Silk Checked Saree</t>
  </si>
  <si>
    <t xml:space="preserve">Khadi Cotton Saree (Jar Border)  </t>
  </si>
  <si>
    <t>Narayanpet sarees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</si>
  <si>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</si>
  <si>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Rasha Suresh (PKD)</t>
  </si>
  <si>
    <t>Banarasi Rust Orange</t>
  </si>
  <si>
    <t>Jeena</t>
  </si>
  <si>
    <t>Sudhisha</t>
  </si>
  <si>
    <t>Prema(XXL)- 550</t>
  </si>
  <si>
    <t>Nalini - Pink (1400), Anusree Bangalore - 1280</t>
  </si>
  <si>
    <t>Anusree Bangalore</t>
  </si>
  <si>
    <t>CHR-117 - Tie &amp; Dye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</si>
</sst>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135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84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61726.993333333332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25689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-13707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213</c:v>
                </c:pt>
                <c:pt idx="1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266861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272501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-51826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245912</v>
      </c>
      <c r="C26" s="10">
        <f>'Cash Pool'!D4</f>
        <v>88971.457399999999</v>
      </c>
      <c r="D26" s="10">
        <f>'Cash Pool'!E4</f>
        <v>156940.54259999999</v>
      </c>
      <c r="E26" s="10">
        <f>'Cash Pool'!F4</f>
        <v>-137310.02600000001</v>
      </c>
      <c r="F26" s="13">
        <f>'Cash Pool'!G4</f>
        <v>19630.516599999974</v>
      </c>
      <c r="G26" s="19" t="str">
        <f>IF(ROUND(F26,0)&gt;0,"Pay ₹"&amp;TEXT(ABS(F26),"#,##0"),IF(ROUND(F26,0)&lt;0,"Receive ₹"&amp;TEXT(ABS(F26),"#,##0"),"✓ Settled"))</f>
        <v>Pay ₹19,631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88918.085200000001</v>
      </c>
      <c r="D27" s="12">
        <f>'Cash Pool'!E5</f>
        <v>-80499.085200000001</v>
      </c>
      <c r="E27" s="12">
        <f>'Cash Pool'!F5</f>
        <v>71587.042000000001</v>
      </c>
      <c r="F27" s="14">
        <f>'Cash Pool'!G5</f>
        <v>-8912.0432000000001</v>
      </c>
      <c r="G27" s="20" t="str">
        <f>IF(ROUND(F27,0)&gt;0,"Pay ₹"&amp;TEXT(ABS(F27),"#,##0"),IF(ROUND(F27,0)&lt;0,"Receive ₹"&amp;TEXT(ABS(F27),"#,##0"),"✓ Settled"))</f>
        <v>Receive ₹8,912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88971.457399999999</v>
      </c>
      <c r="D28" s="10">
        <f>'Cash Pool'!E6</f>
        <v>-76441.457399999999</v>
      </c>
      <c r="E28" s="10">
        <f>'Cash Pool'!F6</f>
        <v>65722.984000000011</v>
      </c>
      <c r="F28" s="13">
        <f>'Cash Pool'!G6</f>
        <v>-10718.473399999988</v>
      </c>
      <c r="G28" s="17" t="str">
        <f>IF(ROUND(F28,0)&gt;0,"Pay ₹"&amp;TEXT(ABS(F28),"#,##0"),IF(ROUND(F28,0)&lt;0,"Receive ₹"&amp;TEXT(ABS(F28),"#,##0"),"✓ Settled"))</f>
        <v>Receive ₹10,718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46131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266861</v>
      </c>
    </row>
    <row r="6" spans="1:8" ht="15" customHeight="1">
      <c r="A6" s="21" t="s">
        <v>70</v>
      </c>
      <c r="B6" s="23">
        <f>Summary!B6</f>
        <v>-51826</v>
      </c>
      <c r="D6" s="21" t="s">
        <v>71</v>
      </c>
      <c r="E6" s="23">
        <f>SUMIFS(INVENTORY!K:K, INVENTORY!N:N, "&lt;&gt;Sold Out")</f>
        <v>130326.19333333331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213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157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16248</v>
      </c>
      <c r="D12" s="23">
        <f t="shared" si="0"/>
        <v>-5924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25689</v>
      </c>
      <c r="D13" s="29">
        <f t="shared" si="0"/>
        <v>-13707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135</v>
      </c>
      <c r="H47" s="32">
        <f>SUMIF(INVENTORY!C:C, F47, INVENTORY!G:G)</f>
        <v>84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61726.993333333332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778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tabSelected="1" zoomScale="130" zoomScaleNormal="130" workbookViewId="0">
      <pane ySplit="1" topLeftCell="A153" activePane="bottomLeft" state="frozen"/>
      <selection pane="bottomLeft" activeCell="A159" sqref="A159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753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550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139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748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749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754</v>
      </c>
      <c r="I141" s="50" t="s">
        <v>139</v>
      </c>
    </row>
    <row r="142" spans="1:9" ht="16">
      <c r="A142" s="53">
        <v>46119</v>
      </c>
      <c r="B142" s="54" t="s">
        <v>755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756</v>
      </c>
      <c r="I142" s="54" t="s">
        <v>139</v>
      </c>
    </row>
    <row r="143" spans="1:9">
      <c r="A143" s="49">
        <v>46120</v>
      </c>
      <c r="B143" s="50" t="s">
        <v>757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758</v>
      </c>
      <c r="I143" s="50" t="s">
        <v>139</v>
      </c>
    </row>
    <row r="144" spans="1:9" ht="16">
      <c r="A144" s="53">
        <v>46120</v>
      </c>
      <c r="B144" s="54" t="s">
        <v>760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761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771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780</v>
      </c>
      <c r="I146" s="54" t="s">
        <v>311</v>
      </c>
    </row>
    <row r="147" spans="1:9">
      <c r="A147" s="49">
        <v>46122</v>
      </c>
      <c r="B147" s="50" t="s">
        <v>782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781</v>
      </c>
      <c r="I147" s="50" t="s">
        <v>139</v>
      </c>
    </row>
    <row r="148" spans="1:9" ht="16">
      <c r="A148" s="53">
        <v>46122</v>
      </c>
      <c r="B148" s="54" t="s">
        <v>785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784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764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791</v>
      </c>
      <c r="I150" s="54" t="s">
        <v>139</v>
      </c>
    </row>
    <row r="151" spans="1:9">
      <c r="A151" s="49">
        <v>46125</v>
      </c>
      <c r="B151" s="50" t="s">
        <v>792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793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771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771</v>
      </c>
      <c r="I153" s="50" t="s">
        <v>139</v>
      </c>
    </row>
    <row r="154" spans="1:9" ht="16">
      <c r="A154" s="53">
        <v>46126</v>
      </c>
      <c r="B154" s="54" t="s">
        <v>190</v>
      </c>
      <c r="C154" s="55">
        <v>2000</v>
      </c>
      <c r="D154" s="54" t="s">
        <v>141</v>
      </c>
      <c r="E154" s="54" t="s">
        <v>49</v>
      </c>
      <c r="F154" s="57"/>
      <c r="G154" s="57"/>
      <c r="H154" s="58" t="s">
        <v>810</v>
      </c>
      <c r="I154" s="54" t="s">
        <v>139</v>
      </c>
    </row>
    <row r="155" spans="1:9">
      <c r="A155" s="49">
        <v>46127</v>
      </c>
      <c r="B155" s="50" t="s">
        <v>818</v>
      </c>
      <c r="C155" s="51">
        <v>1299</v>
      </c>
      <c r="D155" s="50" t="s">
        <v>153</v>
      </c>
      <c r="E155" s="50" t="s">
        <v>49</v>
      </c>
      <c r="F155" s="50"/>
      <c r="G155" s="50"/>
      <c r="H155" s="52" t="s">
        <v>819</v>
      </c>
      <c r="I155" s="50" t="s">
        <v>139</v>
      </c>
    </row>
    <row r="156" spans="1:9" ht="16">
      <c r="A156" s="53">
        <v>46129</v>
      </c>
      <c r="B156" s="54" t="s">
        <v>820</v>
      </c>
      <c r="C156" s="55">
        <v>980</v>
      </c>
      <c r="D156" s="54" t="s">
        <v>153</v>
      </c>
      <c r="E156" s="54" t="s">
        <v>49</v>
      </c>
      <c r="F156" s="57"/>
      <c r="G156" s="57"/>
      <c r="H156" s="58" t="s">
        <v>771</v>
      </c>
      <c r="I156" s="54" t="s">
        <v>139</v>
      </c>
    </row>
    <row r="157" spans="1:9">
      <c r="A157" s="49">
        <v>46129</v>
      </c>
      <c r="B157" s="50" t="s">
        <v>821</v>
      </c>
      <c r="C157" s="51">
        <v>980</v>
      </c>
      <c r="D157" s="50"/>
      <c r="E157" s="50" t="s">
        <v>49</v>
      </c>
      <c r="F157" s="50"/>
      <c r="G157" s="50"/>
      <c r="H157" s="52" t="s">
        <v>771</v>
      </c>
      <c r="I157" s="50" t="s">
        <v>311</v>
      </c>
    </row>
    <row r="158" spans="1:9" ht="16">
      <c r="A158" s="53">
        <v>46129</v>
      </c>
      <c r="B158" s="54" t="s">
        <v>178</v>
      </c>
      <c r="C158" s="55">
        <v>980</v>
      </c>
      <c r="D158" s="54"/>
      <c r="E158" s="54" t="s">
        <v>49</v>
      </c>
      <c r="F158" s="57"/>
      <c r="G158" s="57"/>
      <c r="H158" s="58" t="s">
        <v>771</v>
      </c>
      <c r="I158" s="54" t="s">
        <v>311</v>
      </c>
    </row>
    <row r="159" spans="1:9">
      <c r="A159" s="49">
        <v>46130</v>
      </c>
      <c r="B159" s="50" t="s">
        <v>824</v>
      </c>
      <c r="C159" s="51">
        <v>1280</v>
      </c>
      <c r="D159" s="50" t="s">
        <v>153</v>
      </c>
      <c r="E159" s="50" t="s">
        <v>49</v>
      </c>
      <c r="F159" s="50"/>
      <c r="G159" s="50"/>
      <c r="H159" s="52" t="s">
        <v>825</v>
      </c>
      <c r="I159" s="50" t="s">
        <v>139</v>
      </c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topLeftCell="D1" zoomScaleNormal="100" workbookViewId="0">
      <pane ySplit="1" topLeftCell="A109" activePane="bottomLeft" state="frozen"/>
      <selection pane="bottomLeft" activeCell="O118" sqref="O118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783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779</v>
      </c>
      <c r="M71" s="78" t="s">
        <v>49</v>
      </c>
      <c r="N71" s="78" t="s">
        <v>337</v>
      </c>
      <c r="O71" s="78"/>
      <c r="P71" s="78" t="s">
        <v>750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790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1</v>
      </c>
      <c r="G93" s="85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3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3" t="s">
        <v>554</v>
      </c>
      <c r="B94" s="83" t="s">
        <v>555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556</v>
      </c>
      <c r="B95" s="78" t="s">
        <v>557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559</v>
      </c>
      <c r="B96" s="83" t="s">
        <v>560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561</v>
      </c>
      <c r="B97" s="78" t="s">
        <v>562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563</v>
      </c>
      <c r="B98" s="83" t="s">
        <v>564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565</v>
      </c>
      <c r="B99" s="78" t="s">
        <v>566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567</v>
      </c>
      <c r="B100" s="83" t="s">
        <v>568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569</v>
      </c>
      <c r="B101" s="78" t="s">
        <v>570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571</v>
      </c>
      <c r="B102" s="83" t="s">
        <v>572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573</v>
      </c>
      <c r="B103" s="78" t="s">
        <v>574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575</v>
      </c>
      <c r="B104" s="83" t="s">
        <v>576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577</v>
      </c>
      <c r="B105" s="78" t="s">
        <v>578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579</v>
      </c>
      <c r="B106" s="83" t="s">
        <v>580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581</v>
      </c>
      <c r="B107" s="78" t="s">
        <v>582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583</v>
      </c>
      <c r="B108" s="83" t="s">
        <v>584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585</v>
      </c>
      <c r="B109" s="78" t="s">
        <v>586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587</v>
      </c>
      <c r="B110" s="83" t="s">
        <v>588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589</v>
      </c>
      <c r="B111" s="78" t="s">
        <v>590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591</v>
      </c>
      <c r="B112" s="83" t="s">
        <v>592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593</v>
      </c>
      <c r="B113" s="78" t="s">
        <v>594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595</v>
      </c>
      <c r="B114" s="83" t="s">
        <v>596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597</v>
      </c>
      <c r="B115" s="78" t="s">
        <v>598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759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50">
      <c r="A116" s="83" t="s">
        <v>599</v>
      </c>
      <c r="B116" s="83" t="s">
        <v>600</v>
      </c>
      <c r="C116" s="83" t="s">
        <v>95</v>
      </c>
      <c r="D116" s="84">
        <v>891.5</v>
      </c>
      <c r="E116" s="84">
        <v>1400</v>
      </c>
      <c r="F116" s="84">
        <v>21</v>
      </c>
      <c r="G116" s="84">
        <v>0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18721.5</v>
      </c>
      <c r="K116" s="83">
        <f t="shared" si="11"/>
        <v>0</v>
      </c>
      <c r="L116" s="83" t="s">
        <v>817</v>
      </c>
      <c r="M116" s="83"/>
      <c r="N116" s="83" t="s">
        <v>337</v>
      </c>
      <c r="O116" s="83"/>
      <c r="P116" s="83"/>
      <c r="Q116" s="83"/>
      <c r="R116" s="83"/>
      <c r="S116" s="83"/>
      <c r="T116" s="83"/>
    </row>
    <row r="117" spans="1:246" ht="15">
      <c r="A117" s="78" t="s">
        <v>601</v>
      </c>
      <c r="B117" s="78" t="s">
        <v>602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603</v>
      </c>
      <c r="B118" s="83" t="s">
        <v>604</v>
      </c>
      <c r="C118" s="83" t="s">
        <v>95</v>
      </c>
      <c r="D118" s="84">
        <v>1047.9000000000001</v>
      </c>
      <c r="E118" s="84">
        <v>1500</v>
      </c>
      <c r="F118" s="84">
        <v>0</v>
      </c>
      <c r="G118" s="84">
        <v>2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0</v>
      </c>
      <c r="K118" s="83">
        <f t="shared" si="11"/>
        <v>2095.8000000000002</v>
      </c>
      <c r="L118" s="83" t="s">
        <v>823</v>
      </c>
      <c r="M118" s="83"/>
      <c r="N118" s="83" t="s">
        <v>337</v>
      </c>
      <c r="O118" s="83"/>
      <c r="P118" s="83" t="s">
        <v>605</v>
      </c>
      <c r="Q118" s="83"/>
      <c r="R118" s="83"/>
      <c r="S118" s="83"/>
      <c r="T118" s="83"/>
    </row>
    <row r="119" spans="1:246" ht="15">
      <c r="A119" s="78" t="s">
        <v>606</v>
      </c>
      <c r="B119" s="78" t="s">
        <v>607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608</v>
      </c>
      <c r="B120" s="83" t="s">
        <v>609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10</v>
      </c>
      <c r="H120" s="83">
        <f t="shared" si="9"/>
        <v>13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4189.5333333333301</v>
      </c>
      <c r="L120" s="83" t="s">
        <v>610</v>
      </c>
      <c r="M120" s="83" t="s">
        <v>49</v>
      </c>
      <c r="N120" s="83" t="s">
        <v>422</v>
      </c>
      <c r="O120" s="83"/>
      <c r="P120" s="83" t="s">
        <v>802</v>
      </c>
      <c r="Q120" s="83"/>
      <c r="R120" s="83"/>
      <c r="S120" s="83"/>
      <c r="T120" s="83"/>
    </row>
    <row r="121" spans="1:246" ht="15">
      <c r="A121" s="78" t="s">
        <v>611</v>
      </c>
      <c r="B121" s="78" t="s">
        <v>612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613</v>
      </c>
      <c r="M121" s="78"/>
      <c r="N121" s="78" t="s">
        <v>337</v>
      </c>
      <c r="O121" s="78"/>
      <c r="P121" s="78" t="s">
        <v>614</v>
      </c>
      <c r="Q121" s="78"/>
      <c r="R121" s="78"/>
      <c r="S121" s="78"/>
      <c r="T121" s="78"/>
    </row>
    <row r="122" spans="1:246" ht="15">
      <c r="A122" s="83" t="s">
        <v>615</v>
      </c>
      <c r="B122" s="83" t="s">
        <v>616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617</v>
      </c>
      <c r="M122" s="83"/>
      <c r="N122" s="83" t="s">
        <v>422</v>
      </c>
      <c r="O122" s="83" t="s">
        <v>618</v>
      </c>
      <c r="P122" s="83"/>
      <c r="Q122" s="83"/>
      <c r="R122" s="83"/>
      <c r="S122" s="83"/>
      <c r="T122" s="83"/>
    </row>
    <row r="123" spans="1:246" s="67" customFormat="1" ht="75">
      <c r="A123" s="89" t="s">
        <v>619</v>
      </c>
      <c r="B123" s="89" t="s">
        <v>620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621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622</v>
      </c>
      <c r="B124" s="91" t="s">
        <v>623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624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625</v>
      </c>
      <c r="B125" s="89" t="s">
        <v>626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627</v>
      </c>
      <c r="M125" s="89"/>
      <c r="N125" s="89" t="s">
        <v>337</v>
      </c>
      <c r="O125" s="89"/>
      <c r="P125" s="89" t="s">
        <v>628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629</v>
      </c>
      <c r="B126" s="83" t="s">
        <v>630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631</v>
      </c>
      <c r="M126" s="83"/>
      <c r="N126" s="83" t="s">
        <v>337</v>
      </c>
      <c r="O126" s="83" t="s">
        <v>632</v>
      </c>
      <c r="P126" s="83"/>
      <c r="Q126" s="83"/>
      <c r="R126" s="83"/>
      <c r="S126" s="83"/>
      <c r="T126" s="83"/>
    </row>
    <row r="127" spans="1:246" ht="15">
      <c r="A127" s="89" t="s">
        <v>633</v>
      </c>
      <c r="B127" s="78" t="s">
        <v>634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635</v>
      </c>
      <c r="B128" s="83" t="s">
        <v>636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637</v>
      </c>
      <c r="B129" s="78" t="s">
        <v>638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639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640</v>
      </c>
      <c r="B130" s="83" t="s">
        <v>641</v>
      </c>
      <c r="C130" s="83" t="s">
        <v>95</v>
      </c>
      <c r="D130" s="84">
        <v>755</v>
      </c>
      <c r="E130" s="84">
        <v>1550</v>
      </c>
      <c r="F130" s="92">
        <v>1</v>
      </c>
      <c r="G130" s="92">
        <v>0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755</v>
      </c>
      <c r="K130" s="91">
        <f t="shared" ref="K130:K163" si="14">IF(LEN(G130)=0,0,G130)*I130</f>
        <v>0</v>
      </c>
      <c r="L130" s="83" t="s">
        <v>811</v>
      </c>
      <c r="M130" s="83"/>
      <c r="N130" s="83" t="s">
        <v>337</v>
      </c>
      <c r="O130" s="83"/>
      <c r="P130" s="83"/>
      <c r="Q130" s="83"/>
      <c r="R130" s="83"/>
      <c r="S130" s="83"/>
      <c r="T130" s="83"/>
    </row>
    <row r="131" spans="1:20" ht="15">
      <c r="A131" s="89" t="s">
        <v>642</v>
      </c>
      <c r="B131" s="78" t="s">
        <v>643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644</v>
      </c>
      <c r="B132" s="83" t="s">
        <v>645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646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647</v>
      </c>
      <c r="B133" s="78" t="s">
        <v>648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649</v>
      </c>
      <c r="B134" s="83" t="s">
        <v>650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651</v>
      </c>
      <c r="B135" s="78" t="s">
        <v>652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653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654</v>
      </c>
      <c r="B136" s="83" t="s">
        <v>655</v>
      </c>
      <c r="C136" s="83" t="s">
        <v>95</v>
      </c>
      <c r="D136" s="84">
        <v>908</v>
      </c>
      <c r="E136" s="84">
        <v>1250</v>
      </c>
      <c r="F136" s="92">
        <v>2</v>
      </c>
      <c r="G136" s="92">
        <v>1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1816</v>
      </c>
      <c r="K136" s="91">
        <f t="shared" si="14"/>
        <v>908</v>
      </c>
      <c r="L136" s="83" t="s">
        <v>813</v>
      </c>
      <c r="M136" s="83"/>
      <c r="N136" s="83" t="s">
        <v>422</v>
      </c>
      <c r="O136" s="83"/>
      <c r="P136" s="83" t="s">
        <v>812</v>
      </c>
      <c r="Q136" s="83"/>
      <c r="R136" s="83"/>
      <c r="S136" s="83"/>
      <c r="T136" s="83"/>
    </row>
    <row r="137" spans="1:20" ht="15">
      <c r="A137" s="89" t="s">
        <v>656</v>
      </c>
      <c r="B137" s="78" t="s">
        <v>657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658</v>
      </c>
      <c r="B138" s="83" t="s">
        <v>659</v>
      </c>
      <c r="C138" s="83" t="s">
        <v>95</v>
      </c>
      <c r="D138" s="84">
        <v>814</v>
      </c>
      <c r="E138" s="84">
        <v>1100</v>
      </c>
      <c r="F138" s="92">
        <v>0</v>
      </c>
      <c r="G138" s="92">
        <v>1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0</v>
      </c>
      <c r="K138" s="91">
        <f t="shared" si="14"/>
        <v>814</v>
      </c>
      <c r="L138" s="83"/>
      <c r="M138" s="83"/>
      <c r="N138" s="83" t="s">
        <v>506</v>
      </c>
      <c r="O138" s="83"/>
      <c r="P138" s="83"/>
      <c r="Q138" s="83"/>
      <c r="R138" s="83"/>
      <c r="S138" s="83"/>
      <c r="T138" s="83"/>
    </row>
    <row r="139" spans="1:20" ht="15">
      <c r="A139" s="89" t="s">
        <v>660</v>
      </c>
      <c r="B139" s="78" t="s">
        <v>661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662</v>
      </c>
      <c r="B140" s="83" t="s">
        <v>663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664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665</v>
      </c>
      <c r="B141" s="78" t="s">
        <v>666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667</v>
      </c>
      <c r="B142" s="83" t="s">
        <v>668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669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670</v>
      </c>
      <c r="B143" s="78" t="s">
        <v>671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672</v>
      </c>
      <c r="B144" s="83" t="s">
        <v>673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674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675</v>
      </c>
      <c r="B146" s="83" t="s">
        <v>676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677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45">
      <c r="A147" s="78" t="s">
        <v>678</v>
      </c>
      <c r="B147" s="78" t="s">
        <v>803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7</v>
      </c>
      <c r="H147" s="89">
        <f t="shared" si="12"/>
        <v>11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5033</v>
      </c>
      <c r="L147" s="78" t="s">
        <v>806</v>
      </c>
      <c r="M147" s="78"/>
      <c r="N147" s="78" t="s">
        <v>422</v>
      </c>
      <c r="O147" s="78"/>
      <c r="P147" s="78" t="s">
        <v>807</v>
      </c>
      <c r="Q147" s="78"/>
      <c r="R147" s="78"/>
      <c r="S147" s="78"/>
      <c r="T147" s="78"/>
    </row>
    <row r="148" spans="1:20" ht="15">
      <c r="A148" s="83" t="s">
        <v>679</v>
      </c>
      <c r="B148" s="83" t="s">
        <v>680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681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682</v>
      </c>
      <c r="B149" s="78" t="s">
        <v>683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752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684</v>
      </c>
      <c r="B150" s="83" t="s">
        <v>685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686</v>
      </c>
      <c r="B151" s="78" t="s">
        <v>687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688</v>
      </c>
      <c r="M151" s="78"/>
      <c r="N151" s="78" t="s">
        <v>422</v>
      </c>
      <c r="O151" s="78" t="s">
        <v>689</v>
      </c>
      <c r="P151" s="78" t="s">
        <v>690</v>
      </c>
      <c r="Q151" s="78"/>
      <c r="R151" s="78"/>
      <c r="S151" s="78"/>
      <c r="T151" s="78"/>
    </row>
    <row r="152" spans="1:20" ht="15">
      <c r="A152" s="83" t="s">
        <v>691</v>
      </c>
      <c r="B152" s="83" t="s">
        <v>692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693</v>
      </c>
      <c r="M152" s="83"/>
      <c r="N152" s="83" t="s">
        <v>422</v>
      </c>
      <c r="O152" s="83" t="s">
        <v>694</v>
      </c>
      <c r="P152" s="83" t="s">
        <v>695</v>
      </c>
      <c r="Q152" s="83"/>
      <c r="R152" s="83"/>
      <c r="S152" s="83"/>
      <c r="T152" s="83"/>
    </row>
    <row r="153" spans="1:20" ht="15">
      <c r="A153" s="78" t="s">
        <v>696</v>
      </c>
      <c r="B153" s="78" t="s">
        <v>697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751</v>
      </c>
      <c r="M153" s="78"/>
      <c r="N153" s="78" t="s">
        <v>422</v>
      </c>
      <c r="O153" s="78"/>
      <c r="P153" s="78" t="s">
        <v>698</v>
      </c>
      <c r="Q153" s="78"/>
      <c r="R153" s="78"/>
      <c r="S153" s="78"/>
      <c r="T153" s="78"/>
    </row>
    <row r="154" spans="1:20" ht="15">
      <c r="A154" s="83" t="s">
        <v>699</v>
      </c>
      <c r="B154" s="83" t="s">
        <v>700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701</v>
      </c>
      <c r="P154" s="83"/>
      <c r="Q154" s="83"/>
      <c r="R154" s="83"/>
      <c r="S154" s="83"/>
      <c r="T154" s="83"/>
    </row>
    <row r="155" spans="1:20" ht="15">
      <c r="A155" s="78" t="s">
        <v>702</v>
      </c>
      <c r="B155" s="78" t="s">
        <v>703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701</v>
      </c>
      <c r="P155" s="78"/>
      <c r="Q155" s="78"/>
      <c r="R155" s="78"/>
      <c r="S155" s="78"/>
      <c r="T155" s="78"/>
    </row>
    <row r="156" spans="1:20" ht="15">
      <c r="A156" s="83" t="s">
        <v>704</v>
      </c>
      <c r="B156" s="83" t="s">
        <v>705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706</v>
      </c>
      <c r="P156" s="83"/>
      <c r="Q156" s="83"/>
      <c r="R156" s="83"/>
      <c r="S156" s="83"/>
      <c r="T156" s="83"/>
    </row>
    <row r="157" spans="1:20" ht="15">
      <c r="A157" s="78" t="s">
        <v>707</v>
      </c>
      <c r="B157" s="78" t="s">
        <v>708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822</v>
      </c>
      <c r="M157" s="78"/>
      <c r="N157" s="78" t="s">
        <v>422</v>
      </c>
      <c r="O157" s="78" t="s">
        <v>618</v>
      </c>
      <c r="P157" s="78"/>
      <c r="Q157" s="78"/>
      <c r="R157" s="78"/>
      <c r="S157" s="78"/>
      <c r="T157" s="78"/>
    </row>
    <row r="158" spans="1:20" ht="15">
      <c r="A158" s="83" t="s">
        <v>709</v>
      </c>
      <c r="B158" s="83" t="s">
        <v>710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711</v>
      </c>
      <c r="P158" s="83"/>
      <c r="Q158" s="83"/>
      <c r="R158" s="83"/>
      <c r="S158" s="83"/>
      <c r="T158" s="83"/>
    </row>
    <row r="159" spans="1:20" ht="15">
      <c r="A159" s="78" t="s">
        <v>712</v>
      </c>
      <c r="B159" s="78" t="s">
        <v>713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711</v>
      </c>
      <c r="P159" s="78"/>
      <c r="Q159" s="78"/>
      <c r="R159" s="78"/>
      <c r="S159" s="78"/>
      <c r="T159" s="78"/>
    </row>
    <row r="160" spans="1:20" ht="15">
      <c r="A160" s="83" t="s">
        <v>714</v>
      </c>
      <c r="B160" s="83" t="s">
        <v>715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716</v>
      </c>
      <c r="B161" s="78" t="s">
        <v>717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718</v>
      </c>
      <c r="B162" s="83" t="s">
        <v>719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720</v>
      </c>
      <c r="B163" s="78" t="s">
        <v>721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763</v>
      </c>
      <c r="B164" s="83" t="s">
        <v>816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762</v>
      </c>
      <c r="Q164" s="83"/>
      <c r="R164" s="83"/>
      <c r="S164" s="83"/>
      <c r="T164" s="83"/>
    </row>
    <row r="165" spans="1:20" ht="15">
      <c r="A165" s="78" t="s">
        <v>765</v>
      </c>
      <c r="B165" s="78" t="s">
        <v>801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766</v>
      </c>
      <c r="Q165" s="78"/>
      <c r="R165" s="78"/>
      <c r="S165" s="78"/>
      <c r="T165" s="78"/>
    </row>
    <row r="166" spans="1:20" ht="15">
      <c r="A166" s="83" t="s">
        <v>767</v>
      </c>
      <c r="B166" s="83" t="s">
        <v>814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768</v>
      </c>
      <c r="Q166" s="83"/>
      <c r="R166" s="83"/>
      <c r="S166" s="83"/>
      <c r="T166" s="83"/>
    </row>
    <row r="167" spans="1:20" ht="15">
      <c r="A167" s="78" t="s">
        <v>770</v>
      </c>
      <c r="B167" s="78" t="s">
        <v>769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789</v>
      </c>
      <c r="M167" s="78"/>
      <c r="N167" s="78" t="s">
        <v>422</v>
      </c>
      <c r="O167" s="78"/>
      <c r="P167" s="78" t="s">
        <v>772</v>
      </c>
      <c r="Q167" s="78"/>
      <c r="R167" s="78"/>
      <c r="S167" s="78"/>
      <c r="T167" s="78"/>
    </row>
    <row r="168" spans="1:20" ht="15">
      <c r="A168" s="83" t="s">
        <v>774</v>
      </c>
      <c r="B168" s="83" t="s">
        <v>815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773</v>
      </c>
      <c r="Q168" s="83"/>
      <c r="R168" s="83"/>
      <c r="S168" s="83"/>
      <c r="T168" s="83"/>
    </row>
    <row r="169" spans="1:20" ht="15">
      <c r="A169" s="78" t="s">
        <v>775</v>
      </c>
      <c r="B169" s="78" t="s">
        <v>776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777</v>
      </c>
      <c r="Q169" s="78"/>
      <c r="R169" s="78"/>
      <c r="S169" s="78"/>
      <c r="T169" s="78"/>
    </row>
    <row r="170" spans="1:20" ht="30">
      <c r="A170" s="83" t="s">
        <v>787</v>
      </c>
      <c r="B170" s="83" t="s">
        <v>786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788</v>
      </c>
      <c r="Q170" s="83"/>
      <c r="R170" s="83"/>
      <c r="S170" s="83"/>
      <c r="T170" s="83"/>
    </row>
    <row r="171" spans="1:20" ht="15">
      <c r="A171" s="78" t="s">
        <v>794</v>
      </c>
      <c r="B171" s="83" t="s">
        <v>809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 t="s">
        <v>506</v>
      </c>
      <c r="O171" s="78"/>
      <c r="P171" s="78"/>
      <c r="Q171" s="78"/>
      <c r="R171" s="78"/>
      <c r="S171" s="78"/>
      <c r="T171" s="78"/>
    </row>
    <row r="172" spans="1:20" ht="15">
      <c r="A172" s="83" t="s">
        <v>796</v>
      </c>
      <c r="B172" s="83" t="s">
        <v>795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 t="s">
        <v>506</v>
      </c>
      <c r="O172" s="83"/>
      <c r="P172" s="83"/>
      <c r="Q172" s="83"/>
      <c r="R172" s="83"/>
      <c r="S172" s="83"/>
      <c r="T172" s="83"/>
    </row>
    <row r="173" spans="1:20" ht="15">
      <c r="A173" s="78" t="s">
        <v>799</v>
      </c>
      <c r="B173" s="78" t="s">
        <v>797</v>
      </c>
      <c r="C173" s="78" t="s">
        <v>95</v>
      </c>
      <c r="D173" s="85">
        <v>803.26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803.26</v>
      </c>
      <c r="J173" s="89">
        <f t="shared" si="27"/>
        <v>0</v>
      </c>
      <c r="K173" s="89">
        <f t="shared" si="28"/>
        <v>803.26</v>
      </c>
      <c r="L173" s="78"/>
      <c r="M173" s="78"/>
      <c r="N173" s="78" t="s">
        <v>506</v>
      </c>
      <c r="O173" s="78"/>
      <c r="P173" s="78"/>
      <c r="Q173" s="78"/>
      <c r="R173" s="78"/>
      <c r="S173" s="78"/>
      <c r="T173" s="78"/>
    </row>
    <row r="174" spans="1:20" ht="15">
      <c r="A174" s="83" t="s">
        <v>800</v>
      </c>
      <c r="B174" s="83" t="s">
        <v>798</v>
      </c>
      <c r="C174" s="83" t="s">
        <v>95</v>
      </c>
      <c r="D174" s="84">
        <v>791.7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791.7</v>
      </c>
      <c r="J174" s="91">
        <f t="shared" si="27"/>
        <v>0</v>
      </c>
      <c r="K174" s="91">
        <f t="shared" si="28"/>
        <v>791.7</v>
      </c>
      <c r="L174" s="83"/>
      <c r="M174" s="83"/>
      <c r="N174" s="83" t="s">
        <v>506</v>
      </c>
      <c r="O174" s="83"/>
      <c r="P174" s="83"/>
      <c r="Q174" s="83"/>
      <c r="R174" s="83"/>
      <c r="S174" s="83"/>
      <c r="T174" s="83"/>
    </row>
    <row r="175" spans="1:20" ht="90">
      <c r="A175" s="78" t="s">
        <v>804</v>
      </c>
      <c r="B175" s="78" t="s">
        <v>805</v>
      </c>
      <c r="C175" s="78" t="s">
        <v>95</v>
      </c>
      <c r="D175" s="85">
        <v>698.25</v>
      </c>
      <c r="E175" s="85">
        <v>1250</v>
      </c>
      <c r="F175" s="90">
        <v>0</v>
      </c>
      <c r="G175" s="90">
        <v>10</v>
      </c>
      <c r="H175" s="89">
        <f t="shared" ref="H175" si="29">F175+IF(LEN(G175)=0,0,G175)</f>
        <v>10</v>
      </c>
      <c r="I175" s="89">
        <f>IF(D175&lt;&gt;"",D175,IFERROR(E175/(IFERROR(SUM(Sales!C:C),0))*(IFERROR(SUM(Purchases!C:C),0)),0))</f>
        <v>698.25</v>
      </c>
      <c r="J175" s="89">
        <f t="shared" ref="J175" si="30">F175*I175</f>
        <v>0</v>
      </c>
      <c r="K175" s="89">
        <f t="shared" ref="K175" si="31">IF(LEN(G175)=0,0,G175)*I175</f>
        <v>6982.5</v>
      </c>
      <c r="L175" s="78"/>
      <c r="M175" s="78"/>
      <c r="N175" s="78" t="s">
        <v>506</v>
      </c>
      <c r="O175" s="78"/>
      <c r="P175" s="78" t="s">
        <v>808</v>
      </c>
      <c r="Q175" s="78"/>
      <c r="R175" s="78"/>
      <c r="S175" s="78"/>
      <c r="T175" s="78"/>
    </row>
    <row r="176" spans="1:20">
      <c r="A176" s="83"/>
      <c r="B176" s="83"/>
      <c r="C176" s="83"/>
      <c r="D176" s="84"/>
      <c r="E176" s="84"/>
      <c r="F176" s="92"/>
      <c r="G176" s="92"/>
      <c r="H176" s="91"/>
      <c r="I176" s="91"/>
      <c r="J176" s="91"/>
      <c r="K176" s="91"/>
      <c r="L176" s="83"/>
      <c r="M176" s="83"/>
      <c r="N176" s="83"/>
      <c r="O176" s="83"/>
      <c r="P176" s="83"/>
      <c r="Q176" s="83"/>
      <c r="R176" s="83"/>
      <c r="S176" s="83"/>
      <c r="T176" s="83"/>
    </row>
    <row r="177" spans="1:20">
      <c r="A177" s="78"/>
      <c r="B177" s="78"/>
      <c r="C177" s="78"/>
      <c r="D177" s="85"/>
      <c r="E177" s="85"/>
      <c r="F177" s="90"/>
      <c r="G177" s="90"/>
      <c r="H177" s="89"/>
      <c r="I177" s="89"/>
      <c r="J177" s="89"/>
      <c r="K177" s="89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1:20">
      <c r="A178" s="83"/>
      <c r="B178" s="83"/>
      <c r="C178" s="83"/>
      <c r="D178" s="84"/>
      <c r="E178" s="84"/>
      <c r="F178" s="92"/>
      <c r="G178" s="92"/>
      <c r="H178" s="91"/>
      <c r="I178" s="91"/>
      <c r="J178" s="91"/>
      <c r="K178" s="91"/>
      <c r="L178" s="83"/>
      <c r="M178" s="83"/>
      <c r="N178" s="83"/>
      <c r="O178" s="83"/>
      <c r="P178" s="83"/>
      <c r="Q178" s="83"/>
      <c r="R178" s="83"/>
      <c r="S178" s="83"/>
      <c r="T178" s="83"/>
    </row>
    <row r="179" spans="1:20">
      <c r="A179" s="78"/>
      <c r="B179" s="78"/>
      <c r="C179" s="78"/>
      <c r="D179" s="85"/>
      <c r="E179" s="85"/>
      <c r="F179" s="90"/>
      <c r="G179" s="90"/>
      <c r="H179" s="89"/>
      <c r="I179" s="89"/>
      <c r="J179" s="89"/>
      <c r="K179" s="89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1:20">
      <c r="A180" s="83"/>
      <c r="B180" s="83"/>
      <c r="C180" s="83"/>
      <c r="D180" s="84"/>
      <c r="E180" s="84"/>
      <c r="F180" s="92"/>
      <c r="G180" s="92"/>
      <c r="H180" s="91"/>
      <c r="I180" s="91"/>
      <c r="J180" s="91"/>
      <c r="K180" s="91"/>
      <c r="L180" s="83"/>
      <c r="M180" s="83"/>
      <c r="N180" s="83"/>
      <c r="O180" s="83"/>
      <c r="P180" s="83"/>
      <c r="Q180" s="83"/>
      <c r="R180" s="83"/>
      <c r="S180" s="83"/>
      <c r="T180" s="83"/>
    </row>
    <row r="181" spans="1:20">
      <c r="A181" s="78"/>
      <c r="B181" s="78"/>
      <c r="C181" s="78"/>
      <c r="D181" s="85"/>
      <c r="E181" s="85"/>
      <c r="F181" s="90"/>
      <c r="G181" s="90"/>
      <c r="H181" s="89"/>
      <c r="I181" s="89"/>
      <c r="J181" s="89"/>
      <c r="K181" s="89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1:20">
      <c r="A182" s="83"/>
      <c r="B182" s="83"/>
      <c r="C182" s="83"/>
      <c r="D182" s="84"/>
      <c r="E182" s="84"/>
      <c r="F182" s="92"/>
      <c r="G182" s="92"/>
      <c r="H182" s="91"/>
      <c r="I182" s="91"/>
      <c r="J182" s="91"/>
      <c r="K182" s="91"/>
      <c r="L182" s="83"/>
      <c r="M182" s="83"/>
      <c r="N182" s="83"/>
      <c r="O182" s="83"/>
      <c r="P182" s="83"/>
      <c r="Q182" s="83"/>
      <c r="R182" s="83"/>
      <c r="S182" s="83"/>
      <c r="T182" s="83"/>
    </row>
    <row r="183" spans="1:20">
      <c r="A183" s="78"/>
      <c r="B183" s="78"/>
      <c r="C183" s="78"/>
      <c r="D183" s="85"/>
      <c r="E183" s="85"/>
      <c r="F183" s="90"/>
      <c r="G183" s="90"/>
      <c r="H183" s="89"/>
      <c r="I183" s="89"/>
      <c r="J183" s="89"/>
      <c r="K183" s="89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1:20">
      <c r="A184" s="83"/>
      <c r="B184" s="83"/>
      <c r="C184" s="83"/>
      <c r="D184" s="84"/>
      <c r="E184" s="84"/>
      <c r="F184" s="92"/>
      <c r="G184" s="92"/>
      <c r="H184" s="91"/>
      <c r="I184" s="91"/>
      <c r="J184" s="91"/>
      <c r="K184" s="91"/>
      <c r="L184" s="83"/>
      <c r="M184" s="83"/>
      <c r="N184" s="83"/>
      <c r="O184" s="83"/>
      <c r="P184" s="83"/>
      <c r="Q184" s="83"/>
      <c r="R184" s="83"/>
      <c r="S184" s="83"/>
      <c r="T184" s="83"/>
    </row>
    <row r="185" spans="1:20">
      <c r="A185" s="78"/>
      <c r="B185" s="78"/>
      <c r="C185" s="78"/>
      <c r="D185" s="85"/>
      <c r="E185" s="85"/>
      <c r="F185" s="90"/>
      <c r="G185" s="90"/>
      <c r="H185" s="89"/>
      <c r="I185" s="89"/>
      <c r="J185" s="89"/>
      <c r="K185" s="89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1:20">
      <c r="A186" s="83"/>
      <c r="B186" s="83"/>
      <c r="C186" s="83"/>
      <c r="D186" s="84"/>
      <c r="E186" s="84"/>
      <c r="F186" s="92"/>
      <c r="G186" s="92"/>
      <c r="H186" s="91"/>
      <c r="I186" s="91"/>
      <c r="J186" s="91"/>
      <c r="K186" s="91"/>
      <c r="L186" s="83"/>
      <c r="M186" s="83"/>
      <c r="N186" s="83"/>
      <c r="O186" s="83"/>
      <c r="P186" s="83"/>
      <c r="Q186" s="83"/>
      <c r="R186" s="83"/>
      <c r="S186" s="83"/>
      <c r="T186" s="83"/>
    </row>
    <row r="187" spans="1:20">
      <c r="A187" s="78"/>
      <c r="B187" s="78"/>
      <c r="C187" s="78"/>
      <c r="D187" s="85"/>
      <c r="E187" s="85"/>
      <c r="F187" s="90"/>
      <c r="G187" s="90"/>
      <c r="H187" s="89"/>
      <c r="I187" s="89"/>
      <c r="J187" s="89"/>
      <c r="K187" s="89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1:20">
      <c r="A188" s="83"/>
      <c r="B188" s="83"/>
      <c r="C188" s="83"/>
      <c r="D188" s="84"/>
      <c r="E188" s="84"/>
      <c r="F188" s="92"/>
      <c r="G188" s="92"/>
      <c r="H188" s="91"/>
      <c r="I188" s="91"/>
      <c r="J188" s="91"/>
      <c r="K188" s="91"/>
      <c r="L188" s="83"/>
      <c r="M188" s="83"/>
      <c r="N188" s="83"/>
      <c r="O188" s="83"/>
      <c r="P188" s="83"/>
      <c r="Q188" s="83"/>
      <c r="R188" s="83"/>
      <c r="S188" s="83"/>
      <c r="T188" s="83"/>
    </row>
    <row r="189" spans="1:20">
      <c r="A189" s="78"/>
      <c r="B189" s="78"/>
      <c r="C189" s="78"/>
      <c r="D189" s="85"/>
      <c r="E189" s="85"/>
      <c r="F189" s="90"/>
      <c r="G189" s="90"/>
      <c r="H189" s="89"/>
      <c r="I189" s="89"/>
      <c r="J189" s="89"/>
      <c r="K189" s="89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1:20">
      <c r="S190" s="62"/>
      <c r="T190" s="62"/>
    </row>
    <row r="191" spans="1:20">
      <c r="S191" s="62"/>
      <c r="T191" s="62"/>
    </row>
    <row r="192" spans="1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phoneticPr fontId="29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722</v>
      </c>
      <c r="B1" s="94"/>
    </row>
    <row r="2" spans="1:8" ht="13.5" customHeight="1">
      <c r="A2" s="8" t="s">
        <v>42</v>
      </c>
      <c r="B2" s="8" t="s">
        <v>723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724</v>
      </c>
      <c r="C7" s="72" t="s">
        <v>725</v>
      </c>
      <c r="D7" s="72" t="s">
        <v>726</v>
      </c>
      <c r="E7" s="72" t="s">
        <v>727</v>
      </c>
      <c r="F7" s="72" t="s">
        <v>728</v>
      </c>
      <c r="G7" s="72" t="s">
        <v>729</v>
      </c>
      <c r="H7" s="72" t="s">
        <v>730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731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732</v>
      </c>
      <c r="C13" s="72" t="s">
        <v>733</v>
      </c>
      <c r="D13" s="72" t="s">
        <v>734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735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735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735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735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735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735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735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735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735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735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736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737</v>
      </c>
    </row>
    <row r="3" spans="1:7" s="73" customFormat="1" ht="13.5" customHeight="1">
      <c r="A3" s="72" t="s">
        <v>42</v>
      </c>
      <c r="B3" s="72" t="s">
        <v>738</v>
      </c>
      <c r="C3" s="72" t="s">
        <v>723</v>
      </c>
      <c r="D3" s="72" t="s">
        <v>739</v>
      </c>
      <c r="E3" s="72" t="s">
        <v>740</v>
      </c>
      <c r="F3" s="72" t="s">
        <v>741</v>
      </c>
      <c r="G3" s="72" t="s">
        <v>742</v>
      </c>
    </row>
    <row r="4" spans="1:7" ht="13.5" customHeight="1">
      <c r="A4" s="9" t="s">
        <v>49</v>
      </c>
      <c r="B4" s="9">
        <f>IFERROR(SUMIFS(Sales!$C:$C,Sales!$E:$E,$A4,Sales!$I:$I,"Completed"),0)</f>
        <v>245912</v>
      </c>
      <c r="C4" s="9">
        <f>VLOOKUP($A4,PartnerShares!$A$3:$B$5,2,FALSE())</f>
        <v>0.33339999999999997</v>
      </c>
      <c r="D4" s="9">
        <f>Summary!$B$4*C4</f>
        <v>88971.457399999999</v>
      </c>
      <c r="E4" s="9">
        <f>B4-D4</f>
        <v>156940.54259999999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19630.516599999974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88918.085200000001</v>
      </c>
      <c r="E5" s="11">
        <f>B5-D5</f>
        <v>-80499.085200000001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-8912.0432000000001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88971.457399999999</v>
      </c>
      <c r="E6" s="9">
        <f>B6-D6</f>
        <v>-76441.457399999999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-10718.473399999988</v>
      </c>
    </row>
    <row r="9" spans="1:7" ht="13.5" customHeight="1">
      <c r="A9" s="6" t="s">
        <v>0</v>
      </c>
    </row>
    <row r="10" spans="1:7" ht="13.5" customHeight="1">
      <c r="A10" s="6" t="s">
        <v>743</v>
      </c>
    </row>
    <row r="11" spans="1:7" ht="13.5" customHeight="1">
      <c r="A11" s="6" t="s">
        <v>744</v>
      </c>
    </row>
    <row r="12" spans="1:7" ht="13.5" customHeight="1">
      <c r="A12" s="6" t="s">
        <v>745</v>
      </c>
    </row>
    <row r="13" spans="1:7" ht="13.5" customHeight="1">
      <c r="A13" s="6" t="s">
        <v>746</v>
      </c>
    </row>
    <row r="14" spans="1:7" ht="13.5" customHeight="1">
      <c r="A14" s="6" t="s">
        <v>747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2026-04-19T04:23:44Z</dcterms:modified>
  <dc:language>en-US</dc:language>
</cp:coreProperties>
</file>